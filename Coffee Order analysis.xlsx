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Users\SHEETHAL\Documents\"/>
    </mc:Choice>
  </mc:AlternateContent>
  <xr:revisionPtr revIDLastSave="0" documentId="13_ncr:1_{9E57857A-4822-48ED-9823-8AE4FEE3A172}" xr6:coauthVersionLast="47" xr6:coauthVersionMax="47" xr10:uidLastSave="{00000000-0000-0000-0000-000000000000}"/>
  <bookViews>
    <workbookView xWindow="-108" yWindow="-108" windowWidth="23256" windowHeight="12456" firstSheet="1" activeTab="7" xr2:uid="{7301271F-FB55-4926-A24A-AFEBA14C18C7}"/>
  </bookViews>
  <sheets>
    <sheet name="Customers" sheetId="2" r:id="rId1"/>
    <sheet name="Orders" sheetId="1" r:id="rId2"/>
    <sheet name="products" sheetId="3" r:id="rId3"/>
    <sheet name="Top 10 Customers" sheetId="7" r:id="rId4"/>
    <sheet name="TS- Country" sheetId="10" r:id="rId5"/>
    <sheet name="Total  sales" sheetId="5" r:id="rId6"/>
    <sheet name="noof_cust_country" sheetId="13" r:id="rId7"/>
    <sheet name="Dash Board" sheetId="11" r:id="rId8"/>
  </sheets>
  <definedNames>
    <definedName name="_xlnm._FilterDatabase" localSheetId="0" hidden="1">Customers!$A$1:$I$1</definedName>
    <definedName name="_xlnm._FilterDatabase" localSheetId="1" hidden="1">Orders!$A$1:$P$1001</definedName>
    <definedName name="_xlnm._FilterDatabase" localSheetId="2" hidden="1">products!$A$1:$G$1</definedName>
    <definedName name="Slicer_Coffee_type">#N/A</definedName>
    <definedName name="Slicer_Rost_Type_Name">#N/A</definedName>
    <definedName name="Slicer_Years">#N/A</definedName>
  </definedNames>
  <calcPr calcId="191029" calcMode="manual"/>
  <pivotCaches>
    <pivotCache cacheId="1"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 i="1" l="1" a="1"/>
  <c r="S14" i="1" s="1"/>
  <c r="S11" i="1" a="1"/>
  <c r="S11" i="1" s="1"/>
  <c r="S8" i="1" a="1"/>
  <c r="S8" i="1" s="1"/>
  <c r="S5" i="1"/>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2" i="3"/>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2" i="1"/>
  <c r="I868" i="1" a="1"/>
  <c r="I869" i="1" a="1"/>
  <c r="I870" i="1" a="1"/>
  <c r="I871" i="1" a="1"/>
  <c r="I872" i="1" a="1"/>
  <c r="I873" i="1" a="1"/>
  <c r="I874" i="1" a="1"/>
  <c r="I875" i="1" a="1"/>
  <c r="I876" i="1" a="1"/>
  <c r="I877" i="1" a="1"/>
  <c r="I878" i="1" a="1"/>
  <c r="I879" i="1" a="1"/>
  <c r="I880" i="1" a="1"/>
  <c r="I881" i="1" a="1"/>
  <c r="I882" i="1" a="1"/>
  <c r="I883" i="1" a="1"/>
  <c r="I884" i="1" a="1"/>
  <c r="I885" i="1" a="1"/>
  <c r="I886" i="1" a="1"/>
  <c r="I887" i="1" a="1"/>
  <c r="I888" i="1" a="1"/>
  <c r="I889" i="1" a="1"/>
  <c r="I890" i="1" a="1"/>
  <c r="I891" i="1" a="1"/>
  <c r="I892" i="1" a="1"/>
  <c r="I893" i="1" a="1"/>
  <c r="I894" i="1" a="1"/>
  <c r="I895" i="1" a="1"/>
  <c r="I896" i="1" a="1"/>
  <c r="I897" i="1" a="1"/>
  <c r="I898" i="1" a="1"/>
  <c r="I899" i="1" a="1"/>
  <c r="I900" i="1" a="1"/>
  <c r="I901" i="1" a="1"/>
  <c r="I902" i="1" a="1"/>
  <c r="I903" i="1" a="1"/>
  <c r="I904" i="1" a="1"/>
  <c r="I905" i="1" a="1"/>
  <c r="I906" i="1" a="1"/>
  <c r="I907" i="1" a="1"/>
  <c r="I908" i="1" a="1"/>
  <c r="I909" i="1" a="1"/>
  <c r="I910" i="1" a="1"/>
  <c r="M910" i="1" s="1"/>
  <c r="I911" i="1" a="1"/>
  <c r="I912" i="1" a="1"/>
  <c r="I913" i="1" a="1"/>
  <c r="I914" i="1" a="1"/>
  <c r="I915" i="1" a="1"/>
  <c r="I916" i="1" a="1"/>
  <c r="I917" i="1" a="1"/>
  <c r="I918" i="1" a="1"/>
  <c r="M918" i="1" s="1"/>
  <c r="I919" i="1" a="1"/>
  <c r="I920" i="1" a="1"/>
  <c r="I921" i="1" a="1"/>
  <c r="I922" i="1" a="1"/>
  <c r="I923" i="1" a="1"/>
  <c r="I924" i="1" a="1"/>
  <c r="I925" i="1" a="1"/>
  <c r="I926" i="1" a="1"/>
  <c r="M926" i="1" s="1"/>
  <c r="I927" i="1" a="1"/>
  <c r="I928" i="1" a="1"/>
  <c r="I929" i="1" a="1"/>
  <c r="I930" i="1" a="1"/>
  <c r="I931" i="1" a="1"/>
  <c r="I932" i="1" a="1"/>
  <c r="I933" i="1" a="1"/>
  <c r="I934" i="1" a="1"/>
  <c r="M934" i="1" s="1"/>
  <c r="I935" i="1" a="1"/>
  <c r="I936" i="1" a="1"/>
  <c r="I937" i="1" a="1"/>
  <c r="I938" i="1" a="1"/>
  <c r="I939" i="1" a="1"/>
  <c r="I940" i="1" a="1"/>
  <c r="I941" i="1" a="1"/>
  <c r="I942" i="1" a="1"/>
  <c r="M942" i="1" s="1"/>
  <c r="I943" i="1" a="1"/>
  <c r="I944" i="1" a="1"/>
  <c r="I945" i="1" a="1"/>
  <c r="I946" i="1" a="1"/>
  <c r="I947" i="1" a="1"/>
  <c r="I948" i="1" a="1"/>
  <c r="I949" i="1" a="1"/>
  <c r="I950" i="1" a="1"/>
  <c r="M950" i="1" s="1"/>
  <c r="I951" i="1" a="1"/>
  <c r="I952" i="1" a="1"/>
  <c r="I953" i="1" a="1"/>
  <c r="I954" i="1" a="1"/>
  <c r="I955" i="1" a="1"/>
  <c r="I956" i="1" a="1"/>
  <c r="I957" i="1" a="1"/>
  <c r="I958" i="1" a="1"/>
  <c r="M958" i="1" s="1"/>
  <c r="I959" i="1" a="1"/>
  <c r="I960" i="1" a="1"/>
  <c r="I961" i="1" a="1"/>
  <c r="I962" i="1" a="1"/>
  <c r="I963" i="1" a="1"/>
  <c r="I964" i="1" a="1"/>
  <c r="I965" i="1" a="1"/>
  <c r="M965" i="1" s="1"/>
  <c r="I966" i="1" a="1"/>
  <c r="M966" i="1" s="1"/>
  <c r="I967" i="1" a="1"/>
  <c r="M967" i="1" s="1"/>
  <c r="I968" i="1" a="1"/>
  <c r="M968" i="1" s="1"/>
  <c r="I969" i="1" a="1"/>
  <c r="M969" i="1" s="1"/>
  <c r="I970" i="1" a="1"/>
  <c r="I971" i="1" a="1"/>
  <c r="I972" i="1" a="1"/>
  <c r="M972" i="1" s="1"/>
  <c r="I973" i="1" a="1"/>
  <c r="M973" i="1" s="1"/>
  <c r="I974" i="1" a="1"/>
  <c r="M974" i="1" s="1"/>
  <c r="I975" i="1" a="1"/>
  <c r="M975" i="1" s="1"/>
  <c r="I976" i="1" a="1"/>
  <c r="M976" i="1" s="1"/>
  <c r="I977" i="1" a="1"/>
  <c r="M977" i="1" s="1"/>
  <c r="I978" i="1" a="1"/>
  <c r="I979" i="1" a="1"/>
  <c r="I980" i="1" a="1"/>
  <c r="M980" i="1" s="1"/>
  <c r="I981" i="1" a="1"/>
  <c r="M981" i="1" s="1"/>
  <c r="I982" i="1" a="1"/>
  <c r="M982" i="1" s="1"/>
  <c r="I983" i="1" a="1"/>
  <c r="M983" i="1" s="1"/>
  <c r="I984" i="1" a="1"/>
  <c r="M984" i="1" s="1"/>
  <c r="I985" i="1" a="1"/>
  <c r="M985" i="1" s="1"/>
  <c r="I986" i="1" a="1"/>
  <c r="I987" i="1" a="1"/>
  <c r="O987" i="1" s="1"/>
  <c r="I988" i="1" a="1"/>
  <c r="M988" i="1" s="1"/>
  <c r="I989" i="1" a="1"/>
  <c r="M989" i="1" s="1"/>
  <c r="I990" i="1" a="1"/>
  <c r="M990" i="1" s="1"/>
  <c r="I991" i="1" a="1"/>
  <c r="M991" i="1" s="1"/>
  <c r="I992" i="1" a="1"/>
  <c r="M992" i="1" s="1"/>
  <c r="I993" i="1" a="1"/>
  <c r="M993" i="1" s="1"/>
  <c r="I994" i="1" a="1"/>
  <c r="I995" i="1" a="1"/>
  <c r="M995" i="1" s="1"/>
  <c r="I996" i="1" a="1"/>
  <c r="M996" i="1" s="1"/>
  <c r="I997" i="1" a="1"/>
  <c r="M997" i="1" s="1"/>
  <c r="I998" i="1" a="1"/>
  <c r="M998" i="1" s="1"/>
  <c r="I999" i="1" a="1"/>
  <c r="M999" i="1" s="1"/>
  <c r="I1000" i="1" a="1"/>
  <c r="M1000" i="1" s="1"/>
  <c r="I1001" i="1" a="1"/>
  <c r="I361" i="1" a="1"/>
  <c r="I362" i="1" a="1"/>
  <c r="I363" i="1" a="1"/>
  <c r="I364" i="1" a="1"/>
  <c r="I365" i="1" a="1"/>
  <c r="I366" i="1" a="1"/>
  <c r="I367" i="1" a="1"/>
  <c r="I368" i="1" a="1"/>
  <c r="I369" i="1" a="1"/>
  <c r="I370" i="1" a="1"/>
  <c r="I371" i="1" a="1"/>
  <c r="I372" i="1" a="1"/>
  <c r="I373" i="1" a="1"/>
  <c r="I374" i="1" a="1"/>
  <c r="I375" i="1" a="1"/>
  <c r="I376" i="1" a="1"/>
  <c r="I377" i="1" a="1"/>
  <c r="I378" i="1" a="1"/>
  <c r="I379" i="1" a="1"/>
  <c r="I380" i="1" a="1"/>
  <c r="I381" i="1" a="1"/>
  <c r="I382" i="1" a="1"/>
  <c r="I383" i="1" a="1"/>
  <c r="I384" i="1" a="1"/>
  <c r="I385" i="1" a="1"/>
  <c r="I386" i="1" a="1"/>
  <c r="I387" i="1" a="1"/>
  <c r="I388" i="1" a="1"/>
  <c r="I389" i="1" a="1"/>
  <c r="I390" i="1" a="1"/>
  <c r="I391" i="1" a="1"/>
  <c r="I392" i="1" a="1"/>
  <c r="I393" i="1" a="1"/>
  <c r="I394" i="1" a="1"/>
  <c r="I395" i="1" a="1"/>
  <c r="I396" i="1" a="1"/>
  <c r="I397" i="1" a="1"/>
  <c r="I398" i="1" a="1"/>
  <c r="I399" i="1" a="1"/>
  <c r="I400" i="1" a="1"/>
  <c r="I400" i="1" s="1"/>
  <c r="N400" i="1" s="1"/>
  <c r="I401" i="1" a="1"/>
  <c r="I402" i="1" a="1"/>
  <c r="I403" i="1" a="1"/>
  <c r="I404" i="1" a="1"/>
  <c r="I405" i="1" a="1"/>
  <c r="I406" i="1" a="1"/>
  <c r="I407" i="1" a="1"/>
  <c r="I408" i="1" a="1"/>
  <c r="I409" i="1" a="1"/>
  <c r="I410" i="1" a="1"/>
  <c r="I411" i="1" a="1"/>
  <c r="I412" i="1" a="1"/>
  <c r="I413" i="1" a="1"/>
  <c r="I414" i="1" a="1"/>
  <c r="I415" i="1" a="1"/>
  <c r="I416" i="1" a="1"/>
  <c r="I417" i="1" a="1"/>
  <c r="I418" i="1" a="1"/>
  <c r="I419" i="1" a="1"/>
  <c r="I420" i="1" a="1"/>
  <c r="I421" i="1" a="1"/>
  <c r="I422" i="1" a="1"/>
  <c r="I423" i="1" a="1"/>
  <c r="I424" i="1" a="1"/>
  <c r="I425" i="1" a="1"/>
  <c r="I426" i="1" a="1"/>
  <c r="I427" i="1" a="1"/>
  <c r="I428" i="1" a="1"/>
  <c r="I429" i="1" a="1"/>
  <c r="I430" i="1" a="1"/>
  <c r="I431" i="1" a="1"/>
  <c r="I432" i="1" a="1"/>
  <c r="I433" i="1" a="1"/>
  <c r="I434" i="1" a="1"/>
  <c r="I435" i="1" a="1"/>
  <c r="I436" i="1" a="1"/>
  <c r="I437" i="1" a="1"/>
  <c r="I438" i="1" a="1"/>
  <c r="I439" i="1" a="1"/>
  <c r="I440" i="1" a="1"/>
  <c r="I441" i="1" a="1"/>
  <c r="I442" i="1" a="1"/>
  <c r="I443" i="1" a="1"/>
  <c r="I444" i="1" a="1"/>
  <c r="I445" i="1" a="1"/>
  <c r="I446" i="1" a="1"/>
  <c r="I447" i="1" a="1"/>
  <c r="I448" i="1" a="1"/>
  <c r="I449" i="1" a="1"/>
  <c r="I450" i="1" a="1"/>
  <c r="I451" i="1" a="1"/>
  <c r="I452" i="1" a="1"/>
  <c r="I453" i="1" a="1"/>
  <c r="I454" i="1" a="1"/>
  <c r="I455" i="1" a="1"/>
  <c r="I455" i="1" s="1"/>
  <c r="N455" i="1" s="1"/>
  <c r="I456" i="1" a="1"/>
  <c r="I457" i="1" a="1"/>
  <c r="I458" i="1" a="1"/>
  <c r="I459" i="1" a="1"/>
  <c r="I460" i="1" a="1"/>
  <c r="I461" i="1" a="1"/>
  <c r="I462" i="1" a="1"/>
  <c r="I463" i="1" a="1"/>
  <c r="I464" i="1" a="1"/>
  <c r="I465" i="1" a="1"/>
  <c r="I466" i="1" a="1"/>
  <c r="I467" i="1" a="1"/>
  <c r="I468" i="1" a="1"/>
  <c r="I469" i="1" a="1"/>
  <c r="I470" i="1" a="1"/>
  <c r="I471" i="1" a="1"/>
  <c r="I472" i="1" a="1"/>
  <c r="I473" i="1" a="1"/>
  <c r="I474" i="1" a="1"/>
  <c r="I475" i="1" a="1"/>
  <c r="I476" i="1" a="1"/>
  <c r="I477" i="1" a="1"/>
  <c r="I478" i="1" a="1"/>
  <c r="I479" i="1" a="1"/>
  <c r="I480" i="1" a="1"/>
  <c r="I481" i="1" a="1"/>
  <c r="I482" i="1" a="1"/>
  <c r="I483" i="1" a="1"/>
  <c r="I484" i="1" a="1"/>
  <c r="I485" i="1" a="1"/>
  <c r="I486" i="1" a="1"/>
  <c r="I487" i="1" a="1"/>
  <c r="I488" i="1" a="1"/>
  <c r="I489" i="1" a="1"/>
  <c r="I490" i="1" a="1"/>
  <c r="I490" i="1"/>
  <c r="N490" i="1" s="1"/>
  <c r="I491" i="1" a="1"/>
  <c r="I492" i="1" a="1"/>
  <c r="I493" i="1" a="1"/>
  <c r="I494" i="1" a="1"/>
  <c r="I495" i="1" a="1"/>
  <c r="I496" i="1" a="1"/>
  <c r="I496" i="1" s="1"/>
  <c r="N496" i="1" s="1"/>
  <c r="I497" i="1" a="1"/>
  <c r="I498" i="1" a="1"/>
  <c r="I499" i="1" a="1"/>
  <c r="I500" i="1" a="1"/>
  <c r="I501" i="1" a="1"/>
  <c r="I502" i="1" a="1"/>
  <c r="I503" i="1" a="1"/>
  <c r="I504" i="1" a="1"/>
  <c r="I505" i="1" a="1"/>
  <c r="I506" i="1" a="1"/>
  <c r="I507" i="1" a="1"/>
  <c r="I508" i="1" a="1"/>
  <c r="I509" i="1" a="1"/>
  <c r="I510" i="1" a="1"/>
  <c r="I511" i="1" a="1"/>
  <c r="I512" i="1" a="1"/>
  <c r="I513" i="1" a="1"/>
  <c r="I514" i="1" a="1"/>
  <c r="I515" i="1" a="1"/>
  <c r="I516" i="1" a="1"/>
  <c r="I517" i="1" a="1"/>
  <c r="I518" i="1" a="1"/>
  <c r="I519" i="1" a="1"/>
  <c r="I520" i="1" a="1"/>
  <c r="I521" i="1" a="1"/>
  <c r="I522" i="1" a="1"/>
  <c r="I523" i="1" a="1"/>
  <c r="I524" i="1" a="1"/>
  <c r="I525" i="1" a="1"/>
  <c r="I526" i="1" a="1"/>
  <c r="I527" i="1" a="1"/>
  <c r="I528" i="1" a="1"/>
  <c r="I529" i="1" a="1"/>
  <c r="I530" i="1" a="1"/>
  <c r="I531" i="1" a="1"/>
  <c r="I531" i="1"/>
  <c r="N531" i="1" s="1"/>
  <c r="I532" i="1" a="1"/>
  <c r="I533" i="1" a="1"/>
  <c r="I534" i="1" a="1"/>
  <c r="I535" i="1" a="1"/>
  <c r="I536" i="1" a="1"/>
  <c r="I537" i="1" a="1"/>
  <c r="I538" i="1" a="1"/>
  <c r="I539" i="1" a="1"/>
  <c r="I540" i="1" a="1"/>
  <c r="I541" i="1" a="1"/>
  <c r="I542" i="1" a="1"/>
  <c r="I543" i="1" a="1"/>
  <c r="I544" i="1" a="1"/>
  <c r="I545" i="1" a="1"/>
  <c r="I546" i="1" a="1"/>
  <c r="I547" i="1" a="1"/>
  <c r="I548" i="1" a="1"/>
  <c r="I549" i="1" a="1"/>
  <c r="I550" i="1" a="1"/>
  <c r="I551" i="1" a="1"/>
  <c r="I552" i="1" a="1"/>
  <c r="I553" i="1" a="1"/>
  <c r="I554" i="1" a="1"/>
  <c r="I555" i="1" a="1"/>
  <c r="I556" i="1" a="1"/>
  <c r="I557" i="1" a="1"/>
  <c r="I558" i="1" a="1"/>
  <c r="I559" i="1" a="1"/>
  <c r="I560" i="1" a="1"/>
  <c r="I561" i="1" a="1"/>
  <c r="I562" i="1" a="1"/>
  <c r="I563" i="1" a="1"/>
  <c r="I564" i="1" a="1"/>
  <c r="I565" i="1" a="1"/>
  <c r="I566" i="1" a="1"/>
  <c r="I567" i="1" a="1"/>
  <c r="I568" i="1" a="1"/>
  <c r="I569" i="1" a="1"/>
  <c r="I570" i="1" a="1"/>
  <c r="I571" i="1" a="1"/>
  <c r="I572" i="1" a="1"/>
  <c r="I573" i="1" a="1"/>
  <c r="I574" i="1" a="1"/>
  <c r="I575" i="1" a="1"/>
  <c r="I576" i="1" a="1"/>
  <c r="I577" i="1" a="1"/>
  <c r="I578" i="1" a="1"/>
  <c r="I579" i="1" a="1"/>
  <c r="I580" i="1" a="1"/>
  <c r="I581" i="1" a="1"/>
  <c r="I582" i="1" a="1"/>
  <c r="I583" i="1" a="1"/>
  <c r="I584" i="1" a="1"/>
  <c r="I585" i="1" a="1"/>
  <c r="I586" i="1" a="1"/>
  <c r="I587" i="1" a="1"/>
  <c r="I588" i="1" a="1"/>
  <c r="I589" i="1" a="1"/>
  <c r="I590" i="1" a="1"/>
  <c r="I591" i="1" a="1"/>
  <c r="I592" i="1" a="1"/>
  <c r="I593" i="1" a="1"/>
  <c r="I594" i="1" a="1"/>
  <c r="I595" i="1" a="1"/>
  <c r="I596" i="1" a="1"/>
  <c r="I597" i="1" a="1"/>
  <c r="I598" i="1" a="1"/>
  <c r="I599" i="1" a="1"/>
  <c r="I600" i="1" a="1"/>
  <c r="I601" i="1" a="1"/>
  <c r="I602" i="1" a="1"/>
  <c r="I603" i="1" a="1"/>
  <c r="I604" i="1" a="1"/>
  <c r="I605" i="1" a="1"/>
  <c r="I606" i="1" a="1"/>
  <c r="I607" i="1" a="1"/>
  <c r="I608" i="1" a="1"/>
  <c r="I609" i="1" a="1"/>
  <c r="I610" i="1" a="1"/>
  <c r="I611" i="1" a="1"/>
  <c r="I612" i="1" a="1"/>
  <c r="I613" i="1" a="1"/>
  <c r="I614" i="1" a="1"/>
  <c r="I615" i="1" a="1"/>
  <c r="I616" i="1" a="1"/>
  <c r="I617" i="1" a="1"/>
  <c r="I618" i="1" a="1"/>
  <c r="I619" i="1" a="1"/>
  <c r="I620" i="1" a="1"/>
  <c r="I621" i="1" a="1"/>
  <c r="I622" i="1" a="1"/>
  <c r="I623" i="1" a="1"/>
  <c r="I624" i="1" a="1"/>
  <c r="I625" i="1" a="1"/>
  <c r="I626" i="1" a="1"/>
  <c r="I627" i="1" a="1"/>
  <c r="I628" i="1" a="1"/>
  <c r="I629" i="1" a="1"/>
  <c r="I630" i="1" a="1"/>
  <c r="I631" i="1" a="1"/>
  <c r="I632" i="1" a="1"/>
  <c r="I633" i="1" a="1"/>
  <c r="I634" i="1" a="1"/>
  <c r="I635" i="1" a="1"/>
  <c r="I636" i="1" a="1"/>
  <c r="I637" i="1" a="1"/>
  <c r="I638" i="1" a="1"/>
  <c r="I639" i="1" a="1"/>
  <c r="I640" i="1" a="1"/>
  <c r="I641" i="1" a="1"/>
  <c r="I642" i="1" a="1"/>
  <c r="I643" i="1" a="1"/>
  <c r="I644" i="1" a="1"/>
  <c r="I645" i="1" a="1"/>
  <c r="I646" i="1" a="1"/>
  <c r="I647" i="1" a="1"/>
  <c r="I648" i="1" a="1"/>
  <c r="I649" i="1" a="1"/>
  <c r="I650" i="1" a="1"/>
  <c r="I651" i="1" a="1"/>
  <c r="I652" i="1" a="1"/>
  <c r="I653" i="1" a="1"/>
  <c r="I654" i="1" a="1"/>
  <c r="I655" i="1" a="1"/>
  <c r="I656" i="1" a="1"/>
  <c r="I657" i="1" a="1"/>
  <c r="I658" i="1" a="1"/>
  <c r="I659" i="1" a="1"/>
  <c r="I660" i="1" a="1"/>
  <c r="I661" i="1" a="1"/>
  <c r="I662" i="1" a="1"/>
  <c r="I663" i="1" a="1"/>
  <c r="I664" i="1" a="1"/>
  <c r="I665" i="1" a="1"/>
  <c r="I666" i="1" a="1"/>
  <c r="I667" i="1" a="1"/>
  <c r="I668" i="1" a="1"/>
  <c r="I669" i="1" a="1"/>
  <c r="I670" i="1" a="1"/>
  <c r="I670" i="1" s="1"/>
  <c r="N670" i="1" s="1"/>
  <c r="I671" i="1" a="1"/>
  <c r="I672" i="1" a="1"/>
  <c r="I673" i="1" a="1"/>
  <c r="I674" i="1" a="1"/>
  <c r="I675" i="1" a="1"/>
  <c r="I676" i="1" a="1"/>
  <c r="I677" i="1" a="1"/>
  <c r="I678" i="1" a="1"/>
  <c r="I679" i="1" a="1"/>
  <c r="I680" i="1" a="1"/>
  <c r="I681" i="1" a="1"/>
  <c r="I682" i="1" a="1"/>
  <c r="I683" i="1" a="1"/>
  <c r="I684" i="1" a="1"/>
  <c r="I685" i="1" a="1"/>
  <c r="I686" i="1" a="1"/>
  <c r="I687" i="1" a="1"/>
  <c r="I688" i="1" a="1"/>
  <c r="I689" i="1" a="1"/>
  <c r="I690" i="1" a="1"/>
  <c r="I691" i="1" a="1"/>
  <c r="I692" i="1" a="1"/>
  <c r="I693" i="1" a="1"/>
  <c r="I694" i="1" a="1"/>
  <c r="I695" i="1" a="1"/>
  <c r="I696" i="1" a="1"/>
  <c r="I697" i="1" a="1"/>
  <c r="I698" i="1" a="1"/>
  <c r="I699" i="1" a="1"/>
  <c r="I700" i="1" a="1"/>
  <c r="I701" i="1" a="1"/>
  <c r="I702" i="1" a="1"/>
  <c r="I703" i="1" a="1"/>
  <c r="I704" i="1" a="1"/>
  <c r="I704" i="1"/>
  <c r="N704" i="1" s="1"/>
  <c r="I705" i="1" a="1"/>
  <c r="I706" i="1" a="1"/>
  <c r="I707" i="1" a="1"/>
  <c r="I708" i="1" a="1"/>
  <c r="I709" i="1" a="1"/>
  <c r="I710" i="1" a="1"/>
  <c r="I711" i="1" a="1"/>
  <c r="I712" i="1" a="1"/>
  <c r="I713" i="1" a="1"/>
  <c r="I714" i="1" a="1"/>
  <c r="I715" i="1" a="1"/>
  <c r="I716" i="1" a="1"/>
  <c r="I717" i="1" a="1"/>
  <c r="I718" i="1" a="1"/>
  <c r="I719" i="1" a="1"/>
  <c r="I720" i="1" a="1"/>
  <c r="I721" i="1" a="1"/>
  <c r="I722" i="1" a="1"/>
  <c r="I723" i="1" a="1"/>
  <c r="I724" i="1" a="1"/>
  <c r="I725" i="1" a="1"/>
  <c r="I726" i="1" a="1"/>
  <c r="I727" i="1" a="1"/>
  <c r="I728" i="1" a="1"/>
  <c r="I729" i="1" a="1"/>
  <c r="I730" i="1" a="1"/>
  <c r="I731" i="1" a="1"/>
  <c r="I732" i="1" a="1"/>
  <c r="I733" i="1" a="1"/>
  <c r="I734" i="1" a="1"/>
  <c r="I735" i="1" a="1"/>
  <c r="I736" i="1" a="1"/>
  <c r="I737" i="1" a="1"/>
  <c r="I738" i="1" a="1"/>
  <c r="I739" i="1" a="1"/>
  <c r="I740" i="1" a="1"/>
  <c r="I741" i="1" a="1"/>
  <c r="I742" i="1" a="1"/>
  <c r="I743" i="1" a="1"/>
  <c r="I744" i="1" a="1"/>
  <c r="I745" i="1" a="1"/>
  <c r="I746" i="1" a="1"/>
  <c r="I747" i="1" a="1"/>
  <c r="I748" i="1" a="1"/>
  <c r="I749" i="1" a="1"/>
  <c r="I750" i="1" a="1"/>
  <c r="I751" i="1" a="1"/>
  <c r="I752" i="1" a="1"/>
  <c r="I753" i="1" a="1"/>
  <c r="I754" i="1" a="1"/>
  <c r="I755" i="1" a="1"/>
  <c r="I756" i="1" a="1"/>
  <c r="I757" i="1" a="1"/>
  <c r="I758" i="1" a="1"/>
  <c r="I759" i="1" a="1"/>
  <c r="I760" i="1" a="1"/>
  <c r="I761" i="1" a="1"/>
  <c r="I762" i="1" a="1"/>
  <c r="I763" i="1" a="1"/>
  <c r="I764" i="1" a="1"/>
  <c r="I765" i="1" a="1"/>
  <c r="I766" i="1" a="1"/>
  <c r="I767" i="1" a="1"/>
  <c r="I768" i="1" a="1"/>
  <c r="I769" i="1" a="1"/>
  <c r="I770" i="1" a="1"/>
  <c r="I771" i="1" a="1"/>
  <c r="I772" i="1" a="1"/>
  <c r="I773" i="1" a="1"/>
  <c r="I774" i="1" a="1"/>
  <c r="I775" i="1" a="1"/>
  <c r="I776" i="1" a="1"/>
  <c r="I777" i="1" a="1"/>
  <c r="I778" i="1" a="1"/>
  <c r="I779" i="1" a="1"/>
  <c r="I780" i="1" a="1"/>
  <c r="I781" i="1" a="1"/>
  <c r="I782" i="1" a="1"/>
  <c r="I783" i="1" a="1"/>
  <c r="I784" i="1" a="1"/>
  <c r="I785" i="1" a="1"/>
  <c r="I786" i="1" a="1"/>
  <c r="I787" i="1" a="1"/>
  <c r="I788" i="1" a="1"/>
  <c r="I789" i="1" a="1"/>
  <c r="I790" i="1" a="1"/>
  <c r="I791" i="1" a="1"/>
  <c r="I792" i="1" a="1"/>
  <c r="I793" i="1" a="1"/>
  <c r="I794" i="1" a="1"/>
  <c r="I795" i="1" a="1"/>
  <c r="I796" i="1" a="1"/>
  <c r="I797" i="1" a="1"/>
  <c r="I798" i="1" a="1"/>
  <c r="I799" i="1" a="1"/>
  <c r="I800" i="1" a="1"/>
  <c r="I801" i="1" a="1"/>
  <c r="I802" i="1" a="1"/>
  <c r="I803" i="1" a="1"/>
  <c r="I804" i="1" a="1"/>
  <c r="I805" i="1" a="1"/>
  <c r="I806" i="1" a="1"/>
  <c r="I807" i="1" a="1"/>
  <c r="I808" i="1" a="1"/>
  <c r="I809" i="1" a="1"/>
  <c r="I810" i="1" a="1"/>
  <c r="I811" i="1" a="1"/>
  <c r="I812" i="1" a="1"/>
  <c r="I813" i="1" a="1"/>
  <c r="I814" i="1" a="1"/>
  <c r="I815" i="1" a="1"/>
  <c r="I816" i="1" a="1"/>
  <c r="I817" i="1" a="1"/>
  <c r="I818" i="1" a="1"/>
  <c r="I819" i="1" a="1"/>
  <c r="I820" i="1" a="1"/>
  <c r="I821" i="1" a="1"/>
  <c r="I822" i="1" a="1"/>
  <c r="I823" i="1" a="1"/>
  <c r="I824" i="1" a="1"/>
  <c r="I825" i="1" a="1"/>
  <c r="I826" i="1" a="1"/>
  <c r="I827" i="1" a="1"/>
  <c r="I828" i="1" a="1"/>
  <c r="I829" i="1" a="1"/>
  <c r="I830" i="1" a="1"/>
  <c r="I831" i="1" a="1"/>
  <c r="I832" i="1" a="1"/>
  <c r="I833" i="1" a="1"/>
  <c r="I834" i="1" a="1"/>
  <c r="I835" i="1" a="1"/>
  <c r="I836" i="1" a="1"/>
  <c r="I837" i="1" a="1"/>
  <c r="I838" i="1" a="1"/>
  <c r="I839" i="1" a="1"/>
  <c r="I840" i="1" a="1"/>
  <c r="I841" i="1" a="1"/>
  <c r="I842" i="1" a="1"/>
  <c r="I843" i="1" a="1"/>
  <c r="I844" i="1" a="1"/>
  <c r="I845" i="1" a="1"/>
  <c r="I846" i="1" a="1"/>
  <c r="I847" i="1" a="1"/>
  <c r="I848" i="1" a="1"/>
  <c r="I849" i="1" a="1"/>
  <c r="I850" i="1" a="1"/>
  <c r="I851" i="1" a="1"/>
  <c r="I852" i="1" a="1"/>
  <c r="I853" i="1" a="1"/>
  <c r="I854" i="1" a="1"/>
  <c r="I855" i="1" a="1"/>
  <c r="I856" i="1" a="1"/>
  <c r="I856" i="1" s="1"/>
  <c r="N856" i="1" s="1"/>
  <c r="I857" i="1" a="1"/>
  <c r="I858" i="1" a="1"/>
  <c r="I859" i="1" a="1"/>
  <c r="I860" i="1" a="1"/>
  <c r="I861" i="1" a="1"/>
  <c r="I862" i="1" a="1"/>
  <c r="I863" i="1" a="1"/>
  <c r="I864" i="1" a="1"/>
  <c r="I865" i="1" a="1"/>
  <c r="I866" i="1" a="1"/>
  <c r="I867" i="1" a="1"/>
  <c r="I242" i="1" a="1"/>
  <c r="I243" i="1" a="1"/>
  <c r="I244" i="1" a="1"/>
  <c r="I245" i="1" a="1"/>
  <c r="I246" i="1" a="1"/>
  <c r="I247" i="1" a="1"/>
  <c r="I248" i="1" a="1"/>
  <c r="I249" i="1" a="1"/>
  <c r="I250" i="1" a="1"/>
  <c r="I251" i="1" a="1"/>
  <c r="I252" i="1" a="1"/>
  <c r="I253" i="1" a="1"/>
  <c r="I254" i="1" a="1"/>
  <c r="I255" i="1" a="1"/>
  <c r="I256" i="1" a="1"/>
  <c r="I257" i="1" a="1"/>
  <c r="I257" i="1"/>
  <c r="N257" i="1" s="1"/>
  <c r="I258" i="1" a="1"/>
  <c r="I259" i="1" a="1"/>
  <c r="I260" i="1" a="1"/>
  <c r="I261" i="1" a="1"/>
  <c r="I262" i="1" a="1"/>
  <c r="I263" i="1" a="1"/>
  <c r="I264" i="1" a="1"/>
  <c r="I265" i="1" a="1"/>
  <c r="I266" i="1" a="1"/>
  <c r="I267" i="1" a="1"/>
  <c r="I268" i="1" a="1"/>
  <c r="I269" i="1" a="1"/>
  <c r="I270" i="1" a="1"/>
  <c r="I271" i="1" a="1"/>
  <c r="I272" i="1" a="1"/>
  <c r="I273" i="1" a="1"/>
  <c r="I274" i="1" a="1"/>
  <c r="I275" i="1" a="1"/>
  <c r="I276" i="1" a="1"/>
  <c r="I277" i="1" a="1"/>
  <c r="I278" i="1" a="1"/>
  <c r="I279" i="1" a="1"/>
  <c r="I280" i="1" a="1"/>
  <c r="I281" i="1" a="1"/>
  <c r="I282" i="1" a="1"/>
  <c r="I283" i="1" a="1"/>
  <c r="I284" i="1" a="1"/>
  <c r="I285" i="1" a="1"/>
  <c r="I286" i="1" a="1"/>
  <c r="I287" i="1" a="1"/>
  <c r="I288" i="1" a="1"/>
  <c r="I289" i="1" a="1"/>
  <c r="I289" i="1" s="1"/>
  <c r="N289" i="1" s="1"/>
  <c r="I290" i="1" a="1"/>
  <c r="I291" i="1" a="1"/>
  <c r="I292" i="1" a="1"/>
  <c r="I293" i="1" a="1"/>
  <c r="I294" i="1" a="1"/>
  <c r="I295" i="1" a="1"/>
  <c r="I296" i="1" a="1"/>
  <c r="I297" i="1" a="1"/>
  <c r="I298" i="1" a="1"/>
  <c r="I299" i="1" a="1"/>
  <c r="I300" i="1" a="1"/>
  <c r="I301" i="1" a="1"/>
  <c r="I302" i="1" a="1"/>
  <c r="I303" i="1" a="1"/>
  <c r="I304" i="1" a="1"/>
  <c r="I305" i="1" a="1"/>
  <c r="I306" i="1" a="1"/>
  <c r="I307" i="1" a="1"/>
  <c r="I308" i="1" a="1"/>
  <c r="I309" i="1" a="1"/>
  <c r="I310" i="1" a="1"/>
  <c r="I311" i="1" a="1"/>
  <c r="I312" i="1" a="1"/>
  <c r="I313" i="1" a="1"/>
  <c r="I314" i="1" a="1"/>
  <c r="I315" i="1" a="1"/>
  <c r="I316" i="1" a="1"/>
  <c r="I317" i="1" a="1"/>
  <c r="I318" i="1" a="1"/>
  <c r="I319" i="1" a="1"/>
  <c r="I320" i="1" a="1"/>
  <c r="I321" i="1" a="1"/>
  <c r="I321" i="1" s="1"/>
  <c r="N321" i="1" s="1"/>
  <c r="I322" i="1" a="1"/>
  <c r="I323" i="1" a="1"/>
  <c r="I324" i="1" a="1"/>
  <c r="I325" i="1" a="1"/>
  <c r="I326" i="1" a="1"/>
  <c r="I327" i="1" a="1"/>
  <c r="I328" i="1" a="1"/>
  <c r="I329" i="1" a="1"/>
  <c r="I330" i="1" a="1"/>
  <c r="I331" i="1" a="1"/>
  <c r="I332" i="1" a="1"/>
  <c r="I333" i="1" a="1"/>
  <c r="I334" i="1" a="1"/>
  <c r="I335" i="1" a="1"/>
  <c r="I336" i="1" a="1"/>
  <c r="I337" i="1" a="1"/>
  <c r="I338" i="1" a="1"/>
  <c r="I339" i="1" a="1"/>
  <c r="I340" i="1" a="1"/>
  <c r="I341" i="1" a="1"/>
  <c r="I342" i="1" a="1"/>
  <c r="I343" i="1" a="1"/>
  <c r="I344" i="1" a="1"/>
  <c r="I345" i="1" a="1"/>
  <c r="I346" i="1" a="1"/>
  <c r="I347" i="1" a="1"/>
  <c r="I348" i="1" a="1"/>
  <c r="I349" i="1" a="1"/>
  <c r="I350" i="1" a="1"/>
  <c r="I351" i="1" a="1"/>
  <c r="I352" i="1" a="1"/>
  <c r="I353" i="1" a="1"/>
  <c r="I353" i="1"/>
  <c r="N353" i="1" s="1"/>
  <c r="I354" i="1" a="1"/>
  <c r="I355" i="1" a="1"/>
  <c r="I356" i="1" a="1"/>
  <c r="I357" i="1" a="1"/>
  <c r="I358" i="1" a="1"/>
  <c r="I359" i="1" a="1"/>
  <c r="I360" i="1" a="1"/>
  <c r="I51" i="1" a="1"/>
  <c r="I52" i="1" a="1"/>
  <c r="I53" i="1" a="1"/>
  <c r="I54" i="1" a="1"/>
  <c r="I55" i="1" a="1"/>
  <c r="I56" i="1" a="1"/>
  <c r="I57" i="1" a="1"/>
  <c r="I58" i="1" a="1"/>
  <c r="I59" i="1" a="1"/>
  <c r="I60" i="1" a="1"/>
  <c r="I61" i="1" a="1"/>
  <c r="I62" i="1" a="1"/>
  <c r="I63" i="1" a="1"/>
  <c r="I64" i="1" a="1"/>
  <c r="I65" i="1" a="1"/>
  <c r="I66" i="1" a="1"/>
  <c r="I67" i="1" a="1"/>
  <c r="I68" i="1" a="1"/>
  <c r="I69" i="1" a="1"/>
  <c r="I70" i="1" a="1"/>
  <c r="I71" i="1" a="1"/>
  <c r="I72" i="1" a="1"/>
  <c r="I73" i="1" a="1"/>
  <c r="I74" i="1" a="1"/>
  <c r="I75" i="1" a="1"/>
  <c r="I76" i="1" a="1"/>
  <c r="I77" i="1" a="1"/>
  <c r="I78" i="1" a="1"/>
  <c r="I79" i="1" a="1"/>
  <c r="I80" i="1" a="1"/>
  <c r="I81" i="1" a="1"/>
  <c r="I82" i="1" a="1"/>
  <c r="I83" i="1" a="1"/>
  <c r="I84" i="1" a="1"/>
  <c r="I85" i="1" a="1"/>
  <c r="I86" i="1" a="1"/>
  <c r="I87" i="1" a="1"/>
  <c r="I88" i="1" a="1"/>
  <c r="I89" i="1" a="1"/>
  <c r="I90" i="1" a="1"/>
  <c r="I91" i="1" a="1"/>
  <c r="I92" i="1" a="1"/>
  <c r="I93" i="1" a="1"/>
  <c r="I94" i="1" a="1"/>
  <c r="I95" i="1" a="1"/>
  <c r="I96" i="1" a="1"/>
  <c r="I97" i="1" a="1"/>
  <c r="I98" i="1" a="1"/>
  <c r="I99" i="1" a="1"/>
  <c r="I100" i="1" a="1"/>
  <c r="I101" i="1" a="1"/>
  <c r="I102" i="1" a="1"/>
  <c r="I103" i="1" a="1"/>
  <c r="I104" i="1" a="1"/>
  <c r="I105" i="1" a="1"/>
  <c r="I106" i="1" a="1"/>
  <c r="I107" i="1" a="1"/>
  <c r="I108" i="1" a="1"/>
  <c r="I109" i="1" a="1"/>
  <c r="I110" i="1" a="1"/>
  <c r="I111" i="1" a="1"/>
  <c r="I112" i="1" a="1"/>
  <c r="I113" i="1" a="1"/>
  <c r="I114" i="1" a="1"/>
  <c r="I115" i="1" a="1"/>
  <c r="I116" i="1" a="1"/>
  <c r="I117" i="1" a="1"/>
  <c r="I118" i="1" a="1"/>
  <c r="I119" i="1" a="1"/>
  <c r="I120" i="1" a="1"/>
  <c r="I121" i="1" a="1"/>
  <c r="I122" i="1" a="1"/>
  <c r="I123" i="1" a="1"/>
  <c r="I124" i="1" a="1"/>
  <c r="I125" i="1" a="1"/>
  <c r="I126" i="1" a="1"/>
  <c r="I127" i="1" a="1"/>
  <c r="I128" i="1" a="1"/>
  <c r="I129" i="1" a="1"/>
  <c r="I130" i="1" a="1"/>
  <c r="I131" i="1" a="1"/>
  <c r="I132" i="1" a="1"/>
  <c r="I133" i="1" a="1"/>
  <c r="I134" i="1" a="1"/>
  <c r="I135" i="1" a="1"/>
  <c r="I136" i="1" a="1"/>
  <c r="I137" i="1" a="1"/>
  <c r="I138" i="1" a="1"/>
  <c r="I139" i="1" a="1"/>
  <c r="I140" i="1" a="1"/>
  <c r="I141" i="1" a="1"/>
  <c r="I142" i="1" a="1"/>
  <c r="I143" i="1" a="1"/>
  <c r="I144" i="1" a="1"/>
  <c r="I145" i="1" a="1"/>
  <c r="I146" i="1" a="1"/>
  <c r="I147" i="1" a="1"/>
  <c r="I148" i="1" a="1"/>
  <c r="I149" i="1" a="1"/>
  <c r="I150" i="1" a="1"/>
  <c r="I151" i="1" a="1"/>
  <c r="I152" i="1" a="1"/>
  <c r="I153" i="1" a="1"/>
  <c r="I154" i="1" a="1"/>
  <c r="I155" i="1" a="1"/>
  <c r="I156" i="1" a="1"/>
  <c r="I157" i="1" a="1"/>
  <c r="I158" i="1" a="1"/>
  <c r="I159" i="1" a="1"/>
  <c r="I160" i="1" a="1"/>
  <c r="I161" i="1" a="1"/>
  <c r="I162" i="1" a="1"/>
  <c r="I163" i="1" a="1"/>
  <c r="I164" i="1" a="1"/>
  <c r="I165" i="1" a="1"/>
  <c r="I166" i="1" a="1"/>
  <c r="I167" i="1" a="1"/>
  <c r="I168" i="1" a="1"/>
  <c r="I169" i="1" a="1"/>
  <c r="I170" i="1" a="1"/>
  <c r="I171" i="1" a="1"/>
  <c r="I172" i="1" a="1"/>
  <c r="I173" i="1" a="1"/>
  <c r="I174" i="1" a="1"/>
  <c r="I175" i="1" a="1"/>
  <c r="I176" i="1" a="1"/>
  <c r="I177" i="1" a="1"/>
  <c r="I178" i="1" a="1"/>
  <c r="I179" i="1" a="1"/>
  <c r="I180" i="1" a="1"/>
  <c r="I181" i="1" a="1"/>
  <c r="I182" i="1" a="1"/>
  <c r="I183" i="1" a="1"/>
  <c r="I184" i="1" a="1"/>
  <c r="I185" i="1" a="1"/>
  <c r="I186" i="1" a="1"/>
  <c r="I187" i="1" a="1"/>
  <c r="I188" i="1" a="1"/>
  <c r="I188" i="1" s="1"/>
  <c r="N188" i="1" s="1"/>
  <c r="I189" i="1" a="1"/>
  <c r="I190" i="1" a="1"/>
  <c r="I191" i="1" a="1"/>
  <c r="I192" i="1" a="1"/>
  <c r="I193" i="1" a="1"/>
  <c r="I194" i="1" a="1"/>
  <c r="I195" i="1" a="1"/>
  <c r="I196" i="1" a="1"/>
  <c r="I197" i="1" a="1"/>
  <c r="I198" i="1" a="1"/>
  <c r="I199" i="1" a="1"/>
  <c r="I200" i="1" a="1"/>
  <c r="I201" i="1" a="1"/>
  <c r="I202" i="1" a="1"/>
  <c r="I203" i="1" a="1"/>
  <c r="I204" i="1" a="1"/>
  <c r="I205" i="1" a="1"/>
  <c r="I206" i="1" a="1"/>
  <c r="I207" i="1" a="1"/>
  <c r="I208" i="1" a="1"/>
  <c r="I209" i="1" a="1"/>
  <c r="I210" i="1" a="1"/>
  <c r="I211" i="1" a="1"/>
  <c r="I212" i="1" a="1"/>
  <c r="I213" i="1" a="1"/>
  <c r="I214" i="1" a="1"/>
  <c r="I215" i="1" a="1"/>
  <c r="I216" i="1" a="1"/>
  <c r="I217" i="1" a="1"/>
  <c r="I218" i="1" a="1"/>
  <c r="I219" i="1" a="1"/>
  <c r="I220" i="1" a="1"/>
  <c r="I220" i="1" s="1"/>
  <c r="N220" i="1" s="1"/>
  <c r="I221" i="1" a="1"/>
  <c r="I222" i="1" a="1"/>
  <c r="I223" i="1" a="1"/>
  <c r="I224" i="1" a="1"/>
  <c r="I225" i="1" a="1"/>
  <c r="I226" i="1" a="1"/>
  <c r="I227" i="1" a="1"/>
  <c r="I228" i="1" a="1"/>
  <c r="I229" i="1" a="1"/>
  <c r="I230" i="1" a="1"/>
  <c r="I231" i="1" a="1"/>
  <c r="I232" i="1" a="1"/>
  <c r="I233" i="1" a="1"/>
  <c r="I234" i="1" a="1"/>
  <c r="I235" i="1" a="1"/>
  <c r="I236" i="1" a="1"/>
  <c r="I237" i="1" a="1"/>
  <c r="I238" i="1" a="1"/>
  <c r="I239" i="1" a="1"/>
  <c r="I240" i="1" a="1"/>
  <c r="I241" i="1" a="1"/>
  <c r="I13" i="1" a="1"/>
  <c r="I14" i="1" a="1"/>
  <c r="I15" i="1" a="1"/>
  <c r="I16" i="1" a="1"/>
  <c r="I17" i="1" a="1"/>
  <c r="I18" i="1" a="1"/>
  <c r="I19" i="1" a="1"/>
  <c r="I20" i="1" a="1"/>
  <c r="I21" i="1" a="1"/>
  <c r="I22" i="1" a="1"/>
  <c r="I23" i="1" a="1"/>
  <c r="I24" i="1" a="1"/>
  <c r="I25" i="1" a="1"/>
  <c r="I26" i="1" a="1"/>
  <c r="I27" i="1" a="1"/>
  <c r="I28" i="1" a="1"/>
  <c r="I29" i="1" a="1"/>
  <c r="I30" i="1" a="1"/>
  <c r="I31" i="1" a="1"/>
  <c r="I32" i="1" a="1"/>
  <c r="I33" i="1" a="1"/>
  <c r="I34" i="1" a="1"/>
  <c r="I35" i="1" a="1"/>
  <c r="I36" i="1" a="1"/>
  <c r="I37" i="1" a="1"/>
  <c r="I38" i="1" a="1"/>
  <c r="I39" i="1" a="1"/>
  <c r="I40" i="1" a="1"/>
  <c r="I41" i="1" a="1"/>
  <c r="I42" i="1" a="1"/>
  <c r="I43" i="1" a="1"/>
  <c r="I44" i="1" a="1"/>
  <c r="I45" i="1" a="1"/>
  <c r="I46" i="1" a="1"/>
  <c r="I47" i="1" a="1"/>
  <c r="I48" i="1" a="1"/>
  <c r="I49" i="1" a="1"/>
  <c r="I50" i="1" a="1"/>
  <c r="I5" i="1" a="1"/>
  <c r="I6" i="1" a="1"/>
  <c r="I7" i="1" a="1"/>
  <c r="I8" i="1" a="1"/>
  <c r="I9" i="1" a="1"/>
  <c r="I10" i="1" a="1"/>
  <c r="I11" i="1" a="1"/>
  <c r="I12" i="1" a="1"/>
  <c r="I3" i="1" a="1"/>
  <c r="I4" i="1" a="1"/>
  <c r="I2" i="1" a="1"/>
  <c r="M2" i="1" s="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2"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4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2" i="1"/>
  <c r="F2"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3" i="1"/>
  <c r="F4" i="1"/>
  <c r="F5" i="1"/>
  <c r="F6" i="1"/>
  <c r="F7" i="1"/>
  <c r="I4" i="1" l="1"/>
  <c r="N4" i="1" s="1"/>
  <c r="O4" i="1"/>
  <c r="M4" i="1"/>
  <c r="I6" i="1"/>
  <c r="N6" i="1" s="1"/>
  <c r="O6" i="1"/>
  <c r="M6" i="1"/>
  <c r="I44" i="1"/>
  <c r="N44" i="1" s="1"/>
  <c r="O44" i="1"/>
  <c r="M44" i="1"/>
  <c r="I36" i="1"/>
  <c r="N36" i="1" s="1"/>
  <c r="O36" i="1"/>
  <c r="M36" i="1"/>
  <c r="I28" i="1"/>
  <c r="N28" i="1" s="1"/>
  <c r="O28" i="1"/>
  <c r="M28" i="1"/>
  <c r="I20" i="1"/>
  <c r="N20" i="1" s="1"/>
  <c r="O20" i="1"/>
  <c r="M20" i="1"/>
  <c r="I241" i="1"/>
  <c r="N241" i="1" s="1"/>
  <c r="O241" i="1"/>
  <c r="M241" i="1"/>
  <c r="I233" i="1"/>
  <c r="N233" i="1" s="1"/>
  <c r="O233" i="1"/>
  <c r="M233" i="1"/>
  <c r="I225" i="1"/>
  <c r="N225" i="1" s="1"/>
  <c r="O225" i="1"/>
  <c r="M225" i="1"/>
  <c r="I218" i="1"/>
  <c r="N218" i="1" s="1"/>
  <c r="O218" i="1"/>
  <c r="M218" i="1"/>
  <c r="I210" i="1"/>
  <c r="N210" i="1" s="1"/>
  <c r="O210" i="1"/>
  <c r="M210" i="1"/>
  <c r="I202" i="1"/>
  <c r="N202" i="1" s="1"/>
  <c r="O202" i="1"/>
  <c r="M202" i="1"/>
  <c r="I194" i="1"/>
  <c r="N194" i="1" s="1"/>
  <c r="O194" i="1"/>
  <c r="M194" i="1"/>
  <c r="I187" i="1"/>
  <c r="N187" i="1" s="1"/>
  <c r="O187" i="1"/>
  <c r="M187" i="1"/>
  <c r="I179" i="1"/>
  <c r="N179" i="1" s="1"/>
  <c r="O179" i="1"/>
  <c r="M179" i="1"/>
  <c r="I171" i="1"/>
  <c r="N171" i="1" s="1"/>
  <c r="O171" i="1"/>
  <c r="M171" i="1"/>
  <c r="I163" i="1"/>
  <c r="N163" i="1" s="1"/>
  <c r="O163" i="1"/>
  <c r="M163" i="1"/>
  <c r="O156" i="1"/>
  <c r="M156" i="1"/>
  <c r="I148" i="1"/>
  <c r="N148" i="1" s="1"/>
  <c r="O148" i="1"/>
  <c r="M148" i="1"/>
  <c r="I140" i="1"/>
  <c r="N140" i="1" s="1"/>
  <c r="O140" i="1"/>
  <c r="M140" i="1"/>
  <c r="I132" i="1"/>
  <c r="N132" i="1" s="1"/>
  <c r="O132" i="1"/>
  <c r="M132" i="1"/>
  <c r="I124" i="1"/>
  <c r="N124" i="1" s="1"/>
  <c r="O124" i="1"/>
  <c r="M124" i="1"/>
  <c r="I116" i="1"/>
  <c r="N116" i="1" s="1"/>
  <c r="O116" i="1"/>
  <c r="M116" i="1"/>
  <c r="I108" i="1"/>
  <c r="N108" i="1" s="1"/>
  <c r="O108" i="1"/>
  <c r="M108" i="1"/>
  <c r="I100" i="1"/>
  <c r="N100" i="1" s="1"/>
  <c r="O100" i="1"/>
  <c r="M100" i="1"/>
  <c r="I92" i="1"/>
  <c r="N92" i="1" s="1"/>
  <c r="O92" i="1"/>
  <c r="M92" i="1"/>
  <c r="I84" i="1"/>
  <c r="N84" i="1" s="1"/>
  <c r="O84" i="1"/>
  <c r="M84" i="1"/>
  <c r="I76" i="1"/>
  <c r="N76" i="1" s="1"/>
  <c r="O76" i="1"/>
  <c r="M76" i="1"/>
  <c r="I68" i="1"/>
  <c r="N68" i="1" s="1"/>
  <c r="O68" i="1"/>
  <c r="M68" i="1"/>
  <c r="I60" i="1"/>
  <c r="N60" i="1" s="1"/>
  <c r="O60" i="1"/>
  <c r="M60" i="1"/>
  <c r="I52" i="1"/>
  <c r="N52" i="1" s="1"/>
  <c r="O52" i="1"/>
  <c r="M52" i="1"/>
  <c r="I354" i="1"/>
  <c r="N354" i="1" s="1"/>
  <c r="O354" i="1"/>
  <c r="M354" i="1"/>
  <c r="I347" i="1"/>
  <c r="N347" i="1" s="1"/>
  <c r="O347" i="1"/>
  <c r="M347" i="1"/>
  <c r="I339" i="1"/>
  <c r="N339" i="1" s="1"/>
  <c r="O339" i="1"/>
  <c r="M339" i="1"/>
  <c r="I331" i="1"/>
  <c r="N331" i="1" s="1"/>
  <c r="O331" i="1"/>
  <c r="M331" i="1"/>
  <c r="I323" i="1"/>
  <c r="N323" i="1" s="1"/>
  <c r="O323" i="1"/>
  <c r="M323" i="1"/>
  <c r="I316" i="1"/>
  <c r="N316" i="1" s="1"/>
  <c r="O316" i="1"/>
  <c r="M316" i="1"/>
  <c r="I308" i="1"/>
  <c r="N308" i="1" s="1"/>
  <c r="O308" i="1"/>
  <c r="M308" i="1"/>
  <c r="I300" i="1"/>
  <c r="N300" i="1" s="1"/>
  <c r="O300" i="1"/>
  <c r="M300" i="1"/>
  <c r="I292" i="1"/>
  <c r="N292" i="1" s="1"/>
  <c r="O292" i="1"/>
  <c r="M292" i="1"/>
  <c r="I285" i="1"/>
  <c r="N285" i="1" s="1"/>
  <c r="O285" i="1"/>
  <c r="M285" i="1"/>
  <c r="I277" i="1"/>
  <c r="N277" i="1" s="1"/>
  <c r="O277" i="1"/>
  <c r="M277" i="1"/>
  <c r="I269" i="1"/>
  <c r="N269" i="1" s="1"/>
  <c r="O269" i="1"/>
  <c r="M269" i="1"/>
  <c r="I261" i="1"/>
  <c r="N261" i="1" s="1"/>
  <c r="O261" i="1"/>
  <c r="M261" i="1"/>
  <c r="I254" i="1"/>
  <c r="N254" i="1" s="1"/>
  <c r="O254" i="1"/>
  <c r="M254" i="1"/>
  <c r="I246" i="1"/>
  <c r="N246" i="1" s="1"/>
  <c r="O246" i="1"/>
  <c r="M246" i="1"/>
  <c r="I864" i="1"/>
  <c r="N864" i="1" s="1"/>
  <c r="O864" i="1"/>
  <c r="M864" i="1"/>
  <c r="I849" i="1"/>
  <c r="N849" i="1" s="1"/>
  <c r="O849" i="1"/>
  <c r="M849" i="1"/>
  <c r="I841" i="1"/>
  <c r="N841" i="1" s="1"/>
  <c r="O841" i="1"/>
  <c r="M841" i="1"/>
  <c r="I833" i="1"/>
  <c r="N833" i="1" s="1"/>
  <c r="O833" i="1"/>
  <c r="M833" i="1"/>
  <c r="I825" i="1"/>
  <c r="N825" i="1" s="1"/>
  <c r="O825" i="1"/>
  <c r="M825" i="1"/>
  <c r="I817" i="1"/>
  <c r="N817" i="1" s="1"/>
  <c r="O817" i="1"/>
  <c r="M817" i="1"/>
  <c r="I809" i="1"/>
  <c r="N809" i="1" s="1"/>
  <c r="O809" i="1"/>
  <c r="M809" i="1"/>
  <c r="I801" i="1"/>
  <c r="N801" i="1" s="1"/>
  <c r="O801" i="1"/>
  <c r="M801" i="1"/>
  <c r="I793" i="1"/>
  <c r="N793" i="1" s="1"/>
  <c r="O793" i="1"/>
  <c r="M793" i="1"/>
  <c r="I785" i="1"/>
  <c r="N785" i="1" s="1"/>
  <c r="O785" i="1"/>
  <c r="M785" i="1"/>
  <c r="I777" i="1"/>
  <c r="N777" i="1" s="1"/>
  <c r="O777" i="1"/>
  <c r="M777" i="1"/>
  <c r="I769" i="1"/>
  <c r="N769" i="1" s="1"/>
  <c r="O769" i="1"/>
  <c r="M769" i="1"/>
  <c r="I761" i="1"/>
  <c r="N761" i="1" s="1"/>
  <c r="O761" i="1"/>
  <c r="M761" i="1"/>
  <c r="I753" i="1"/>
  <c r="N753" i="1" s="1"/>
  <c r="O753" i="1"/>
  <c r="M753" i="1"/>
  <c r="O746" i="1"/>
  <c r="M746" i="1"/>
  <c r="I738" i="1"/>
  <c r="N738" i="1" s="1"/>
  <c r="O738" i="1"/>
  <c r="M738" i="1"/>
  <c r="I730" i="1"/>
  <c r="N730" i="1" s="1"/>
  <c r="O730" i="1"/>
  <c r="M730" i="1"/>
  <c r="I722" i="1"/>
  <c r="N722" i="1" s="1"/>
  <c r="O722" i="1"/>
  <c r="M722" i="1"/>
  <c r="I714" i="1"/>
  <c r="N714" i="1" s="1"/>
  <c r="O714" i="1"/>
  <c r="M714" i="1"/>
  <c r="I706" i="1"/>
  <c r="N706" i="1" s="1"/>
  <c r="O706" i="1"/>
  <c r="M706" i="1"/>
  <c r="I699" i="1"/>
  <c r="N699" i="1" s="1"/>
  <c r="O699" i="1"/>
  <c r="M699" i="1"/>
  <c r="I691" i="1"/>
  <c r="N691" i="1" s="1"/>
  <c r="O691" i="1"/>
  <c r="M691" i="1"/>
  <c r="I683" i="1"/>
  <c r="N683" i="1" s="1"/>
  <c r="O683" i="1"/>
  <c r="M683" i="1"/>
  <c r="I675" i="1"/>
  <c r="N675" i="1" s="1"/>
  <c r="O675" i="1"/>
  <c r="M675" i="1"/>
  <c r="I668" i="1"/>
  <c r="N668" i="1" s="1"/>
  <c r="O668" i="1"/>
  <c r="M668" i="1"/>
  <c r="I660" i="1"/>
  <c r="N660" i="1" s="1"/>
  <c r="O660" i="1"/>
  <c r="M660" i="1"/>
  <c r="I652" i="1"/>
  <c r="N652" i="1" s="1"/>
  <c r="O652" i="1"/>
  <c r="M652" i="1"/>
  <c r="I644" i="1"/>
  <c r="N644" i="1" s="1"/>
  <c r="O644" i="1"/>
  <c r="M644" i="1"/>
  <c r="I636" i="1"/>
  <c r="N636" i="1" s="1"/>
  <c r="O636" i="1"/>
  <c r="M636" i="1"/>
  <c r="I628" i="1"/>
  <c r="N628" i="1" s="1"/>
  <c r="O628" i="1"/>
  <c r="M628" i="1"/>
  <c r="I620" i="1"/>
  <c r="N620" i="1" s="1"/>
  <c r="O620" i="1"/>
  <c r="M620" i="1"/>
  <c r="I612" i="1"/>
  <c r="N612" i="1" s="1"/>
  <c r="O612" i="1"/>
  <c r="M612" i="1"/>
  <c r="I604" i="1"/>
  <c r="N604" i="1" s="1"/>
  <c r="O604" i="1"/>
  <c r="M604" i="1"/>
  <c r="I596" i="1"/>
  <c r="N596" i="1" s="1"/>
  <c r="O596" i="1"/>
  <c r="M596" i="1"/>
  <c r="I588" i="1"/>
  <c r="N588" i="1" s="1"/>
  <c r="O588" i="1"/>
  <c r="M588" i="1"/>
  <c r="I580" i="1"/>
  <c r="N580" i="1" s="1"/>
  <c r="O580" i="1"/>
  <c r="M580" i="1"/>
  <c r="I572" i="1"/>
  <c r="N572" i="1" s="1"/>
  <c r="O572" i="1"/>
  <c r="M572" i="1"/>
  <c r="I564" i="1"/>
  <c r="N564" i="1" s="1"/>
  <c r="O564" i="1"/>
  <c r="M564" i="1"/>
  <c r="I556" i="1"/>
  <c r="N556" i="1" s="1"/>
  <c r="O556" i="1"/>
  <c r="M556" i="1"/>
  <c r="I548" i="1"/>
  <c r="N548" i="1" s="1"/>
  <c r="O548" i="1"/>
  <c r="M548" i="1"/>
  <c r="I540" i="1"/>
  <c r="N540" i="1" s="1"/>
  <c r="O540" i="1"/>
  <c r="M540" i="1"/>
  <c r="I532" i="1"/>
  <c r="N532" i="1" s="1"/>
  <c r="O532" i="1"/>
  <c r="M532" i="1"/>
  <c r="I525" i="1"/>
  <c r="N525" i="1" s="1"/>
  <c r="O525" i="1"/>
  <c r="M525" i="1"/>
  <c r="I517" i="1"/>
  <c r="N517" i="1" s="1"/>
  <c r="O517" i="1"/>
  <c r="M517" i="1"/>
  <c r="I509" i="1"/>
  <c r="N509" i="1" s="1"/>
  <c r="O509" i="1"/>
  <c r="M509" i="1"/>
  <c r="I501" i="1"/>
  <c r="N501" i="1" s="1"/>
  <c r="O501" i="1"/>
  <c r="M501" i="1"/>
  <c r="I494" i="1"/>
  <c r="N494" i="1" s="1"/>
  <c r="O494" i="1"/>
  <c r="M494" i="1"/>
  <c r="I487" i="1"/>
  <c r="N487" i="1" s="1"/>
  <c r="O487" i="1"/>
  <c r="M487" i="1"/>
  <c r="I479" i="1"/>
  <c r="N479" i="1" s="1"/>
  <c r="O479" i="1"/>
  <c r="M479" i="1"/>
  <c r="I471" i="1"/>
  <c r="N471" i="1" s="1"/>
  <c r="O471" i="1"/>
  <c r="M471" i="1"/>
  <c r="I463" i="1"/>
  <c r="N463" i="1" s="1"/>
  <c r="O463" i="1"/>
  <c r="M463" i="1"/>
  <c r="I448" i="1"/>
  <c r="N448" i="1" s="1"/>
  <c r="O448" i="1"/>
  <c r="M448" i="1"/>
  <c r="I440" i="1"/>
  <c r="N440" i="1" s="1"/>
  <c r="O440" i="1"/>
  <c r="M440" i="1"/>
  <c r="I432" i="1"/>
  <c r="N432" i="1" s="1"/>
  <c r="O432" i="1"/>
  <c r="M432" i="1"/>
  <c r="I424" i="1"/>
  <c r="N424" i="1" s="1"/>
  <c r="O424" i="1"/>
  <c r="M424" i="1"/>
  <c r="I416" i="1"/>
  <c r="N416" i="1" s="1"/>
  <c r="O416" i="1"/>
  <c r="M416" i="1"/>
  <c r="I408" i="1"/>
  <c r="N408" i="1" s="1"/>
  <c r="O408" i="1"/>
  <c r="M408" i="1"/>
  <c r="I393" i="1"/>
  <c r="N393" i="1" s="1"/>
  <c r="O393" i="1"/>
  <c r="M393" i="1"/>
  <c r="I385" i="1"/>
  <c r="N385" i="1" s="1"/>
  <c r="O385" i="1"/>
  <c r="M385" i="1"/>
  <c r="I377" i="1"/>
  <c r="N377" i="1" s="1"/>
  <c r="O377" i="1"/>
  <c r="M377" i="1"/>
  <c r="I369" i="1"/>
  <c r="N369" i="1" s="1"/>
  <c r="O369" i="1"/>
  <c r="M369" i="1"/>
  <c r="I361" i="1"/>
  <c r="N361" i="1" s="1"/>
  <c r="O361" i="1"/>
  <c r="M361" i="1"/>
  <c r="I994" i="1"/>
  <c r="N994" i="1" s="1"/>
  <c r="O994" i="1"/>
  <c r="I979" i="1"/>
  <c r="N979" i="1" s="1"/>
  <c r="O979" i="1"/>
  <c r="I971" i="1"/>
  <c r="N971" i="1" s="1"/>
  <c r="O971" i="1"/>
  <c r="I963" i="1"/>
  <c r="N963" i="1" s="1"/>
  <c r="O963" i="1"/>
  <c r="I955" i="1"/>
  <c r="N955" i="1" s="1"/>
  <c r="O955" i="1"/>
  <c r="I947" i="1"/>
  <c r="N947" i="1" s="1"/>
  <c r="O947" i="1"/>
  <c r="I939" i="1"/>
  <c r="N939" i="1" s="1"/>
  <c r="O939" i="1"/>
  <c r="I931" i="1"/>
  <c r="N931" i="1" s="1"/>
  <c r="O931" i="1"/>
  <c r="I923" i="1"/>
  <c r="N923" i="1" s="1"/>
  <c r="O923" i="1"/>
  <c r="I915" i="1"/>
  <c r="N915" i="1" s="1"/>
  <c r="O915" i="1"/>
  <c r="I907" i="1"/>
  <c r="N907" i="1" s="1"/>
  <c r="O907" i="1"/>
  <c r="I899" i="1"/>
  <c r="N899" i="1" s="1"/>
  <c r="O899" i="1"/>
  <c r="M899" i="1"/>
  <c r="I891" i="1"/>
  <c r="N891" i="1" s="1"/>
  <c r="O891" i="1"/>
  <c r="M891" i="1"/>
  <c r="I883" i="1"/>
  <c r="N883" i="1" s="1"/>
  <c r="O883" i="1"/>
  <c r="M883" i="1"/>
  <c r="I875" i="1"/>
  <c r="N875" i="1" s="1"/>
  <c r="O875" i="1"/>
  <c r="M875" i="1"/>
  <c r="I3" i="1"/>
  <c r="N3" i="1" s="1"/>
  <c r="O3" i="1"/>
  <c r="M3" i="1"/>
  <c r="I5" i="1"/>
  <c r="N5" i="1" s="1"/>
  <c r="O5" i="1"/>
  <c r="M5" i="1"/>
  <c r="I43" i="1"/>
  <c r="N43" i="1" s="1"/>
  <c r="O43" i="1"/>
  <c r="M43" i="1"/>
  <c r="I35" i="1"/>
  <c r="N35" i="1" s="1"/>
  <c r="O35" i="1"/>
  <c r="M35" i="1"/>
  <c r="I27" i="1"/>
  <c r="N27" i="1" s="1"/>
  <c r="O27" i="1"/>
  <c r="M27" i="1"/>
  <c r="I19" i="1"/>
  <c r="N19" i="1" s="1"/>
  <c r="O19" i="1"/>
  <c r="M19" i="1"/>
  <c r="I240" i="1"/>
  <c r="N240" i="1" s="1"/>
  <c r="O240" i="1"/>
  <c r="M240" i="1"/>
  <c r="I232" i="1"/>
  <c r="N232" i="1" s="1"/>
  <c r="O232" i="1"/>
  <c r="M232" i="1"/>
  <c r="I224" i="1"/>
  <c r="N224" i="1" s="1"/>
  <c r="O224" i="1"/>
  <c r="M224" i="1"/>
  <c r="I217" i="1"/>
  <c r="N217" i="1" s="1"/>
  <c r="O217" i="1"/>
  <c r="M217" i="1"/>
  <c r="I209" i="1"/>
  <c r="N209" i="1" s="1"/>
  <c r="O209" i="1"/>
  <c r="M209" i="1"/>
  <c r="I201" i="1"/>
  <c r="N201" i="1" s="1"/>
  <c r="O201" i="1"/>
  <c r="M201" i="1"/>
  <c r="I193" i="1"/>
  <c r="N193" i="1" s="1"/>
  <c r="O193" i="1"/>
  <c r="M193" i="1"/>
  <c r="I186" i="1"/>
  <c r="N186" i="1" s="1"/>
  <c r="O186" i="1"/>
  <c r="M186" i="1"/>
  <c r="I178" i="1"/>
  <c r="N178" i="1" s="1"/>
  <c r="O178" i="1"/>
  <c r="M178" i="1"/>
  <c r="I170" i="1"/>
  <c r="N170" i="1" s="1"/>
  <c r="O170" i="1"/>
  <c r="M170" i="1"/>
  <c r="I162" i="1"/>
  <c r="N162" i="1" s="1"/>
  <c r="O162" i="1"/>
  <c r="M162" i="1"/>
  <c r="I155" i="1"/>
  <c r="N155" i="1" s="1"/>
  <c r="O155" i="1"/>
  <c r="M155" i="1"/>
  <c r="I147" i="1"/>
  <c r="N147" i="1" s="1"/>
  <c r="O147" i="1"/>
  <c r="M147" i="1"/>
  <c r="I139" i="1"/>
  <c r="N139" i="1" s="1"/>
  <c r="O139" i="1"/>
  <c r="M139" i="1"/>
  <c r="I131" i="1"/>
  <c r="N131" i="1" s="1"/>
  <c r="O131" i="1"/>
  <c r="M131" i="1"/>
  <c r="I123" i="1"/>
  <c r="N123" i="1" s="1"/>
  <c r="O123" i="1"/>
  <c r="M123" i="1"/>
  <c r="I115" i="1"/>
  <c r="N115" i="1" s="1"/>
  <c r="O115" i="1"/>
  <c r="M115" i="1"/>
  <c r="I107" i="1"/>
  <c r="N107" i="1" s="1"/>
  <c r="O107" i="1"/>
  <c r="M107" i="1"/>
  <c r="I99" i="1"/>
  <c r="N99" i="1" s="1"/>
  <c r="O99" i="1"/>
  <c r="M99" i="1"/>
  <c r="I91" i="1"/>
  <c r="N91" i="1" s="1"/>
  <c r="O91" i="1"/>
  <c r="M91" i="1"/>
  <c r="I83" i="1"/>
  <c r="N83" i="1" s="1"/>
  <c r="O83" i="1"/>
  <c r="M83" i="1"/>
  <c r="I75" i="1"/>
  <c r="N75" i="1" s="1"/>
  <c r="O75" i="1"/>
  <c r="M75" i="1"/>
  <c r="I67" i="1"/>
  <c r="N67" i="1" s="1"/>
  <c r="O67" i="1"/>
  <c r="M67" i="1"/>
  <c r="I59" i="1"/>
  <c r="N59" i="1" s="1"/>
  <c r="O59" i="1"/>
  <c r="M59" i="1"/>
  <c r="I51" i="1"/>
  <c r="N51" i="1" s="1"/>
  <c r="O51" i="1"/>
  <c r="M51" i="1"/>
  <c r="I346" i="1"/>
  <c r="N346" i="1" s="1"/>
  <c r="O346" i="1"/>
  <c r="M346" i="1"/>
  <c r="I338" i="1"/>
  <c r="N338" i="1" s="1"/>
  <c r="O338" i="1"/>
  <c r="M338" i="1"/>
  <c r="I330" i="1"/>
  <c r="N330" i="1" s="1"/>
  <c r="O330" i="1"/>
  <c r="M330" i="1"/>
  <c r="I322" i="1"/>
  <c r="N322" i="1" s="1"/>
  <c r="O322" i="1"/>
  <c r="M322" i="1"/>
  <c r="I315" i="1"/>
  <c r="N315" i="1" s="1"/>
  <c r="O315" i="1"/>
  <c r="M315" i="1"/>
  <c r="I307" i="1"/>
  <c r="N307" i="1" s="1"/>
  <c r="O307" i="1"/>
  <c r="M307" i="1"/>
  <c r="I299" i="1"/>
  <c r="N299" i="1" s="1"/>
  <c r="O299" i="1"/>
  <c r="M299" i="1"/>
  <c r="I291" i="1"/>
  <c r="N291" i="1" s="1"/>
  <c r="O291" i="1"/>
  <c r="M291" i="1"/>
  <c r="I284" i="1"/>
  <c r="N284" i="1" s="1"/>
  <c r="O284" i="1"/>
  <c r="M284" i="1"/>
  <c r="I276" i="1"/>
  <c r="N276" i="1" s="1"/>
  <c r="O276" i="1"/>
  <c r="M276" i="1"/>
  <c r="I268" i="1"/>
  <c r="N268" i="1" s="1"/>
  <c r="O268" i="1"/>
  <c r="M268" i="1"/>
  <c r="I260" i="1"/>
  <c r="N260" i="1" s="1"/>
  <c r="O260" i="1"/>
  <c r="M260" i="1"/>
  <c r="I253" i="1"/>
  <c r="N253" i="1" s="1"/>
  <c r="O253" i="1"/>
  <c r="M253" i="1"/>
  <c r="I245" i="1"/>
  <c r="N245" i="1" s="1"/>
  <c r="O245" i="1"/>
  <c r="M245" i="1"/>
  <c r="I863" i="1"/>
  <c r="N863" i="1" s="1"/>
  <c r="O863" i="1"/>
  <c r="M863" i="1"/>
  <c r="O856" i="1"/>
  <c r="M856" i="1"/>
  <c r="I848" i="1"/>
  <c r="N848" i="1" s="1"/>
  <c r="O848" i="1"/>
  <c r="M848" i="1"/>
  <c r="I840" i="1"/>
  <c r="N840" i="1" s="1"/>
  <c r="O840" i="1"/>
  <c r="M840" i="1"/>
  <c r="I832" i="1"/>
  <c r="N832" i="1" s="1"/>
  <c r="O832" i="1"/>
  <c r="M832" i="1"/>
  <c r="I824" i="1"/>
  <c r="N824" i="1" s="1"/>
  <c r="O824" i="1"/>
  <c r="M824" i="1"/>
  <c r="I816" i="1"/>
  <c r="N816" i="1" s="1"/>
  <c r="O816" i="1"/>
  <c r="M816" i="1"/>
  <c r="I808" i="1"/>
  <c r="N808" i="1" s="1"/>
  <c r="O808" i="1"/>
  <c r="M808" i="1"/>
  <c r="I800" i="1"/>
  <c r="N800" i="1" s="1"/>
  <c r="O800" i="1"/>
  <c r="M800" i="1"/>
  <c r="I792" i="1"/>
  <c r="N792" i="1" s="1"/>
  <c r="O792" i="1"/>
  <c r="M792" i="1"/>
  <c r="I784" i="1"/>
  <c r="N784" i="1" s="1"/>
  <c r="O784" i="1"/>
  <c r="M784" i="1"/>
  <c r="I776" i="1"/>
  <c r="N776" i="1" s="1"/>
  <c r="O776" i="1"/>
  <c r="M776" i="1"/>
  <c r="I768" i="1"/>
  <c r="N768" i="1" s="1"/>
  <c r="O768" i="1"/>
  <c r="M768" i="1"/>
  <c r="I760" i="1"/>
  <c r="N760" i="1" s="1"/>
  <c r="O760" i="1"/>
  <c r="M760" i="1"/>
  <c r="I752" i="1"/>
  <c r="N752" i="1" s="1"/>
  <c r="O752" i="1"/>
  <c r="M752" i="1"/>
  <c r="I745" i="1"/>
  <c r="N745" i="1" s="1"/>
  <c r="O745" i="1"/>
  <c r="M745" i="1"/>
  <c r="I737" i="1"/>
  <c r="N737" i="1" s="1"/>
  <c r="O737" i="1"/>
  <c r="M737" i="1"/>
  <c r="I729" i="1"/>
  <c r="N729" i="1" s="1"/>
  <c r="O729" i="1"/>
  <c r="M729" i="1"/>
  <c r="I721" i="1"/>
  <c r="N721" i="1" s="1"/>
  <c r="O721" i="1"/>
  <c r="M721" i="1"/>
  <c r="I713" i="1"/>
  <c r="N713" i="1" s="1"/>
  <c r="O713" i="1"/>
  <c r="M713" i="1"/>
  <c r="I705" i="1"/>
  <c r="N705" i="1" s="1"/>
  <c r="O705" i="1"/>
  <c r="M705" i="1"/>
  <c r="I698" i="1"/>
  <c r="N698" i="1" s="1"/>
  <c r="O698" i="1"/>
  <c r="M698" i="1"/>
  <c r="I690" i="1"/>
  <c r="N690" i="1" s="1"/>
  <c r="O690" i="1"/>
  <c r="M690" i="1"/>
  <c r="I682" i="1"/>
  <c r="N682" i="1" s="1"/>
  <c r="O682" i="1"/>
  <c r="M682" i="1"/>
  <c r="I674" i="1"/>
  <c r="N674" i="1" s="1"/>
  <c r="O674" i="1"/>
  <c r="M674" i="1"/>
  <c r="I667" i="1"/>
  <c r="N667" i="1" s="1"/>
  <c r="O667" i="1"/>
  <c r="M667" i="1"/>
  <c r="I659" i="1"/>
  <c r="N659" i="1" s="1"/>
  <c r="O659" i="1"/>
  <c r="M659" i="1"/>
  <c r="I651" i="1"/>
  <c r="N651" i="1" s="1"/>
  <c r="O651" i="1"/>
  <c r="M651" i="1"/>
  <c r="I643" i="1"/>
  <c r="N643" i="1" s="1"/>
  <c r="O643" i="1"/>
  <c r="M643" i="1"/>
  <c r="I635" i="1"/>
  <c r="N635" i="1" s="1"/>
  <c r="O635" i="1"/>
  <c r="M635" i="1"/>
  <c r="I627" i="1"/>
  <c r="N627" i="1" s="1"/>
  <c r="O627" i="1"/>
  <c r="M627" i="1"/>
  <c r="I619" i="1"/>
  <c r="N619" i="1" s="1"/>
  <c r="O619" i="1"/>
  <c r="M619" i="1"/>
  <c r="I611" i="1"/>
  <c r="N611" i="1" s="1"/>
  <c r="O611" i="1"/>
  <c r="M611" i="1"/>
  <c r="I603" i="1"/>
  <c r="N603" i="1" s="1"/>
  <c r="O603" i="1"/>
  <c r="M603" i="1"/>
  <c r="I595" i="1"/>
  <c r="N595" i="1" s="1"/>
  <c r="O595" i="1"/>
  <c r="M595" i="1"/>
  <c r="I587" i="1"/>
  <c r="N587" i="1" s="1"/>
  <c r="O587" i="1"/>
  <c r="M587" i="1"/>
  <c r="I579" i="1"/>
  <c r="N579" i="1" s="1"/>
  <c r="O579" i="1"/>
  <c r="M579" i="1"/>
  <c r="I571" i="1"/>
  <c r="N571" i="1" s="1"/>
  <c r="O571" i="1"/>
  <c r="M571" i="1"/>
  <c r="I563" i="1"/>
  <c r="N563" i="1" s="1"/>
  <c r="O563" i="1"/>
  <c r="M563" i="1"/>
  <c r="I555" i="1"/>
  <c r="N555" i="1" s="1"/>
  <c r="O555" i="1"/>
  <c r="M555" i="1"/>
  <c r="I547" i="1"/>
  <c r="N547" i="1" s="1"/>
  <c r="O547" i="1"/>
  <c r="M547" i="1"/>
  <c r="I539" i="1"/>
  <c r="N539" i="1" s="1"/>
  <c r="O539" i="1"/>
  <c r="M539" i="1"/>
  <c r="I524" i="1"/>
  <c r="N524" i="1" s="1"/>
  <c r="O524" i="1"/>
  <c r="M524" i="1"/>
  <c r="I516" i="1"/>
  <c r="N516" i="1" s="1"/>
  <c r="O516" i="1"/>
  <c r="M516" i="1"/>
  <c r="I508" i="1"/>
  <c r="N508" i="1" s="1"/>
  <c r="O508" i="1"/>
  <c r="M508" i="1"/>
  <c r="I500" i="1"/>
  <c r="N500" i="1" s="1"/>
  <c r="O500" i="1"/>
  <c r="M500" i="1"/>
  <c r="I493" i="1"/>
  <c r="N493" i="1" s="1"/>
  <c r="O493" i="1"/>
  <c r="M493" i="1"/>
  <c r="I486" i="1"/>
  <c r="N486" i="1" s="1"/>
  <c r="O486" i="1"/>
  <c r="M486" i="1"/>
  <c r="I478" i="1"/>
  <c r="N478" i="1" s="1"/>
  <c r="O478" i="1"/>
  <c r="M478" i="1"/>
  <c r="I470" i="1"/>
  <c r="N470" i="1" s="1"/>
  <c r="O470" i="1"/>
  <c r="M470" i="1"/>
  <c r="I462" i="1"/>
  <c r="N462" i="1" s="1"/>
  <c r="O462" i="1"/>
  <c r="M462" i="1"/>
  <c r="O455" i="1"/>
  <c r="M455" i="1"/>
  <c r="I447" i="1"/>
  <c r="N447" i="1" s="1"/>
  <c r="O447" i="1"/>
  <c r="M447" i="1"/>
  <c r="I439" i="1"/>
  <c r="N439" i="1" s="1"/>
  <c r="O439" i="1"/>
  <c r="M439" i="1"/>
  <c r="I431" i="1"/>
  <c r="N431" i="1" s="1"/>
  <c r="O431" i="1"/>
  <c r="M431" i="1"/>
  <c r="I423" i="1"/>
  <c r="N423" i="1" s="1"/>
  <c r="O423" i="1"/>
  <c r="M423" i="1"/>
  <c r="I415" i="1"/>
  <c r="N415" i="1" s="1"/>
  <c r="O415" i="1"/>
  <c r="M415" i="1"/>
  <c r="I407" i="1"/>
  <c r="N407" i="1" s="1"/>
  <c r="O407" i="1"/>
  <c r="M407" i="1"/>
  <c r="O400" i="1"/>
  <c r="M400" i="1"/>
  <c r="I392" i="1"/>
  <c r="N392" i="1" s="1"/>
  <c r="O392" i="1"/>
  <c r="M392" i="1"/>
  <c r="I384" i="1"/>
  <c r="N384" i="1" s="1"/>
  <c r="O384" i="1"/>
  <c r="M384" i="1"/>
  <c r="I376" i="1"/>
  <c r="N376" i="1" s="1"/>
  <c r="O376" i="1"/>
  <c r="M376" i="1"/>
  <c r="I368" i="1"/>
  <c r="N368" i="1" s="1"/>
  <c r="O368" i="1"/>
  <c r="M368" i="1"/>
  <c r="I1001" i="1"/>
  <c r="N1001" i="1" s="1"/>
  <c r="O1001" i="1"/>
  <c r="M1001" i="1"/>
  <c r="I993" i="1"/>
  <c r="N993" i="1" s="1"/>
  <c r="O993" i="1"/>
  <c r="I986" i="1"/>
  <c r="N986" i="1" s="1"/>
  <c r="O986" i="1"/>
  <c r="I978" i="1"/>
  <c r="N978" i="1" s="1"/>
  <c r="O978" i="1"/>
  <c r="I970" i="1"/>
  <c r="N970" i="1" s="1"/>
  <c r="O970" i="1"/>
  <c r="I962" i="1"/>
  <c r="N962" i="1" s="1"/>
  <c r="O962" i="1"/>
  <c r="M962" i="1"/>
  <c r="I954" i="1"/>
  <c r="N954" i="1" s="1"/>
  <c r="O954" i="1"/>
  <c r="M954" i="1"/>
  <c r="I946" i="1"/>
  <c r="N946" i="1" s="1"/>
  <c r="O946" i="1"/>
  <c r="M946" i="1"/>
  <c r="I938" i="1"/>
  <c r="N938" i="1" s="1"/>
  <c r="O938" i="1"/>
  <c r="M938" i="1"/>
  <c r="I930" i="1"/>
  <c r="N930" i="1" s="1"/>
  <c r="O930" i="1"/>
  <c r="M930" i="1"/>
  <c r="I922" i="1"/>
  <c r="N922" i="1" s="1"/>
  <c r="O922" i="1"/>
  <c r="M922" i="1"/>
  <c r="I914" i="1"/>
  <c r="N914" i="1" s="1"/>
  <c r="O914" i="1"/>
  <c r="M914" i="1"/>
  <c r="I906" i="1"/>
  <c r="N906" i="1" s="1"/>
  <c r="O906" i="1"/>
  <c r="M906" i="1"/>
  <c r="I898" i="1"/>
  <c r="N898" i="1" s="1"/>
  <c r="O898" i="1"/>
  <c r="M898" i="1"/>
  <c r="I890" i="1"/>
  <c r="N890" i="1" s="1"/>
  <c r="O890" i="1"/>
  <c r="M890" i="1"/>
  <c r="I882" i="1"/>
  <c r="N882" i="1" s="1"/>
  <c r="O882" i="1"/>
  <c r="M882" i="1"/>
  <c r="I874" i="1"/>
  <c r="N874" i="1" s="1"/>
  <c r="O874" i="1"/>
  <c r="M874" i="1"/>
  <c r="M955" i="1"/>
  <c r="M939" i="1"/>
  <c r="M923" i="1"/>
  <c r="M907" i="1"/>
  <c r="I12" i="1"/>
  <c r="N12" i="1" s="1"/>
  <c r="O12" i="1"/>
  <c r="M12" i="1"/>
  <c r="I50" i="1"/>
  <c r="N50" i="1" s="1"/>
  <c r="O50" i="1"/>
  <c r="M50" i="1"/>
  <c r="I42" i="1"/>
  <c r="N42" i="1" s="1"/>
  <c r="O42" i="1"/>
  <c r="M42" i="1"/>
  <c r="I34" i="1"/>
  <c r="N34" i="1" s="1"/>
  <c r="O34" i="1"/>
  <c r="M34" i="1"/>
  <c r="I26" i="1"/>
  <c r="N26" i="1" s="1"/>
  <c r="O26" i="1"/>
  <c r="M26" i="1"/>
  <c r="I18" i="1"/>
  <c r="N18" i="1" s="1"/>
  <c r="O18" i="1"/>
  <c r="M18" i="1"/>
  <c r="I239" i="1"/>
  <c r="N239" i="1" s="1"/>
  <c r="O239" i="1"/>
  <c r="M239" i="1"/>
  <c r="I231" i="1"/>
  <c r="N231" i="1" s="1"/>
  <c r="O231" i="1"/>
  <c r="M231" i="1"/>
  <c r="I223" i="1"/>
  <c r="N223" i="1" s="1"/>
  <c r="O223" i="1"/>
  <c r="M223" i="1"/>
  <c r="I216" i="1"/>
  <c r="N216" i="1" s="1"/>
  <c r="O216" i="1"/>
  <c r="M216" i="1"/>
  <c r="I208" i="1"/>
  <c r="N208" i="1" s="1"/>
  <c r="O208" i="1"/>
  <c r="M208" i="1"/>
  <c r="I200" i="1"/>
  <c r="N200" i="1" s="1"/>
  <c r="O200" i="1"/>
  <c r="M200" i="1"/>
  <c r="I192" i="1"/>
  <c r="N192" i="1" s="1"/>
  <c r="O192" i="1"/>
  <c r="M192" i="1"/>
  <c r="I185" i="1"/>
  <c r="N185" i="1" s="1"/>
  <c r="O185" i="1"/>
  <c r="M185" i="1"/>
  <c r="I177" i="1"/>
  <c r="N177" i="1" s="1"/>
  <c r="O177" i="1"/>
  <c r="M177" i="1"/>
  <c r="I169" i="1"/>
  <c r="N169" i="1" s="1"/>
  <c r="O169" i="1"/>
  <c r="M169" i="1"/>
  <c r="I161" i="1"/>
  <c r="N161" i="1" s="1"/>
  <c r="O161" i="1"/>
  <c r="M161" i="1"/>
  <c r="I154" i="1"/>
  <c r="N154" i="1" s="1"/>
  <c r="O154" i="1"/>
  <c r="M154" i="1"/>
  <c r="I146" i="1"/>
  <c r="N146" i="1" s="1"/>
  <c r="O146" i="1"/>
  <c r="M146" i="1"/>
  <c r="I138" i="1"/>
  <c r="N138" i="1" s="1"/>
  <c r="O138" i="1"/>
  <c r="M138" i="1"/>
  <c r="I130" i="1"/>
  <c r="N130" i="1" s="1"/>
  <c r="O130" i="1"/>
  <c r="M130" i="1"/>
  <c r="I122" i="1"/>
  <c r="N122" i="1" s="1"/>
  <c r="O122" i="1"/>
  <c r="M122" i="1"/>
  <c r="I114" i="1"/>
  <c r="N114" i="1" s="1"/>
  <c r="O114" i="1"/>
  <c r="M114" i="1"/>
  <c r="I106" i="1"/>
  <c r="N106" i="1" s="1"/>
  <c r="O106" i="1"/>
  <c r="M106" i="1"/>
  <c r="I98" i="1"/>
  <c r="N98" i="1" s="1"/>
  <c r="O98" i="1"/>
  <c r="M98" i="1"/>
  <c r="I90" i="1"/>
  <c r="N90" i="1" s="1"/>
  <c r="O90" i="1"/>
  <c r="M90" i="1"/>
  <c r="I82" i="1"/>
  <c r="N82" i="1" s="1"/>
  <c r="O82" i="1"/>
  <c r="M82" i="1"/>
  <c r="I74" i="1"/>
  <c r="N74" i="1" s="1"/>
  <c r="O74" i="1"/>
  <c r="M74" i="1"/>
  <c r="I66" i="1"/>
  <c r="N66" i="1" s="1"/>
  <c r="O66" i="1"/>
  <c r="M66" i="1"/>
  <c r="I58" i="1"/>
  <c r="N58" i="1" s="1"/>
  <c r="O58" i="1"/>
  <c r="M58" i="1"/>
  <c r="I360" i="1"/>
  <c r="N360" i="1" s="1"/>
  <c r="O360" i="1"/>
  <c r="M360" i="1"/>
  <c r="O353" i="1"/>
  <c r="M353" i="1"/>
  <c r="I345" i="1"/>
  <c r="N345" i="1" s="1"/>
  <c r="O345" i="1"/>
  <c r="M345" i="1"/>
  <c r="I337" i="1"/>
  <c r="N337" i="1" s="1"/>
  <c r="O337" i="1"/>
  <c r="M337" i="1"/>
  <c r="I329" i="1"/>
  <c r="N329" i="1" s="1"/>
  <c r="O329" i="1"/>
  <c r="M329" i="1"/>
  <c r="I314" i="1"/>
  <c r="N314" i="1" s="1"/>
  <c r="O314" i="1"/>
  <c r="M314" i="1"/>
  <c r="I306" i="1"/>
  <c r="N306" i="1" s="1"/>
  <c r="O306" i="1"/>
  <c r="M306" i="1"/>
  <c r="I298" i="1"/>
  <c r="N298" i="1" s="1"/>
  <c r="O298" i="1"/>
  <c r="M298" i="1"/>
  <c r="I290" i="1"/>
  <c r="N290" i="1" s="1"/>
  <c r="O290" i="1"/>
  <c r="M290" i="1"/>
  <c r="I283" i="1"/>
  <c r="N283" i="1" s="1"/>
  <c r="O283" i="1"/>
  <c r="M283" i="1"/>
  <c r="I275" i="1"/>
  <c r="N275" i="1" s="1"/>
  <c r="O275" i="1"/>
  <c r="M275" i="1"/>
  <c r="I267" i="1"/>
  <c r="N267" i="1" s="1"/>
  <c r="O267" i="1"/>
  <c r="M267" i="1"/>
  <c r="I259" i="1"/>
  <c r="N259" i="1" s="1"/>
  <c r="O259" i="1"/>
  <c r="M259" i="1"/>
  <c r="I252" i="1"/>
  <c r="N252" i="1" s="1"/>
  <c r="O252" i="1"/>
  <c r="M252" i="1"/>
  <c r="I244" i="1"/>
  <c r="N244" i="1" s="1"/>
  <c r="O244" i="1"/>
  <c r="M244" i="1"/>
  <c r="I862" i="1"/>
  <c r="N862" i="1" s="1"/>
  <c r="O862" i="1"/>
  <c r="M862" i="1"/>
  <c r="I855" i="1"/>
  <c r="N855" i="1" s="1"/>
  <c r="O855" i="1"/>
  <c r="M855" i="1"/>
  <c r="I847" i="1"/>
  <c r="N847" i="1" s="1"/>
  <c r="O847" i="1"/>
  <c r="M847" i="1"/>
  <c r="I839" i="1"/>
  <c r="N839" i="1" s="1"/>
  <c r="O839" i="1"/>
  <c r="M839" i="1"/>
  <c r="I831" i="1"/>
  <c r="N831" i="1" s="1"/>
  <c r="O831" i="1"/>
  <c r="M831" i="1"/>
  <c r="I823" i="1"/>
  <c r="N823" i="1" s="1"/>
  <c r="O823" i="1"/>
  <c r="M823" i="1"/>
  <c r="I815" i="1"/>
  <c r="N815" i="1" s="1"/>
  <c r="O815" i="1"/>
  <c r="M815" i="1"/>
  <c r="I807" i="1"/>
  <c r="N807" i="1" s="1"/>
  <c r="O807" i="1"/>
  <c r="M807" i="1"/>
  <c r="I799" i="1"/>
  <c r="N799" i="1" s="1"/>
  <c r="O799" i="1"/>
  <c r="M799" i="1"/>
  <c r="I791" i="1"/>
  <c r="N791" i="1" s="1"/>
  <c r="O791" i="1"/>
  <c r="M791" i="1"/>
  <c r="I783" i="1"/>
  <c r="N783" i="1" s="1"/>
  <c r="O783" i="1"/>
  <c r="M783" i="1"/>
  <c r="I775" i="1"/>
  <c r="N775" i="1" s="1"/>
  <c r="O775" i="1"/>
  <c r="M775" i="1"/>
  <c r="I767" i="1"/>
  <c r="N767" i="1" s="1"/>
  <c r="O767" i="1"/>
  <c r="M767" i="1"/>
  <c r="I759" i="1"/>
  <c r="N759" i="1" s="1"/>
  <c r="O759" i="1"/>
  <c r="M759" i="1"/>
  <c r="I751" i="1"/>
  <c r="N751" i="1" s="1"/>
  <c r="O751" i="1"/>
  <c r="M751" i="1"/>
  <c r="I744" i="1"/>
  <c r="N744" i="1" s="1"/>
  <c r="O744" i="1"/>
  <c r="M744" i="1"/>
  <c r="I736" i="1"/>
  <c r="N736" i="1" s="1"/>
  <c r="O736" i="1"/>
  <c r="M736" i="1"/>
  <c r="I728" i="1"/>
  <c r="N728" i="1" s="1"/>
  <c r="O728" i="1"/>
  <c r="M728" i="1"/>
  <c r="I720" i="1"/>
  <c r="N720" i="1" s="1"/>
  <c r="O720" i="1"/>
  <c r="M720" i="1"/>
  <c r="I712" i="1"/>
  <c r="N712" i="1" s="1"/>
  <c r="O712" i="1"/>
  <c r="M712" i="1"/>
  <c r="I697" i="1"/>
  <c r="N697" i="1" s="1"/>
  <c r="O697" i="1"/>
  <c r="M697" i="1"/>
  <c r="I689" i="1"/>
  <c r="N689" i="1" s="1"/>
  <c r="O689" i="1"/>
  <c r="M689" i="1"/>
  <c r="I681" i="1"/>
  <c r="N681" i="1" s="1"/>
  <c r="O681" i="1"/>
  <c r="M681" i="1"/>
  <c r="I673" i="1"/>
  <c r="N673" i="1" s="1"/>
  <c r="O673" i="1"/>
  <c r="M673" i="1"/>
  <c r="I666" i="1"/>
  <c r="N666" i="1" s="1"/>
  <c r="O666" i="1"/>
  <c r="M666" i="1"/>
  <c r="I658" i="1"/>
  <c r="N658" i="1" s="1"/>
  <c r="O658" i="1"/>
  <c r="M658" i="1"/>
  <c r="I650" i="1"/>
  <c r="N650" i="1" s="1"/>
  <c r="O650" i="1"/>
  <c r="M650" i="1"/>
  <c r="I642" i="1"/>
  <c r="N642" i="1" s="1"/>
  <c r="O642" i="1"/>
  <c r="M642" i="1"/>
  <c r="I634" i="1"/>
  <c r="N634" i="1" s="1"/>
  <c r="O634" i="1"/>
  <c r="M634" i="1"/>
  <c r="I626" i="1"/>
  <c r="N626" i="1" s="1"/>
  <c r="O626" i="1"/>
  <c r="M626" i="1"/>
  <c r="I618" i="1"/>
  <c r="N618" i="1" s="1"/>
  <c r="O618" i="1"/>
  <c r="M618" i="1"/>
  <c r="I610" i="1"/>
  <c r="N610" i="1" s="1"/>
  <c r="O610" i="1"/>
  <c r="M610" i="1"/>
  <c r="I602" i="1"/>
  <c r="N602" i="1" s="1"/>
  <c r="O602" i="1"/>
  <c r="M602" i="1"/>
  <c r="I594" i="1"/>
  <c r="N594" i="1" s="1"/>
  <c r="O594" i="1"/>
  <c r="M594" i="1"/>
  <c r="I586" i="1"/>
  <c r="N586" i="1" s="1"/>
  <c r="O586" i="1"/>
  <c r="M586" i="1"/>
  <c r="I578" i="1"/>
  <c r="N578" i="1" s="1"/>
  <c r="O578" i="1"/>
  <c r="M578" i="1"/>
  <c r="I570" i="1"/>
  <c r="N570" i="1" s="1"/>
  <c r="O570" i="1"/>
  <c r="M570" i="1"/>
  <c r="I562" i="1"/>
  <c r="N562" i="1" s="1"/>
  <c r="O562" i="1"/>
  <c r="M562" i="1"/>
  <c r="I554" i="1"/>
  <c r="N554" i="1" s="1"/>
  <c r="O554" i="1"/>
  <c r="M554" i="1"/>
  <c r="I546" i="1"/>
  <c r="N546" i="1" s="1"/>
  <c r="O546" i="1"/>
  <c r="M546" i="1"/>
  <c r="I538" i="1"/>
  <c r="N538" i="1" s="1"/>
  <c r="O538" i="1"/>
  <c r="M538" i="1"/>
  <c r="O531" i="1"/>
  <c r="M531" i="1"/>
  <c r="I523" i="1"/>
  <c r="N523" i="1" s="1"/>
  <c r="O523" i="1"/>
  <c r="M523" i="1"/>
  <c r="I515" i="1"/>
  <c r="N515" i="1" s="1"/>
  <c r="O515" i="1"/>
  <c r="M515" i="1"/>
  <c r="I507" i="1"/>
  <c r="N507" i="1" s="1"/>
  <c r="O507" i="1"/>
  <c r="M507" i="1"/>
  <c r="I499" i="1"/>
  <c r="N499" i="1" s="1"/>
  <c r="O499" i="1"/>
  <c r="M499" i="1"/>
  <c r="I492" i="1"/>
  <c r="N492" i="1" s="1"/>
  <c r="O492" i="1"/>
  <c r="M492" i="1"/>
  <c r="I485" i="1"/>
  <c r="N485" i="1" s="1"/>
  <c r="O485" i="1"/>
  <c r="M485" i="1"/>
  <c r="I477" i="1"/>
  <c r="N477" i="1" s="1"/>
  <c r="O477" i="1"/>
  <c r="M477" i="1"/>
  <c r="I469" i="1"/>
  <c r="N469" i="1" s="1"/>
  <c r="O469" i="1"/>
  <c r="M469" i="1"/>
  <c r="I461" i="1"/>
  <c r="N461" i="1" s="1"/>
  <c r="O461" i="1"/>
  <c r="M461" i="1"/>
  <c r="I454" i="1"/>
  <c r="N454" i="1" s="1"/>
  <c r="O454" i="1"/>
  <c r="M454" i="1"/>
  <c r="I446" i="1"/>
  <c r="N446" i="1" s="1"/>
  <c r="O446" i="1"/>
  <c r="M446" i="1"/>
  <c r="I438" i="1"/>
  <c r="N438" i="1" s="1"/>
  <c r="O438" i="1"/>
  <c r="M438" i="1"/>
  <c r="I430" i="1"/>
  <c r="N430" i="1" s="1"/>
  <c r="O430" i="1"/>
  <c r="M430" i="1"/>
  <c r="I422" i="1"/>
  <c r="N422" i="1" s="1"/>
  <c r="O422" i="1"/>
  <c r="M422" i="1"/>
  <c r="I414" i="1"/>
  <c r="N414" i="1" s="1"/>
  <c r="O414" i="1"/>
  <c r="M414" i="1"/>
  <c r="I406" i="1"/>
  <c r="N406" i="1" s="1"/>
  <c r="O406" i="1"/>
  <c r="M406" i="1"/>
  <c r="I399" i="1"/>
  <c r="N399" i="1" s="1"/>
  <c r="O399" i="1"/>
  <c r="M399" i="1"/>
  <c r="I391" i="1"/>
  <c r="N391" i="1" s="1"/>
  <c r="O391" i="1"/>
  <c r="M391" i="1"/>
  <c r="I383" i="1"/>
  <c r="N383" i="1" s="1"/>
  <c r="O383" i="1"/>
  <c r="M383" i="1"/>
  <c r="I375" i="1"/>
  <c r="N375" i="1" s="1"/>
  <c r="O375" i="1"/>
  <c r="M375" i="1"/>
  <c r="I367" i="1"/>
  <c r="N367" i="1" s="1"/>
  <c r="O367" i="1"/>
  <c r="M367" i="1"/>
  <c r="I1000" i="1"/>
  <c r="N1000" i="1" s="1"/>
  <c r="O1000" i="1"/>
  <c r="I992" i="1"/>
  <c r="N992" i="1" s="1"/>
  <c r="O992" i="1"/>
  <c r="I985" i="1"/>
  <c r="N985" i="1" s="1"/>
  <c r="O985" i="1"/>
  <c r="I977" i="1"/>
  <c r="N977" i="1" s="1"/>
  <c r="O977" i="1"/>
  <c r="I969" i="1"/>
  <c r="N969" i="1" s="1"/>
  <c r="O969" i="1"/>
  <c r="I961" i="1"/>
  <c r="N961" i="1" s="1"/>
  <c r="O961" i="1"/>
  <c r="I953" i="1"/>
  <c r="N953" i="1" s="1"/>
  <c r="O953" i="1"/>
  <c r="I945" i="1"/>
  <c r="N945" i="1" s="1"/>
  <c r="O945" i="1"/>
  <c r="I937" i="1"/>
  <c r="N937" i="1" s="1"/>
  <c r="O937" i="1"/>
  <c r="I929" i="1"/>
  <c r="N929" i="1" s="1"/>
  <c r="O929" i="1"/>
  <c r="I921" i="1"/>
  <c r="N921" i="1" s="1"/>
  <c r="O921" i="1"/>
  <c r="I913" i="1"/>
  <c r="N913" i="1" s="1"/>
  <c r="O913" i="1"/>
  <c r="I905" i="1"/>
  <c r="N905" i="1" s="1"/>
  <c r="O905" i="1"/>
  <c r="M905" i="1"/>
  <c r="I897" i="1"/>
  <c r="N897" i="1" s="1"/>
  <c r="O897" i="1"/>
  <c r="M897" i="1"/>
  <c r="I889" i="1"/>
  <c r="N889" i="1" s="1"/>
  <c r="O889" i="1"/>
  <c r="M889" i="1"/>
  <c r="I881" i="1"/>
  <c r="N881" i="1" s="1"/>
  <c r="O881" i="1"/>
  <c r="M881" i="1"/>
  <c r="I873" i="1"/>
  <c r="N873" i="1" s="1"/>
  <c r="O873" i="1"/>
  <c r="M873" i="1"/>
  <c r="M953" i="1"/>
  <c r="M937" i="1"/>
  <c r="M921" i="1"/>
  <c r="I11" i="1"/>
  <c r="N11" i="1" s="1"/>
  <c r="O11" i="1"/>
  <c r="M11" i="1"/>
  <c r="I49" i="1"/>
  <c r="N49" i="1" s="1"/>
  <c r="O49" i="1"/>
  <c r="M49" i="1"/>
  <c r="I41" i="1"/>
  <c r="N41" i="1" s="1"/>
  <c r="O41" i="1"/>
  <c r="M41" i="1"/>
  <c r="I33" i="1"/>
  <c r="N33" i="1" s="1"/>
  <c r="O33" i="1"/>
  <c r="M33" i="1"/>
  <c r="I25" i="1"/>
  <c r="N25" i="1" s="1"/>
  <c r="O25" i="1"/>
  <c r="M25" i="1"/>
  <c r="I17" i="1"/>
  <c r="N17" i="1" s="1"/>
  <c r="O17" i="1"/>
  <c r="M17" i="1"/>
  <c r="I238" i="1"/>
  <c r="N238" i="1" s="1"/>
  <c r="O238" i="1"/>
  <c r="M238" i="1"/>
  <c r="I230" i="1"/>
  <c r="N230" i="1" s="1"/>
  <c r="O230" i="1"/>
  <c r="M230" i="1"/>
  <c r="I222" i="1"/>
  <c r="N222" i="1" s="1"/>
  <c r="O222" i="1"/>
  <c r="M222" i="1"/>
  <c r="I215" i="1"/>
  <c r="N215" i="1" s="1"/>
  <c r="O215" i="1"/>
  <c r="M215" i="1"/>
  <c r="I207" i="1"/>
  <c r="N207" i="1" s="1"/>
  <c r="O207" i="1"/>
  <c r="M207" i="1"/>
  <c r="I199" i="1"/>
  <c r="N199" i="1" s="1"/>
  <c r="O199" i="1"/>
  <c r="M199" i="1"/>
  <c r="I191" i="1"/>
  <c r="N191" i="1" s="1"/>
  <c r="O191" i="1"/>
  <c r="M191" i="1"/>
  <c r="I184" i="1"/>
  <c r="N184" i="1" s="1"/>
  <c r="O184" i="1"/>
  <c r="M184" i="1"/>
  <c r="I176" i="1"/>
  <c r="N176" i="1" s="1"/>
  <c r="O176" i="1"/>
  <c r="M176" i="1"/>
  <c r="I168" i="1"/>
  <c r="N168" i="1" s="1"/>
  <c r="O168" i="1"/>
  <c r="M168" i="1"/>
  <c r="I160" i="1"/>
  <c r="N160" i="1" s="1"/>
  <c r="O160" i="1"/>
  <c r="M160" i="1"/>
  <c r="I153" i="1"/>
  <c r="N153" i="1" s="1"/>
  <c r="O153" i="1"/>
  <c r="M153" i="1"/>
  <c r="I145" i="1"/>
  <c r="N145" i="1" s="1"/>
  <c r="O145" i="1"/>
  <c r="M145" i="1"/>
  <c r="I137" i="1"/>
  <c r="N137" i="1" s="1"/>
  <c r="O137" i="1"/>
  <c r="M137" i="1"/>
  <c r="I129" i="1"/>
  <c r="N129" i="1" s="1"/>
  <c r="O129" i="1"/>
  <c r="M129" i="1"/>
  <c r="I121" i="1"/>
  <c r="N121" i="1" s="1"/>
  <c r="O121" i="1"/>
  <c r="M121" i="1"/>
  <c r="I113" i="1"/>
  <c r="N113" i="1" s="1"/>
  <c r="O113" i="1"/>
  <c r="M113" i="1"/>
  <c r="I105" i="1"/>
  <c r="N105" i="1" s="1"/>
  <c r="O105" i="1"/>
  <c r="M105" i="1"/>
  <c r="I97" i="1"/>
  <c r="N97" i="1" s="1"/>
  <c r="O97" i="1"/>
  <c r="M97" i="1"/>
  <c r="I89" i="1"/>
  <c r="N89" i="1" s="1"/>
  <c r="O89" i="1"/>
  <c r="M89" i="1"/>
  <c r="I81" i="1"/>
  <c r="N81" i="1" s="1"/>
  <c r="O81" i="1"/>
  <c r="M81" i="1"/>
  <c r="I73" i="1"/>
  <c r="N73" i="1" s="1"/>
  <c r="O73" i="1"/>
  <c r="M73" i="1"/>
  <c r="I65" i="1"/>
  <c r="N65" i="1" s="1"/>
  <c r="O65" i="1"/>
  <c r="M65" i="1"/>
  <c r="I57" i="1"/>
  <c r="N57" i="1" s="1"/>
  <c r="O57" i="1"/>
  <c r="M57" i="1"/>
  <c r="I359" i="1"/>
  <c r="N359" i="1" s="1"/>
  <c r="O359" i="1"/>
  <c r="M359" i="1"/>
  <c r="I352" i="1"/>
  <c r="N352" i="1" s="1"/>
  <c r="O352" i="1"/>
  <c r="M352" i="1"/>
  <c r="I344" i="1"/>
  <c r="N344" i="1" s="1"/>
  <c r="O344" i="1"/>
  <c r="M344" i="1"/>
  <c r="I336" i="1"/>
  <c r="N336" i="1" s="1"/>
  <c r="O336" i="1"/>
  <c r="M336" i="1"/>
  <c r="I328" i="1"/>
  <c r="N328" i="1" s="1"/>
  <c r="O328" i="1"/>
  <c r="M328" i="1"/>
  <c r="O321" i="1"/>
  <c r="M321" i="1"/>
  <c r="I313" i="1"/>
  <c r="N313" i="1" s="1"/>
  <c r="O313" i="1"/>
  <c r="M313" i="1"/>
  <c r="I305" i="1"/>
  <c r="N305" i="1" s="1"/>
  <c r="O305" i="1"/>
  <c r="M305" i="1"/>
  <c r="I297" i="1"/>
  <c r="N297" i="1" s="1"/>
  <c r="O297" i="1"/>
  <c r="M297" i="1"/>
  <c r="I282" i="1"/>
  <c r="N282" i="1" s="1"/>
  <c r="O282" i="1"/>
  <c r="M282" i="1"/>
  <c r="I274" i="1"/>
  <c r="N274" i="1" s="1"/>
  <c r="O274" i="1"/>
  <c r="M274" i="1"/>
  <c r="I266" i="1"/>
  <c r="N266" i="1" s="1"/>
  <c r="O266" i="1"/>
  <c r="M266" i="1"/>
  <c r="I258" i="1"/>
  <c r="N258" i="1" s="1"/>
  <c r="O258" i="1"/>
  <c r="M258" i="1"/>
  <c r="I251" i="1"/>
  <c r="N251" i="1" s="1"/>
  <c r="O251" i="1"/>
  <c r="M251" i="1"/>
  <c r="I243" i="1"/>
  <c r="N243" i="1" s="1"/>
  <c r="O243" i="1"/>
  <c r="M243" i="1"/>
  <c r="I861" i="1"/>
  <c r="N861" i="1" s="1"/>
  <c r="O861" i="1"/>
  <c r="M861" i="1"/>
  <c r="I854" i="1"/>
  <c r="N854" i="1" s="1"/>
  <c r="O854" i="1"/>
  <c r="M854" i="1"/>
  <c r="I846" i="1"/>
  <c r="N846" i="1" s="1"/>
  <c r="O846" i="1"/>
  <c r="M846" i="1"/>
  <c r="I838" i="1"/>
  <c r="N838" i="1" s="1"/>
  <c r="O838" i="1"/>
  <c r="M838" i="1"/>
  <c r="I830" i="1"/>
  <c r="N830" i="1" s="1"/>
  <c r="O830" i="1"/>
  <c r="M830" i="1"/>
  <c r="I822" i="1"/>
  <c r="N822" i="1" s="1"/>
  <c r="O822" i="1"/>
  <c r="M822" i="1"/>
  <c r="I814" i="1"/>
  <c r="N814" i="1" s="1"/>
  <c r="O814" i="1"/>
  <c r="M814" i="1"/>
  <c r="I806" i="1"/>
  <c r="N806" i="1" s="1"/>
  <c r="O806" i="1"/>
  <c r="M806" i="1"/>
  <c r="I798" i="1"/>
  <c r="N798" i="1" s="1"/>
  <c r="O798" i="1"/>
  <c r="M798" i="1"/>
  <c r="I790" i="1"/>
  <c r="N790" i="1" s="1"/>
  <c r="O790" i="1"/>
  <c r="M790" i="1"/>
  <c r="I782" i="1"/>
  <c r="N782" i="1" s="1"/>
  <c r="O782" i="1"/>
  <c r="M782" i="1"/>
  <c r="I774" i="1"/>
  <c r="N774" i="1" s="1"/>
  <c r="O774" i="1"/>
  <c r="M774" i="1"/>
  <c r="I766" i="1"/>
  <c r="N766" i="1" s="1"/>
  <c r="O766" i="1"/>
  <c r="M766" i="1"/>
  <c r="I758" i="1"/>
  <c r="N758" i="1" s="1"/>
  <c r="O758" i="1"/>
  <c r="M758" i="1"/>
  <c r="I750" i="1"/>
  <c r="N750" i="1" s="1"/>
  <c r="O750" i="1"/>
  <c r="M750" i="1"/>
  <c r="I743" i="1"/>
  <c r="N743" i="1" s="1"/>
  <c r="O743" i="1"/>
  <c r="M743" i="1"/>
  <c r="I735" i="1"/>
  <c r="N735" i="1" s="1"/>
  <c r="O735" i="1"/>
  <c r="M735" i="1"/>
  <c r="I727" i="1"/>
  <c r="N727" i="1" s="1"/>
  <c r="O727" i="1"/>
  <c r="M727" i="1"/>
  <c r="I719" i="1"/>
  <c r="N719" i="1" s="1"/>
  <c r="O719" i="1"/>
  <c r="M719" i="1"/>
  <c r="I711" i="1"/>
  <c r="N711" i="1" s="1"/>
  <c r="O711" i="1"/>
  <c r="M711" i="1"/>
  <c r="O704" i="1"/>
  <c r="M704" i="1"/>
  <c r="I696" i="1"/>
  <c r="N696" i="1" s="1"/>
  <c r="O696" i="1"/>
  <c r="M696" i="1"/>
  <c r="I688" i="1"/>
  <c r="N688" i="1" s="1"/>
  <c r="O688" i="1"/>
  <c r="M688" i="1"/>
  <c r="I680" i="1"/>
  <c r="N680" i="1" s="1"/>
  <c r="O680" i="1"/>
  <c r="M680" i="1"/>
  <c r="I672" i="1"/>
  <c r="N672" i="1" s="1"/>
  <c r="O672" i="1"/>
  <c r="M672" i="1"/>
  <c r="I665" i="1"/>
  <c r="N665" i="1" s="1"/>
  <c r="O665" i="1"/>
  <c r="M665" i="1"/>
  <c r="I657" i="1"/>
  <c r="N657" i="1" s="1"/>
  <c r="O657" i="1"/>
  <c r="M657" i="1"/>
  <c r="I649" i="1"/>
  <c r="N649" i="1" s="1"/>
  <c r="O649" i="1"/>
  <c r="M649" i="1"/>
  <c r="I641" i="1"/>
  <c r="N641" i="1" s="1"/>
  <c r="O641" i="1"/>
  <c r="M641" i="1"/>
  <c r="I633" i="1"/>
  <c r="N633" i="1" s="1"/>
  <c r="O633" i="1"/>
  <c r="M633" i="1"/>
  <c r="I625" i="1"/>
  <c r="N625" i="1" s="1"/>
  <c r="O625" i="1"/>
  <c r="M625" i="1"/>
  <c r="I617" i="1"/>
  <c r="N617" i="1" s="1"/>
  <c r="O617" i="1"/>
  <c r="M617" i="1"/>
  <c r="I609" i="1"/>
  <c r="N609" i="1" s="1"/>
  <c r="O609" i="1"/>
  <c r="M609" i="1"/>
  <c r="I601" i="1"/>
  <c r="N601" i="1" s="1"/>
  <c r="O601" i="1"/>
  <c r="M601" i="1"/>
  <c r="I593" i="1"/>
  <c r="N593" i="1" s="1"/>
  <c r="O593" i="1"/>
  <c r="M593" i="1"/>
  <c r="I585" i="1"/>
  <c r="N585" i="1" s="1"/>
  <c r="O585" i="1"/>
  <c r="M585" i="1"/>
  <c r="I577" i="1"/>
  <c r="N577" i="1" s="1"/>
  <c r="O577" i="1"/>
  <c r="M577" i="1"/>
  <c r="I569" i="1"/>
  <c r="N569" i="1" s="1"/>
  <c r="O569" i="1"/>
  <c r="M569" i="1"/>
  <c r="I561" i="1"/>
  <c r="N561" i="1" s="1"/>
  <c r="O561" i="1"/>
  <c r="M561" i="1"/>
  <c r="I553" i="1"/>
  <c r="N553" i="1" s="1"/>
  <c r="O553" i="1"/>
  <c r="M553" i="1"/>
  <c r="I545" i="1"/>
  <c r="N545" i="1" s="1"/>
  <c r="O545" i="1"/>
  <c r="M545" i="1"/>
  <c r="I537" i="1"/>
  <c r="N537" i="1" s="1"/>
  <c r="O537" i="1"/>
  <c r="M537" i="1"/>
  <c r="I530" i="1"/>
  <c r="N530" i="1" s="1"/>
  <c r="O530" i="1"/>
  <c r="M530" i="1"/>
  <c r="I522" i="1"/>
  <c r="N522" i="1" s="1"/>
  <c r="O522" i="1"/>
  <c r="M522" i="1"/>
  <c r="I514" i="1"/>
  <c r="N514" i="1" s="1"/>
  <c r="O514" i="1"/>
  <c r="M514" i="1"/>
  <c r="I506" i="1"/>
  <c r="N506" i="1" s="1"/>
  <c r="O506" i="1"/>
  <c r="M506" i="1"/>
  <c r="I498" i="1"/>
  <c r="N498" i="1" s="1"/>
  <c r="O498" i="1"/>
  <c r="M498" i="1"/>
  <c r="I491" i="1"/>
  <c r="N491" i="1" s="1"/>
  <c r="O491" i="1"/>
  <c r="M491" i="1"/>
  <c r="I484" i="1"/>
  <c r="N484" i="1" s="1"/>
  <c r="O484" i="1"/>
  <c r="M484" i="1"/>
  <c r="I476" i="1"/>
  <c r="N476" i="1" s="1"/>
  <c r="O476" i="1"/>
  <c r="M476" i="1"/>
  <c r="I468" i="1"/>
  <c r="N468" i="1" s="1"/>
  <c r="O468" i="1"/>
  <c r="M468" i="1"/>
  <c r="I460" i="1"/>
  <c r="N460" i="1" s="1"/>
  <c r="O460" i="1"/>
  <c r="M460" i="1"/>
  <c r="I453" i="1"/>
  <c r="N453" i="1" s="1"/>
  <c r="O453" i="1"/>
  <c r="M453" i="1"/>
  <c r="I445" i="1"/>
  <c r="N445" i="1" s="1"/>
  <c r="O445" i="1"/>
  <c r="M445" i="1"/>
  <c r="I437" i="1"/>
  <c r="N437" i="1" s="1"/>
  <c r="O437" i="1"/>
  <c r="M437" i="1"/>
  <c r="I429" i="1"/>
  <c r="N429" i="1" s="1"/>
  <c r="O429" i="1"/>
  <c r="M429" i="1"/>
  <c r="I421" i="1"/>
  <c r="N421" i="1" s="1"/>
  <c r="O421" i="1"/>
  <c r="M421" i="1"/>
  <c r="I413" i="1"/>
  <c r="N413" i="1" s="1"/>
  <c r="O413" i="1"/>
  <c r="M413" i="1"/>
  <c r="I405" i="1"/>
  <c r="N405" i="1" s="1"/>
  <c r="O405" i="1"/>
  <c r="M405" i="1"/>
  <c r="I398" i="1"/>
  <c r="N398" i="1" s="1"/>
  <c r="O398" i="1"/>
  <c r="M398" i="1"/>
  <c r="I390" i="1"/>
  <c r="N390" i="1" s="1"/>
  <c r="O390" i="1"/>
  <c r="M390" i="1"/>
  <c r="I382" i="1"/>
  <c r="N382" i="1" s="1"/>
  <c r="O382" i="1"/>
  <c r="M382" i="1"/>
  <c r="I374" i="1"/>
  <c r="N374" i="1" s="1"/>
  <c r="O374" i="1"/>
  <c r="M374" i="1"/>
  <c r="I366" i="1"/>
  <c r="N366" i="1" s="1"/>
  <c r="O366" i="1"/>
  <c r="M366" i="1"/>
  <c r="I999" i="1"/>
  <c r="N999" i="1" s="1"/>
  <c r="O999" i="1"/>
  <c r="I991" i="1"/>
  <c r="N991" i="1" s="1"/>
  <c r="O991" i="1"/>
  <c r="I984" i="1"/>
  <c r="N984" i="1" s="1"/>
  <c r="O984" i="1"/>
  <c r="I976" i="1"/>
  <c r="N976" i="1" s="1"/>
  <c r="O976" i="1"/>
  <c r="I968" i="1"/>
  <c r="N968" i="1" s="1"/>
  <c r="O968" i="1"/>
  <c r="I960" i="1"/>
  <c r="N960" i="1" s="1"/>
  <c r="O960" i="1"/>
  <c r="I952" i="1"/>
  <c r="N952" i="1" s="1"/>
  <c r="O952" i="1"/>
  <c r="I944" i="1"/>
  <c r="N944" i="1" s="1"/>
  <c r="O944" i="1"/>
  <c r="I936" i="1"/>
  <c r="N936" i="1" s="1"/>
  <c r="O936" i="1"/>
  <c r="I928" i="1"/>
  <c r="N928" i="1" s="1"/>
  <c r="O928" i="1"/>
  <c r="I920" i="1"/>
  <c r="N920" i="1" s="1"/>
  <c r="O920" i="1"/>
  <c r="I912" i="1"/>
  <c r="N912" i="1" s="1"/>
  <c r="O912" i="1"/>
  <c r="I904" i="1"/>
  <c r="N904" i="1" s="1"/>
  <c r="O904" i="1"/>
  <c r="M904" i="1"/>
  <c r="I896" i="1"/>
  <c r="N896" i="1" s="1"/>
  <c r="O896" i="1"/>
  <c r="M896" i="1"/>
  <c r="I888" i="1"/>
  <c r="N888" i="1" s="1"/>
  <c r="O888" i="1"/>
  <c r="M888" i="1"/>
  <c r="I880" i="1"/>
  <c r="N880" i="1" s="1"/>
  <c r="O880" i="1"/>
  <c r="M880" i="1"/>
  <c r="I872" i="1"/>
  <c r="N872" i="1" s="1"/>
  <c r="O872" i="1"/>
  <c r="M872" i="1"/>
  <c r="M952" i="1"/>
  <c r="M936" i="1"/>
  <c r="M920" i="1"/>
  <c r="I10" i="1"/>
  <c r="N10" i="1" s="1"/>
  <c r="O10" i="1"/>
  <c r="M10" i="1"/>
  <c r="I48" i="1"/>
  <c r="N48" i="1" s="1"/>
  <c r="O48" i="1"/>
  <c r="M48" i="1"/>
  <c r="I40" i="1"/>
  <c r="N40" i="1" s="1"/>
  <c r="O40" i="1"/>
  <c r="M40" i="1"/>
  <c r="I32" i="1"/>
  <c r="N32" i="1" s="1"/>
  <c r="O32" i="1"/>
  <c r="M32" i="1"/>
  <c r="I24" i="1"/>
  <c r="N24" i="1" s="1"/>
  <c r="O24" i="1"/>
  <c r="M24" i="1"/>
  <c r="I16" i="1"/>
  <c r="N16" i="1" s="1"/>
  <c r="O16" i="1"/>
  <c r="M16" i="1"/>
  <c r="I237" i="1"/>
  <c r="N237" i="1" s="1"/>
  <c r="O237" i="1"/>
  <c r="M237" i="1"/>
  <c r="I229" i="1"/>
  <c r="N229" i="1" s="1"/>
  <c r="O229" i="1"/>
  <c r="M229" i="1"/>
  <c r="I221" i="1"/>
  <c r="N221" i="1" s="1"/>
  <c r="O221" i="1"/>
  <c r="M221" i="1"/>
  <c r="I214" i="1"/>
  <c r="N214" i="1" s="1"/>
  <c r="O214" i="1"/>
  <c r="M214" i="1"/>
  <c r="I206" i="1"/>
  <c r="N206" i="1" s="1"/>
  <c r="O206" i="1"/>
  <c r="M206" i="1"/>
  <c r="I198" i="1"/>
  <c r="N198" i="1" s="1"/>
  <c r="O198" i="1"/>
  <c r="M198" i="1"/>
  <c r="I190" i="1"/>
  <c r="N190" i="1" s="1"/>
  <c r="O190" i="1"/>
  <c r="M190" i="1"/>
  <c r="I183" i="1"/>
  <c r="N183" i="1" s="1"/>
  <c r="O183" i="1"/>
  <c r="M183" i="1"/>
  <c r="I175" i="1"/>
  <c r="N175" i="1" s="1"/>
  <c r="O175" i="1"/>
  <c r="M175" i="1"/>
  <c r="I167" i="1"/>
  <c r="N167" i="1" s="1"/>
  <c r="O167" i="1"/>
  <c r="M167" i="1"/>
  <c r="I159" i="1"/>
  <c r="N159" i="1" s="1"/>
  <c r="O159" i="1"/>
  <c r="M159" i="1"/>
  <c r="I152" i="1"/>
  <c r="N152" i="1" s="1"/>
  <c r="O152" i="1"/>
  <c r="M152" i="1"/>
  <c r="I144" i="1"/>
  <c r="N144" i="1" s="1"/>
  <c r="O144" i="1"/>
  <c r="M144" i="1"/>
  <c r="I136" i="1"/>
  <c r="N136" i="1" s="1"/>
  <c r="O136" i="1"/>
  <c r="M136" i="1"/>
  <c r="I128" i="1"/>
  <c r="N128" i="1" s="1"/>
  <c r="O128" i="1"/>
  <c r="M128" i="1"/>
  <c r="I120" i="1"/>
  <c r="N120" i="1" s="1"/>
  <c r="O120" i="1"/>
  <c r="M120" i="1"/>
  <c r="I112" i="1"/>
  <c r="N112" i="1" s="1"/>
  <c r="O112" i="1"/>
  <c r="M112" i="1"/>
  <c r="I104" i="1"/>
  <c r="N104" i="1" s="1"/>
  <c r="O104" i="1"/>
  <c r="M104" i="1"/>
  <c r="I96" i="1"/>
  <c r="N96" i="1" s="1"/>
  <c r="O96" i="1"/>
  <c r="M96" i="1"/>
  <c r="I88" i="1"/>
  <c r="N88" i="1" s="1"/>
  <c r="O88" i="1"/>
  <c r="M88" i="1"/>
  <c r="I80" i="1"/>
  <c r="N80" i="1" s="1"/>
  <c r="O80" i="1"/>
  <c r="M80" i="1"/>
  <c r="I72" i="1"/>
  <c r="N72" i="1" s="1"/>
  <c r="O72" i="1"/>
  <c r="M72" i="1"/>
  <c r="I64" i="1"/>
  <c r="N64" i="1" s="1"/>
  <c r="O64" i="1"/>
  <c r="M64" i="1"/>
  <c r="I56" i="1"/>
  <c r="N56" i="1" s="1"/>
  <c r="O56" i="1"/>
  <c r="M56" i="1"/>
  <c r="I358" i="1"/>
  <c r="N358" i="1" s="1"/>
  <c r="O358" i="1"/>
  <c r="M358" i="1"/>
  <c r="I351" i="1"/>
  <c r="N351" i="1" s="1"/>
  <c r="O351" i="1"/>
  <c r="M351" i="1"/>
  <c r="I343" i="1"/>
  <c r="N343" i="1" s="1"/>
  <c r="O343" i="1"/>
  <c r="M343" i="1"/>
  <c r="I335" i="1"/>
  <c r="N335" i="1" s="1"/>
  <c r="O335" i="1"/>
  <c r="M335" i="1"/>
  <c r="I327" i="1"/>
  <c r="N327" i="1" s="1"/>
  <c r="O327" i="1"/>
  <c r="M327" i="1"/>
  <c r="I320" i="1"/>
  <c r="N320" i="1" s="1"/>
  <c r="O320" i="1"/>
  <c r="M320" i="1"/>
  <c r="I312" i="1"/>
  <c r="N312" i="1" s="1"/>
  <c r="O312" i="1"/>
  <c r="M312" i="1"/>
  <c r="I304" i="1"/>
  <c r="N304" i="1" s="1"/>
  <c r="O304" i="1"/>
  <c r="M304" i="1"/>
  <c r="I296" i="1"/>
  <c r="N296" i="1" s="1"/>
  <c r="O296" i="1"/>
  <c r="M296" i="1"/>
  <c r="O289" i="1"/>
  <c r="M289" i="1"/>
  <c r="I281" i="1"/>
  <c r="N281" i="1" s="1"/>
  <c r="O281" i="1"/>
  <c r="M281" i="1"/>
  <c r="I273" i="1"/>
  <c r="N273" i="1" s="1"/>
  <c r="O273" i="1"/>
  <c r="M273" i="1"/>
  <c r="I265" i="1"/>
  <c r="N265" i="1" s="1"/>
  <c r="O265" i="1"/>
  <c r="M265" i="1"/>
  <c r="I250" i="1"/>
  <c r="N250" i="1" s="1"/>
  <c r="O250" i="1"/>
  <c r="M250" i="1"/>
  <c r="I242" i="1"/>
  <c r="N242" i="1" s="1"/>
  <c r="O242" i="1"/>
  <c r="M242" i="1"/>
  <c r="I860" i="1"/>
  <c r="N860" i="1" s="1"/>
  <c r="O860" i="1"/>
  <c r="M860" i="1"/>
  <c r="I853" i="1"/>
  <c r="N853" i="1" s="1"/>
  <c r="O853" i="1"/>
  <c r="M853" i="1"/>
  <c r="I845" i="1"/>
  <c r="N845" i="1" s="1"/>
  <c r="O845" i="1"/>
  <c r="M845" i="1"/>
  <c r="I837" i="1"/>
  <c r="N837" i="1" s="1"/>
  <c r="O837" i="1"/>
  <c r="M837" i="1"/>
  <c r="I829" i="1"/>
  <c r="N829" i="1" s="1"/>
  <c r="O829" i="1"/>
  <c r="M829" i="1"/>
  <c r="I821" i="1"/>
  <c r="N821" i="1" s="1"/>
  <c r="O821" i="1"/>
  <c r="M821" i="1"/>
  <c r="I813" i="1"/>
  <c r="N813" i="1" s="1"/>
  <c r="O813" i="1"/>
  <c r="M813" i="1"/>
  <c r="I805" i="1"/>
  <c r="N805" i="1" s="1"/>
  <c r="O805" i="1"/>
  <c r="M805" i="1"/>
  <c r="I797" i="1"/>
  <c r="N797" i="1" s="1"/>
  <c r="O797" i="1"/>
  <c r="M797" i="1"/>
  <c r="I789" i="1"/>
  <c r="N789" i="1" s="1"/>
  <c r="O789" i="1"/>
  <c r="M789" i="1"/>
  <c r="I781" i="1"/>
  <c r="N781" i="1" s="1"/>
  <c r="O781" i="1"/>
  <c r="M781" i="1"/>
  <c r="I773" i="1"/>
  <c r="N773" i="1" s="1"/>
  <c r="O773" i="1"/>
  <c r="M773" i="1"/>
  <c r="I765" i="1"/>
  <c r="N765" i="1" s="1"/>
  <c r="O765" i="1"/>
  <c r="M765" i="1"/>
  <c r="I757" i="1"/>
  <c r="N757" i="1" s="1"/>
  <c r="O757" i="1"/>
  <c r="M757" i="1"/>
  <c r="I749" i="1"/>
  <c r="N749" i="1" s="1"/>
  <c r="O749" i="1"/>
  <c r="M749" i="1"/>
  <c r="I742" i="1"/>
  <c r="N742" i="1" s="1"/>
  <c r="O742" i="1"/>
  <c r="M742" i="1"/>
  <c r="I734" i="1"/>
  <c r="N734" i="1" s="1"/>
  <c r="O734" i="1"/>
  <c r="M734" i="1"/>
  <c r="I726" i="1"/>
  <c r="N726" i="1" s="1"/>
  <c r="O726" i="1"/>
  <c r="M726" i="1"/>
  <c r="I718" i="1"/>
  <c r="N718" i="1" s="1"/>
  <c r="O718" i="1"/>
  <c r="M718" i="1"/>
  <c r="I710" i="1"/>
  <c r="N710" i="1" s="1"/>
  <c r="O710" i="1"/>
  <c r="M710" i="1"/>
  <c r="I703" i="1"/>
  <c r="N703" i="1" s="1"/>
  <c r="O703" i="1"/>
  <c r="M703" i="1"/>
  <c r="I695" i="1"/>
  <c r="N695" i="1" s="1"/>
  <c r="O695" i="1"/>
  <c r="M695" i="1"/>
  <c r="I687" i="1"/>
  <c r="N687" i="1" s="1"/>
  <c r="O687" i="1"/>
  <c r="M687" i="1"/>
  <c r="I679" i="1"/>
  <c r="N679" i="1" s="1"/>
  <c r="O679" i="1"/>
  <c r="M679" i="1"/>
  <c r="I671" i="1"/>
  <c r="N671" i="1" s="1"/>
  <c r="O671" i="1"/>
  <c r="M671" i="1"/>
  <c r="I664" i="1"/>
  <c r="N664" i="1" s="1"/>
  <c r="O664" i="1"/>
  <c r="M664" i="1"/>
  <c r="I656" i="1"/>
  <c r="N656" i="1" s="1"/>
  <c r="O656" i="1"/>
  <c r="M656" i="1"/>
  <c r="I648" i="1"/>
  <c r="N648" i="1" s="1"/>
  <c r="O648" i="1"/>
  <c r="M648" i="1"/>
  <c r="I640" i="1"/>
  <c r="N640" i="1" s="1"/>
  <c r="O640" i="1"/>
  <c r="M640" i="1"/>
  <c r="I632" i="1"/>
  <c r="N632" i="1" s="1"/>
  <c r="O632" i="1"/>
  <c r="M632" i="1"/>
  <c r="I624" i="1"/>
  <c r="N624" i="1" s="1"/>
  <c r="O624" i="1"/>
  <c r="M624" i="1"/>
  <c r="I616" i="1"/>
  <c r="N616" i="1" s="1"/>
  <c r="O616" i="1"/>
  <c r="M616" i="1"/>
  <c r="I608" i="1"/>
  <c r="N608" i="1" s="1"/>
  <c r="O608" i="1"/>
  <c r="M608" i="1"/>
  <c r="I600" i="1"/>
  <c r="N600" i="1" s="1"/>
  <c r="O600" i="1"/>
  <c r="M600" i="1"/>
  <c r="I592" i="1"/>
  <c r="N592" i="1" s="1"/>
  <c r="O592" i="1"/>
  <c r="M592" i="1"/>
  <c r="I584" i="1"/>
  <c r="N584" i="1" s="1"/>
  <c r="O584" i="1"/>
  <c r="M584" i="1"/>
  <c r="I576" i="1"/>
  <c r="N576" i="1" s="1"/>
  <c r="O576" i="1"/>
  <c r="M576" i="1"/>
  <c r="I568" i="1"/>
  <c r="N568" i="1" s="1"/>
  <c r="O568" i="1"/>
  <c r="M568" i="1"/>
  <c r="I560" i="1"/>
  <c r="N560" i="1" s="1"/>
  <c r="O560" i="1"/>
  <c r="M560" i="1"/>
  <c r="I552" i="1"/>
  <c r="N552" i="1" s="1"/>
  <c r="O552" i="1"/>
  <c r="M552" i="1"/>
  <c r="I544" i="1"/>
  <c r="N544" i="1" s="1"/>
  <c r="O544" i="1"/>
  <c r="M544" i="1"/>
  <c r="I536" i="1"/>
  <c r="N536" i="1" s="1"/>
  <c r="O536" i="1"/>
  <c r="M536" i="1"/>
  <c r="I529" i="1"/>
  <c r="N529" i="1" s="1"/>
  <c r="O529" i="1"/>
  <c r="M529" i="1"/>
  <c r="I521" i="1"/>
  <c r="N521" i="1" s="1"/>
  <c r="O521" i="1"/>
  <c r="M521" i="1"/>
  <c r="I513" i="1"/>
  <c r="N513" i="1" s="1"/>
  <c r="O513" i="1"/>
  <c r="M513" i="1"/>
  <c r="I505" i="1"/>
  <c r="N505" i="1" s="1"/>
  <c r="O505" i="1"/>
  <c r="M505" i="1"/>
  <c r="I497" i="1"/>
  <c r="N497" i="1" s="1"/>
  <c r="O497" i="1"/>
  <c r="M497" i="1"/>
  <c r="I483" i="1"/>
  <c r="N483" i="1" s="1"/>
  <c r="O483" i="1"/>
  <c r="M483" i="1"/>
  <c r="I475" i="1"/>
  <c r="N475" i="1" s="1"/>
  <c r="O475" i="1"/>
  <c r="M475" i="1"/>
  <c r="I467" i="1"/>
  <c r="N467" i="1" s="1"/>
  <c r="O467" i="1"/>
  <c r="M467" i="1"/>
  <c r="I459" i="1"/>
  <c r="N459" i="1" s="1"/>
  <c r="O459" i="1"/>
  <c r="M459" i="1"/>
  <c r="I452" i="1"/>
  <c r="N452" i="1" s="1"/>
  <c r="O452" i="1"/>
  <c r="M452" i="1"/>
  <c r="I444" i="1"/>
  <c r="N444" i="1" s="1"/>
  <c r="O444" i="1"/>
  <c r="M444" i="1"/>
  <c r="I436" i="1"/>
  <c r="N436" i="1" s="1"/>
  <c r="O436" i="1"/>
  <c r="M436" i="1"/>
  <c r="I428" i="1"/>
  <c r="N428" i="1" s="1"/>
  <c r="O428" i="1"/>
  <c r="M428" i="1"/>
  <c r="I420" i="1"/>
  <c r="N420" i="1" s="1"/>
  <c r="O420" i="1"/>
  <c r="M420" i="1"/>
  <c r="I412" i="1"/>
  <c r="N412" i="1" s="1"/>
  <c r="O412" i="1"/>
  <c r="M412" i="1"/>
  <c r="I404" i="1"/>
  <c r="N404" i="1" s="1"/>
  <c r="O404" i="1"/>
  <c r="M404" i="1"/>
  <c r="I397" i="1"/>
  <c r="N397" i="1" s="1"/>
  <c r="O397" i="1"/>
  <c r="M397" i="1"/>
  <c r="I389" i="1"/>
  <c r="N389" i="1" s="1"/>
  <c r="O389" i="1"/>
  <c r="M389" i="1"/>
  <c r="I381" i="1"/>
  <c r="N381" i="1" s="1"/>
  <c r="O381" i="1"/>
  <c r="M381" i="1"/>
  <c r="I373" i="1"/>
  <c r="N373" i="1" s="1"/>
  <c r="O373" i="1"/>
  <c r="M373" i="1"/>
  <c r="I365" i="1"/>
  <c r="N365" i="1" s="1"/>
  <c r="O365" i="1"/>
  <c r="M365" i="1"/>
  <c r="I998" i="1"/>
  <c r="N998" i="1" s="1"/>
  <c r="O998" i="1"/>
  <c r="I990" i="1"/>
  <c r="N990" i="1" s="1"/>
  <c r="O990" i="1"/>
  <c r="I983" i="1"/>
  <c r="N983" i="1" s="1"/>
  <c r="O983" i="1"/>
  <c r="I975" i="1"/>
  <c r="N975" i="1" s="1"/>
  <c r="O975" i="1"/>
  <c r="I967" i="1"/>
  <c r="N967" i="1" s="1"/>
  <c r="O967" i="1"/>
  <c r="I959" i="1"/>
  <c r="N959" i="1" s="1"/>
  <c r="O959" i="1"/>
  <c r="M959" i="1"/>
  <c r="I951" i="1"/>
  <c r="N951" i="1" s="1"/>
  <c r="O951" i="1"/>
  <c r="M951" i="1"/>
  <c r="I943" i="1"/>
  <c r="N943" i="1" s="1"/>
  <c r="O943" i="1"/>
  <c r="M943" i="1"/>
  <c r="I935" i="1"/>
  <c r="N935" i="1" s="1"/>
  <c r="O935" i="1"/>
  <c r="M935" i="1"/>
  <c r="I927" i="1"/>
  <c r="N927" i="1" s="1"/>
  <c r="O927" i="1"/>
  <c r="M927" i="1"/>
  <c r="I919" i="1"/>
  <c r="N919" i="1" s="1"/>
  <c r="O919" i="1"/>
  <c r="M919" i="1"/>
  <c r="I911" i="1"/>
  <c r="N911" i="1" s="1"/>
  <c r="O911" i="1"/>
  <c r="M911" i="1"/>
  <c r="I903" i="1"/>
  <c r="N903" i="1" s="1"/>
  <c r="O903" i="1"/>
  <c r="M903" i="1"/>
  <c r="I895" i="1"/>
  <c r="N895" i="1" s="1"/>
  <c r="O895" i="1"/>
  <c r="M895" i="1"/>
  <c r="I887" i="1"/>
  <c r="N887" i="1" s="1"/>
  <c r="O887" i="1"/>
  <c r="M887" i="1"/>
  <c r="I879" i="1"/>
  <c r="N879" i="1" s="1"/>
  <c r="O879" i="1"/>
  <c r="M879" i="1"/>
  <c r="I871" i="1"/>
  <c r="N871" i="1" s="1"/>
  <c r="O871" i="1"/>
  <c r="M871" i="1"/>
  <c r="I9" i="1"/>
  <c r="N9" i="1" s="1"/>
  <c r="O9" i="1"/>
  <c r="M9" i="1"/>
  <c r="I47" i="1"/>
  <c r="N47" i="1" s="1"/>
  <c r="O47" i="1"/>
  <c r="M47" i="1"/>
  <c r="I39" i="1"/>
  <c r="N39" i="1" s="1"/>
  <c r="O39" i="1"/>
  <c r="M39" i="1"/>
  <c r="I31" i="1"/>
  <c r="N31" i="1" s="1"/>
  <c r="O31" i="1"/>
  <c r="M31" i="1"/>
  <c r="I23" i="1"/>
  <c r="N23" i="1" s="1"/>
  <c r="O23" i="1"/>
  <c r="M23" i="1"/>
  <c r="I15" i="1"/>
  <c r="N15" i="1" s="1"/>
  <c r="O15" i="1"/>
  <c r="M15" i="1"/>
  <c r="I236" i="1"/>
  <c r="N236" i="1" s="1"/>
  <c r="O236" i="1"/>
  <c r="M236" i="1"/>
  <c r="I228" i="1"/>
  <c r="N228" i="1" s="1"/>
  <c r="O228" i="1"/>
  <c r="M228" i="1"/>
  <c r="I213" i="1"/>
  <c r="N213" i="1" s="1"/>
  <c r="O213" i="1"/>
  <c r="M213" i="1"/>
  <c r="I205" i="1"/>
  <c r="N205" i="1" s="1"/>
  <c r="O205" i="1"/>
  <c r="M205" i="1"/>
  <c r="I197" i="1"/>
  <c r="N197" i="1" s="1"/>
  <c r="O197" i="1"/>
  <c r="M197" i="1"/>
  <c r="I189" i="1"/>
  <c r="N189" i="1" s="1"/>
  <c r="O189" i="1"/>
  <c r="M189" i="1"/>
  <c r="I182" i="1"/>
  <c r="N182" i="1" s="1"/>
  <c r="O182" i="1"/>
  <c r="M182" i="1"/>
  <c r="I174" i="1"/>
  <c r="N174" i="1" s="1"/>
  <c r="O174" i="1"/>
  <c r="M174" i="1"/>
  <c r="I166" i="1"/>
  <c r="N166" i="1" s="1"/>
  <c r="O166" i="1"/>
  <c r="M166" i="1"/>
  <c r="I158" i="1"/>
  <c r="N158" i="1" s="1"/>
  <c r="O158" i="1"/>
  <c r="M158" i="1"/>
  <c r="I151" i="1"/>
  <c r="N151" i="1" s="1"/>
  <c r="O151" i="1"/>
  <c r="M151" i="1"/>
  <c r="I143" i="1"/>
  <c r="N143" i="1" s="1"/>
  <c r="O143" i="1"/>
  <c r="M143" i="1"/>
  <c r="I135" i="1"/>
  <c r="N135" i="1" s="1"/>
  <c r="O135" i="1"/>
  <c r="M135" i="1"/>
  <c r="I127" i="1"/>
  <c r="N127" i="1" s="1"/>
  <c r="O127" i="1"/>
  <c r="M127" i="1"/>
  <c r="I119" i="1"/>
  <c r="N119" i="1" s="1"/>
  <c r="O119" i="1"/>
  <c r="M119" i="1"/>
  <c r="I111" i="1"/>
  <c r="N111" i="1" s="1"/>
  <c r="O111" i="1"/>
  <c r="M111" i="1"/>
  <c r="I103" i="1"/>
  <c r="N103" i="1" s="1"/>
  <c r="O103" i="1"/>
  <c r="M103" i="1"/>
  <c r="I95" i="1"/>
  <c r="N95" i="1" s="1"/>
  <c r="O95" i="1"/>
  <c r="M95" i="1"/>
  <c r="I87" i="1"/>
  <c r="N87" i="1" s="1"/>
  <c r="O87" i="1"/>
  <c r="M87" i="1"/>
  <c r="I79" i="1"/>
  <c r="N79" i="1" s="1"/>
  <c r="O79" i="1"/>
  <c r="M79" i="1"/>
  <c r="I71" i="1"/>
  <c r="N71" i="1" s="1"/>
  <c r="O71" i="1"/>
  <c r="M71" i="1"/>
  <c r="I63" i="1"/>
  <c r="N63" i="1" s="1"/>
  <c r="O63" i="1"/>
  <c r="M63" i="1"/>
  <c r="I55" i="1"/>
  <c r="N55" i="1" s="1"/>
  <c r="O55" i="1"/>
  <c r="M55" i="1"/>
  <c r="I357" i="1"/>
  <c r="N357" i="1" s="1"/>
  <c r="O357" i="1"/>
  <c r="M357" i="1"/>
  <c r="I350" i="1"/>
  <c r="N350" i="1" s="1"/>
  <c r="O350" i="1"/>
  <c r="M350" i="1"/>
  <c r="I342" i="1"/>
  <c r="N342" i="1" s="1"/>
  <c r="O342" i="1"/>
  <c r="M342" i="1"/>
  <c r="I334" i="1"/>
  <c r="N334" i="1" s="1"/>
  <c r="O334" i="1"/>
  <c r="M334" i="1"/>
  <c r="I326" i="1"/>
  <c r="N326" i="1" s="1"/>
  <c r="O326" i="1"/>
  <c r="M326" i="1"/>
  <c r="I319" i="1"/>
  <c r="N319" i="1" s="1"/>
  <c r="O319" i="1"/>
  <c r="M319" i="1"/>
  <c r="I311" i="1"/>
  <c r="N311" i="1" s="1"/>
  <c r="O311" i="1"/>
  <c r="M311" i="1"/>
  <c r="I303" i="1"/>
  <c r="N303" i="1" s="1"/>
  <c r="O303" i="1"/>
  <c r="M303" i="1"/>
  <c r="I295" i="1"/>
  <c r="N295" i="1" s="1"/>
  <c r="O295" i="1"/>
  <c r="M295" i="1"/>
  <c r="I288" i="1"/>
  <c r="N288" i="1" s="1"/>
  <c r="O288" i="1"/>
  <c r="M288" i="1"/>
  <c r="I280" i="1"/>
  <c r="N280" i="1" s="1"/>
  <c r="O280" i="1"/>
  <c r="M280" i="1"/>
  <c r="I272" i="1"/>
  <c r="N272" i="1" s="1"/>
  <c r="O272" i="1"/>
  <c r="M272" i="1"/>
  <c r="I264" i="1"/>
  <c r="N264" i="1" s="1"/>
  <c r="O264" i="1"/>
  <c r="M264" i="1"/>
  <c r="O257" i="1"/>
  <c r="M257" i="1"/>
  <c r="I249" i="1"/>
  <c r="N249" i="1" s="1"/>
  <c r="O249" i="1"/>
  <c r="M249" i="1"/>
  <c r="I867" i="1"/>
  <c r="N867" i="1" s="1"/>
  <c r="O867" i="1"/>
  <c r="M867" i="1"/>
  <c r="I859" i="1"/>
  <c r="N859" i="1" s="1"/>
  <c r="O859" i="1"/>
  <c r="M859" i="1"/>
  <c r="I852" i="1"/>
  <c r="N852" i="1" s="1"/>
  <c r="O852" i="1"/>
  <c r="M852" i="1"/>
  <c r="I844" i="1"/>
  <c r="N844" i="1" s="1"/>
  <c r="O844" i="1"/>
  <c r="M844" i="1"/>
  <c r="I836" i="1"/>
  <c r="N836" i="1" s="1"/>
  <c r="O836" i="1"/>
  <c r="M836" i="1"/>
  <c r="I828" i="1"/>
  <c r="N828" i="1" s="1"/>
  <c r="O828" i="1"/>
  <c r="M828" i="1"/>
  <c r="I820" i="1"/>
  <c r="N820" i="1" s="1"/>
  <c r="O820" i="1"/>
  <c r="M820" i="1"/>
  <c r="I812" i="1"/>
  <c r="N812" i="1" s="1"/>
  <c r="O812" i="1"/>
  <c r="M812" i="1"/>
  <c r="I804" i="1"/>
  <c r="N804" i="1" s="1"/>
  <c r="O804" i="1"/>
  <c r="M804" i="1"/>
  <c r="I796" i="1"/>
  <c r="N796" i="1" s="1"/>
  <c r="O796" i="1"/>
  <c r="M796" i="1"/>
  <c r="I788" i="1"/>
  <c r="N788" i="1" s="1"/>
  <c r="O788" i="1"/>
  <c r="M788" i="1"/>
  <c r="I780" i="1"/>
  <c r="N780" i="1" s="1"/>
  <c r="O780" i="1"/>
  <c r="M780" i="1"/>
  <c r="I772" i="1"/>
  <c r="N772" i="1" s="1"/>
  <c r="O772" i="1"/>
  <c r="M772" i="1"/>
  <c r="I764" i="1"/>
  <c r="N764" i="1" s="1"/>
  <c r="O764" i="1"/>
  <c r="M764" i="1"/>
  <c r="I756" i="1"/>
  <c r="N756" i="1" s="1"/>
  <c r="O756" i="1"/>
  <c r="M756" i="1"/>
  <c r="I748" i="1"/>
  <c r="N748" i="1" s="1"/>
  <c r="O748" i="1"/>
  <c r="M748" i="1"/>
  <c r="I741" i="1"/>
  <c r="N741" i="1" s="1"/>
  <c r="O741" i="1"/>
  <c r="M741" i="1"/>
  <c r="I733" i="1"/>
  <c r="N733" i="1" s="1"/>
  <c r="O733" i="1"/>
  <c r="M733" i="1"/>
  <c r="I725" i="1"/>
  <c r="N725" i="1" s="1"/>
  <c r="O725" i="1"/>
  <c r="M725" i="1"/>
  <c r="I717" i="1"/>
  <c r="N717" i="1" s="1"/>
  <c r="O717" i="1"/>
  <c r="M717" i="1"/>
  <c r="I709" i="1"/>
  <c r="N709" i="1" s="1"/>
  <c r="O709" i="1"/>
  <c r="M709" i="1"/>
  <c r="I702" i="1"/>
  <c r="N702" i="1" s="1"/>
  <c r="O702" i="1"/>
  <c r="M702" i="1"/>
  <c r="I694" i="1"/>
  <c r="N694" i="1" s="1"/>
  <c r="O694" i="1"/>
  <c r="M694" i="1"/>
  <c r="I686" i="1"/>
  <c r="N686" i="1" s="1"/>
  <c r="O686" i="1"/>
  <c r="M686" i="1"/>
  <c r="I678" i="1"/>
  <c r="N678" i="1" s="1"/>
  <c r="O678" i="1"/>
  <c r="M678" i="1"/>
  <c r="I663" i="1"/>
  <c r="N663" i="1" s="1"/>
  <c r="O663" i="1"/>
  <c r="M663" i="1"/>
  <c r="I655" i="1"/>
  <c r="N655" i="1" s="1"/>
  <c r="O655" i="1"/>
  <c r="M655" i="1"/>
  <c r="I647" i="1"/>
  <c r="N647" i="1" s="1"/>
  <c r="O647" i="1"/>
  <c r="M647" i="1"/>
  <c r="I639" i="1"/>
  <c r="N639" i="1" s="1"/>
  <c r="O639" i="1"/>
  <c r="M639" i="1"/>
  <c r="I631" i="1"/>
  <c r="N631" i="1" s="1"/>
  <c r="O631" i="1"/>
  <c r="M631" i="1"/>
  <c r="I623" i="1"/>
  <c r="N623" i="1" s="1"/>
  <c r="O623" i="1"/>
  <c r="M623" i="1"/>
  <c r="I615" i="1"/>
  <c r="N615" i="1" s="1"/>
  <c r="O615" i="1"/>
  <c r="M615" i="1"/>
  <c r="I607" i="1"/>
  <c r="N607" i="1" s="1"/>
  <c r="O607" i="1"/>
  <c r="M607" i="1"/>
  <c r="I599" i="1"/>
  <c r="N599" i="1" s="1"/>
  <c r="O599" i="1"/>
  <c r="M599" i="1"/>
  <c r="I591" i="1"/>
  <c r="N591" i="1" s="1"/>
  <c r="O591" i="1"/>
  <c r="M591" i="1"/>
  <c r="I583" i="1"/>
  <c r="N583" i="1" s="1"/>
  <c r="O583" i="1"/>
  <c r="M583" i="1"/>
  <c r="I575" i="1"/>
  <c r="N575" i="1" s="1"/>
  <c r="O575" i="1"/>
  <c r="M575" i="1"/>
  <c r="I567" i="1"/>
  <c r="N567" i="1" s="1"/>
  <c r="O567" i="1"/>
  <c r="M567" i="1"/>
  <c r="I559" i="1"/>
  <c r="N559" i="1" s="1"/>
  <c r="O559" i="1"/>
  <c r="M559" i="1"/>
  <c r="I551" i="1"/>
  <c r="N551" i="1" s="1"/>
  <c r="O551" i="1"/>
  <c r="M551" i="1"/>
  <c r="I543" i="1"/>
  <c r="N543" i="1" s="1"/>
  <c r="O543" i="1"/>
  <c r="M543" i="1"/>
  <c r="I535" i="1"/>
  <c r="N535" i="1" s="1"/>
  <c r="O535" i="1"/>
  <c r="M535" i="1"/>
  <c r="I528" i="1"/>
  <c r="N528" i="1" s="1"/>
  <c r="O528" i="1"/>
  <c r="M528" i="1"/>
  <c r="I520" i="1"/>
  <c r="N520" i="1" s="1"/>
  <c r="O520" i="1"/>
  <c r="M520" i="1"/>
  <c r="I512" i="1"/>
  <c r="N512" i="1" s="1"/>
  <c r="O512" i="1"/>
  <c r="M512" i="1"/>
  <c r="I504" i="1"/>
  <c r="N504" i="1" s="1"/>
  <c r="O504" i="1"/>
  <c r="M504" i="1"/>
  <c r="O490" i="1"/>
  <c r="M490" i="1"/>
  <c r="I482" i="1"/>
  <c r="N482" i="1" s="1"/>
  <c r="O482" i="1"/>
  <c r="M482" i="1"/>
  <c r="I474" i="1"/>
  <c r="N474" i="1" s="1"/>
  <c r="O474" i="1"/>
  <c r="M474" i="1"/>
  <c r="I466" i="1"/>
  <c r="N466" i="1" s="1"/>
  <c r="O466" i="1"/>
  <c r="M466" i="1"/>
  <c r="I458" i="1"/>
  <c r="N458" i="1" s="1"/>
  <c r="O458" i="1"/>
  <c r="M458" i="1"/>
  <c r="I451" i="1"/>
  <c r="N451" i="1" s="1"/>
  <c r="O451" i="1"/>
  <c r="M451" i="1"/>
  <c r="I443" i="1"/>
  <c r="N443" i="1" s="1"/>
  <c r="O443" i="1"/>
  <c r="M443" i="1"/>
  <c r="I435" i="1"/>
  <c r="N435" i="1" s="1"/>
  <c r="O435" i="1"/>
  <c r="M435" i="1"/>
  <c r="I427" i="1"/>
  <c r="N427" i="1" s="1"/>
  <c r="O427" i="1"/>
  <c r="M427" i="1"/>
  <c r="I419" i="1"/>
  <c r="N419" i="1" s="1"/>
  <c r="O419" i="1"/>
  <c r="M419" i="1"/>
  <c r="I411" i="1"/>
  <c r="N411" i="1" s="1"/>
  <c r="O411" i="1"/>
  <c r="M411" i="1"/>
  <c r="I403" i="1"/>
  <c r="N403" i="1" s="1"/>
  <c r="O403" i="1"/>
  <c r="M403" i="1"/>
  <c r="I396" i="1"/>
  <c r="N396" i="1" s="1"/>
  <c r="O396" i="1"/>
  <c r="M396" i="1"/>
  <c r="I388" i="1"/>
  <c r="N388" i="1" s="1"/>
  <c r="O388" i="1"/>
  <c r="M388" i="1"/>
  <c r="I380" i="1"/>
  <c r="N380" i="1" s="1"/>
  <c r="O380" i="1"/>
  <c r="M380" i="1"/>
  <c r="I372" i="1"/>
  <c r="N372" i="1" s="1"/>
  <c r="O372" i="1"/>
  <c r="M372" i="1"/>
  <c r="I364" i="1"/>
  <c r="N364" i="1" s="1"/>
  <c r="O364" i="1"/>
  <c r="M364" i="1"/>
  <c r="I997" i="1"/>
  <c r="N997" i="1" s="1"/>
  <c r="O997" i="1"/>
  <c r="I989" i="1"/>
  <c r="N989" i="1" s="1"/>
  <c r="O989" i="1"/>
  <c r="I982" i="1"/>
  <c r="N982" i="1" s="1"/>
  <c r="O982" i="1"/>
  <c r="I974" i="1"/>
  <c r="N974" i="1" s="1"/>
  <c r="O974" i="1"/>
  <c r="I966" i="1"/>
  <c r="N966" i="1" s="1"/>
  <c r="O966" i="1"/>
  <c r="I958" i="1"/>
  <c r="N958" i="1" s="1"/>
  <c r="O958" i="1"/>
  <c r="I950" i="1"/>
  <c r="N950" i="1" s="1"/>
  <c r="O950" i="1"/>
  <c r="I942" i="1"/>
  <c r="N942" i="1" s="1"/>
  <c r="O942" i="1"/>
  <c r="I934" i="1"/>
  <c r="N934" i="1" s="1"/>
  <c r="O934" i="1"/>
  <c r="I926" i="1"/>
  <c r="N926" i="1" s="1"/>
  <c r="O926" i="1"/>
  <c r="I918" i="1"/>
  <c r="N918" i="1" s="1"/>
  <c r="O918" i="1"/>
  <c r="I910" i="1"/>
  <c r="N910" i="1" s="1"/>
  <c r="O910" i="1"/>
  <c r="I902" i="1"/>
  <c r="N902" i="1" s="1"/>
  <c r="O902" i="1"/>
  <c r="M902" i="1"/>
  <c r="I894" i="1"/>
  <c r="N894" i="1" s="1"/>
  <c r="O894" i="1"/>
  <c r="M894" i="1"/>
  <c r="I886" i="1"/>
  <c r="N886" i="1" s="1"/>
  <c r="O886" i="1"/>
  <c r="M886" i="1"/>
  <c r="I878" i="1"/>
  <c r="N878" i="1" s="1"/>
  <c r="O878" i="1"/>
  <c r="M878" i="1"/>
  <c r="I870" i="1"/>
  <c r="N870" i="1" s="1"/>
  <c r="O870" i="1"/>
  <c r="M870" i="1"/>
  <c r="M963" i="1"/>
  <c r="M947" i="1"/>
  <c r="M931" i="1"/>
  <c r="M915" i="1"/>
  <c r="I8" i="1"/>
  <c r="N8" i="1" s="1"/>
  <c r="O8" i="1"/>
  <c r="M8" i="1"/>
  <c r="I46" i="1"/>
  <c r="N46" i="1" s="1"/>
  <c r="O46" i="1"/>
  <c r="M46" i="1"/>
  <c r="I38" i="1"/>
  <c r="N38" i="1" s="1"/>
  <c r="O38" i="1"/>
  <c r="M38" i="1"/>
  <c r="I30" i="1"/>
  <c r="N30" i="1" s="1"/>
  <c r="O30" i="1"/>
  <c r="M30" i="1"/>
  <c r="I22" i="1"/>
  <c r="N22" i="1" s="1"/>
  <c r="O22" i="1"/>
  <c r="M22" i="1"/>
  <c r="I14" i="1"/>
  <c r="N14" i="1" s="1"/>
  <c r="O14" i="1"/>
  <c r="M14" i="1"/>
  <c r="I235" i="1"/>
  <c r="N235" i="1" s="1"/>
  <c r="O235" i="1"/>
  <c r="M235" i="1"/>
  <c r="I227" i="1"/>
  <c r="N227" i="1" s="1"/>
  <c r="O227" i="1"/>
  <c r="M227" i="1"/>
  <c r="O220" i="1"/>
  <c r="M220" i="1"/>
  <c r="I212" i="1"/>
  <c r="N212" i="1" s="1"/>
  <c r="O212" i="1"/>
  <c r="M212" i="1"/>
  <c r="I204" i="1"/>
  <c r="N204" i="1" s="1"/>
  <c r="O204" i="1"/>
  <c r="M204" i="1"/>
  <c r="I196" i="1"/>
  <c r="N196" i="1" s="1"/>
  <c r="O196" i="1"/>
  <c r="M196" i="1"/>
  <c r="I181" i="1"/>
  <c r="N181" i="1" s="1"/>
  <c r="O181" i="1"/>
  <c r="M181" i="1"/>
  <c r="I173" i="1"/>
  <c r="N173" i="1" s="1"/>
  <c r="O173" i="1"/>
  <c r="M173" i="1"/>
  <c r="I165" i="1"/>
  <c r="N165" i="1" s="1"/>
  <c r="O165" i="1"/>
  <c r="M165" i="1"/>
  <c r="I157" i="1"/>
  <c r="N157" i="1" s="1"/>
  <c r="O157" i="1"/>
  <c r="M157" i="1"/>
  <c r="I150" i="1"/>
  <c r="N150" i="1" s="1"/>
  <c r="O150" i="1"/>
  <c r="M150" i="1"/>
  <c r="I142" i="1"/>
  <c r="N142" i="1" s="1"/>
  <c r="O142" i="1"/>
  <c r="M142" i="1"/>
  <c r="I134" i="1"/>
  <c r="N134" i="1" s="1"/>
  <c r="O134" i="1"/>
  <c r="M134" i="1"/>
  <c r="I126" i="1"/>
  <c r="N126" i="1" s="1"/>
  <c r="O126" i="1"/>
  <c r="M126" i="1"/>
  <c r="I118" i="1"/>
  <c r="N118" i="1" s="1"/>
  <c r="O118" i="1"/>
  <c r="M118" i="1"/>
  <c r="I110" i="1"/>
  <c r="N110" i="1" s="1"/>
  <c r="O110" i="1"/>
  <c r="M110" i="1"/>
  <c r="I102" i="1"/>
  <c r="N102" i="1" s="1"/>
  <c r="O102" i="1"/>
  <c r="M102" i="1"/>
  <c r="I94" i="1"/>
  <c r="N94" i="1" s="1"/>
  <c r="O94" i="1"/>
  <c r="M94" i="1"/>
  <c r="I86" i="1"/>
  <c r="N86" i="1" s="1"/>
  <c r="O86" i="1"/>
  <c r="M86" i="1"/>
  <c r="I78" i="1"/>
  <c r="N78" i="1" s="1"/>
  <c r="O78" i="1"/>
  <c r="M78" i="1"/>
  <c r="I70" i="1"/>
  <c r="N70" i="1" s="1"/>
  <c r="O70" i="1"/>
  <c r="M70" i="1"/>
  <c r="I62" i="1"/>
  <c r="N62" i="1" s="1"/>
  <c r="O62" i="1"/>
  <c r="M62" i="1"/>
  <c r="I54" i="1"/>
  <c r="N54" i="1" s="1"/>
  <c r="O54" i="1"/>
  <c r="M54" i="1"/>
  <c r="I356" i="1"/>
  <c r="N356" i="1" s="1"/>
  <c r="O356" i="1"/>
  <c r="M356" i="1"/>
  <c r="I349" i="1"/>
  <c r="N349" i="1" s="1"/>
  <c r="O349" i="1"/>
  <c r="M349" i="1"/>
  <c r="I341" i="1"/>
  <c r="N341" i="1" s="1"/>
  <c r="O341" i="1"/>
  <c r="M341" i="1"/>
  <c r="I333" i="1"/>
  <c r="N333" i="1" s="1"/>
  <c r="O333" i="1"/>
  <c r="M333" i="1"/>
  <c r="I325" i="1"/>
  <c r="N325" i="1" s="1"/>
  <c r="O325" i="1"/>
  <c r="M325" i="1"/>
  <c r="I318" i="1"/>
  <c r="N318" i="1" s="1"/>
  <c r="O318" i="1"/>
  <c r="M318" i="1"/>
  <c r="I310" i="1"/>
  <c r="N310" i="1" s="1"/>
  <c r="O310" i="1"/>
  <c r="M310" i="1"/>
  <c r="I302" i="1"/>
  <c r="N302" i="1" s="1"/>
  <c r="O302" i="1"/>
  <c r="M302" i="1"/>
  <c r="I294" i="1"/>
  <c r="N294" i="1" s="1"/>
  <c r="O294" i="1"/>
  <c r="M294" i="1"/>
  <c r="I287" i="1"/>
  <c r="N287" i="1" s="1"/>
  <c r="O287" i="1"/>
  <c r="M287" i="1"/>
  <c r="I279" i="1"/>
  <c r="N279" i="1" s="1"/>
  <c r="O279" i="1"/>
  <c r="M279" i="1"/>
  <c r="I271" i="1"/>
  <c r="N271" i="1" s="1"/>
  <c r="O271" i="1"/>
  <c r="M271" i="1"/>
  <c r="I263" i="1"/>
  <c r="N263" i="1" s="1"/>
  <c r="O263" i="1"/>
  <c r="M263" i="1"/>
  <c r="I256" i="1"/>
  <c r="N256" i="1" s="1"/>
  <c r="O256" i="1"/>
  <c r="M256" i="1"/>
  <c r="I248" i="1"/>
  <c r="N248" i="1" s="1"/>
  <c r="O248" i="1"/>
  <c r="M248" i="1"/>
  <c r="I866" i="1"/>
  <c r="N866" i="1" s="1"/>
  <c r="O866" i="1"/>
  <c r="M866" i="1"/>
  <c r="I858" i="1"/>
  <c r="N858" i="1" s="1"/>
  <c r="O858" i="1"/>
  <c r="M858" i="1"/>
  <c r="I851" i="1"/>
  <c r="N851" i="1" s="1"/>
  <c r="O851" i="1"/>
  <c r="M851" i="1"/>
  <c r="I843" i="1"/>
  <c r="N843" i="1" s="1"/>
  <c r="O843" i="1"/>
  <c r="M843" i="1"/>
  <c r="I835" i="1"/>
  <c r="N835" i="1" s="1"/>
  <c r="O835" i="1"/>
  <c r="M835" i="1"/>
  <c r="I827" i="1"/>
  <c r="N827" i="1" s="1"/>
  <c r="O827" i="1"/>
  <c r="M827" i="1"/>
  <c r="I819" i="1"/>
  <c r="N819" i="1" s="1"/>
  <c r="O819" i="1"/>
  <c r="M819" i="1"/>
  <c r="I811" i="1"/>
  <c r="N811" i="1" s="1"/>
  <c r="O811" i="1"/>
  <c r="M811" i="1"/>
  <c r="I803" i="1"/>
  <c r="N803" i="1" s="1"/>
  <c r="O803" i="1"/>
  <c r="M803" i="1"/>
  <c r="I795" i="1"/>
  <c r="N795" i="1" s="1"/>
  <c r="O795" i="1"/>
  <c r="M795" i="1"/>
  <c r="I787" i="1"/>
  <c r="N787" i="1" s="1"/>
  <c r="O787" i="1"/>
  <c r="M787" i="1"/>
  <c r="I779" i="1"/>
  <c r="N779" i="1" s="1"/>
  <c r="O779" i="1"/>
  <c r="M779" i="1"/>
  <c r="I771" i="1"/>
  <c r="N771" i="1" s="1"/>
  <c r="O771" i="1"/>
  <c r="M771" i="1"/>
  <c r="I763" i="1"/>
  <c r="N763" i="1" s="1"/>
  <c r="O763" i="1"/>
  <c r="M763" i="1"/>
  <c r="I755" i="1"/>
  <c r="N755" i="1" s="1"/>
  <c r="O755" i="1"/>
  <c r="M755" i="1"/>
  <c r="I747" i="1"/>
  <c r="N747" i="1" s="1"/>
  <c r="O747" i="1"/>
  <c r="M747" i="1"/>
  <c r="I740" i="1"/>
  <c r="N740" i="1" s="1"/>
  <c r="O740" i="1"/>
  <c r="M740" i="1"/>
  <c r="I732" i="1"/>
  <c r="N732" i="1" s="1"/>
  <c r="O732" i="1"/>
  <c r="M732" i="1"/>
  <c r="I724" i="1"/>
  <c r="N724" i="1" s="1"/>
  <c r="O724" i="1"/>
  <c r="M724" i="1"/>
  <c r="I716" i="1"/>
  <c r="N716" i="1" s="1"/>
  <c r="O716" i="1"/>
  <c r="M716" i="1"/>
  <c r="I708" i="1"/>
  <c r="N708" i="1" s="1"/>
  <c r="O708" i="1"/>
  <c r="M708" i="1"/>
  <c r="I701" i="1"/>
  <c r="N701" i="1" s="1"/>
  <c r="O701" i="1"/>
  <c r="M701" i="1"/>
  <c r="I693" i="1"/>
  <c r="N693" i="1" s="1"/>
  <c r="O693" i="1"/>
  <c r="M693" i="1"/>
  <c r="I685" i="1"/>
  <c r="N685" i="1" s="1"/>
  <c r="O685" i="1"/>
  <c r="M685" i="1"/>
  <c r="I677" i="1"/>
  <c r="N677" i="1" s="1"/>
  <c r="O677" i="1"/>
  <c r="M677" i="1"/>
  <c r="O670" i="1"/>
  <c r="M670" i="1"/>
  <c r="I662" i="1"/>
  <c r="N662" i="1" s="1"/>
  <c r="O662" i="1"/>
  <c r="M662" i="1"/>
  <c r="I654" i="1"/>
  <c r="N654" i="1" s="1"/>
  <c r="O654" i="1"/>
  <c r="M654" i="1"/>
  <c r="I646" i="1"/>
  <c r="N646" i="1" s="1"/>
  <c r="O646" i="1"/>
  <c r="M646" i="1"/>
  <c r="I638" i="1"/>
  <c r="N638" i="1" s="1"/>
  <c r="O638" i="1"/>
  <c r="M638" i="1"/>
  <c r="I630" i="1"/>
  <c r="N630" i="1" s="1"/>
  <c r="O630" i="1"/>
  <c r="M630" i="1"/>
  <c r="I622" i="1"/>
  <c r="N622" i="1" s="1"/>
  <c r="O622" i="1"/>
  <c r="M622" i="1"/>
  <c r="I614" i="1"/>
  <c r="N614" i="1" s="1"/>
  <c r="O614" i="1"/>
  <c r="M614" i="1"/>
  <c r="I606" i="1"/>
  <c r="N606" i="1" s="1"/>
  <c r="O606" i="1"/>
  <c r="M606" i="1"/>
  <c r="I598" i="1"/>
  <c r="N598" i="1" s="1"/>
  <c r="O598" i="1"/>
  <c r="M598" i="1"/>
  <c r="I590" i="1"/>
  <c r="N590" i="1" s="1"/>
  <c r="O590" i="1"/>
  <c r="M590" i="1"/>
  <c r="I582" i="1"/>
  <c r="N582" i="1" s="1"/>
  <c r="O582" i="1"/>
  <c r="M582" i="1"/>
  <c r="I574" i="1"/>
  <c r="N574" i="1" s="1"/>
  <c r="O574" i="1"/>
  <c r="M574" i="1"/>
  <c r="I566" i="1"/>
  <c r="N566" i="1" s="1"/>
  <c r="O566" i="1"/>
  <c r="M566" i="1"/>
  <c r="I558" i="1"/>
  <c r="N558" i="1" s="1"/>
  <c r="O558" i="1"/>
  <c r="M558" i="1"/>
  <c r="I550" i="1"/>
  <c r="N550" i="1" s="1"/>
  <c r="O550" i="1"/>
  <c r="M550" i="1"/>
  <c r="I542" i="1"/>
  <c r="N542" i="1" s="1"/>
  <c r="O542" i="1"/>
  <c r="M542" i="1"/>
  <c r="I534" i="1"/>
  <c r="N534" i="1" s="1"/>
  <c r="O534" i="1"/>
  <c r="M534" i="1"/>
  <c r="I527" i="1"/>
  <c r="N527" i="1" s="1"/>
  <c r="O527" i="1"/>
  <c r="M527" i="1"/>
  <c r="I519" i="1"/>
  <c r="N519" i="1" s="1"/>
  <c r="O519" i="1"/>
  <c r="M519" i="1"/>
  <c r="I511" i="1"/>
  <c r="N511" i="1" s="1"/>
  <c r="O511" i="1"/>
  <c r="M511" i="1"/>
  <c r="I503" i="1"/>
  <c r="N503" i="1" s="1"/>
  <c r="O503" i="1"/>
  <c r="M503" i="1"/>
  <c r="O496" i="1"/>
  <c r="M496" i="1"/>
  <c r="I489" i="1"/>
  <c r="N489" i="1" s="1"/>
  <c r="O489" i="1"/>
  <c r="M489" i="1"/>
  <c r="I481" i="1"/>
  <c r="N481" i="1" s="1"/>
  <c r="O481" i="1"/>
  <c r="M481" i="1"/>
  <c r="I473" i="1"/>
  <c r="N473" i="1" s="1"/>
  <c r="O473" i="1"/>
  <c r="M473" i="1"/>
  <c r="I465" i="1"/>
  <c r="N465" i="1" s="1"/>
  <c r="O465" i="1"/>
  <c r="M465" i="1"/>
  <c r="I457" i="1"/>
  <c r="N457" i="1" s="1"/>
  <c r="O457" i="1"/>
  <c r="M457" i="1"/>
  <c r="I450" i="1"/>
  <c r="N450" i="1" s="1"/>
  <c r="O450" i="1"/>
  <c r="M450" i="1"/>
  <c r="I442" i="1"/>
  <c r="N442" i="1" s="1"/>
  <c r="O442" i="1"/>
  <c r="M442" i="1"/>
  <c r="I434" i="1"/>
  <c r="N434" i="1" s="1"/>
  <c r="O434" i="1"/>
  <c r="M434" i="1"/>
  <c r="I426" i="1"/>
  <c r="N426" i="1" s="1"/>
  <c r="O426" i="1"/>
  <c r="M426" i="1"/>
  <c r="I418" i="1"/>
  <c r="N418" i="1" s="1"/>
  <c r="O418" i="1"/>
  <c r="M418" i="1"/>
  <c r="I410" i="1"/>
  <c r="N410" i="1" s="1"/>
  <c r="O410" i="1"/>
  <c r="M410" i="1"/>
  <c r="I402" i="1"/>
  <c r="N402" i="1" s="1"/>
  <c r="O402" i="1"/>
  <c r="M402" i="1"/>
  <c r="I395" i="1"/>
  <c r="N395" i="1" s="1"/>
  <c r="O395" i="1"/>
  <c r="M395" i="1"/>
  <c r="I387" i="1"/>
  <c r="N387" i="1" s="1"/>
  <c r="O387" i="1"/>
  <c r="M387" i="1"/>
  <c r="I379" i="1"/>
  <c r="N379" i="1" s="1"/>
  <c r="O379" i="1"/>
  <c r="M379" i="1"/>
  <c r="I371" i="1"/>
  <c r="N371" i="1" s="1"/>
  <c r="O371" i="1"/>
  <c r="M371" i="1"/>
  <c r="I363" i="1"/>
  <c r="N363" i="1" s="1"/>
  <c r="O363" i="1"/>
  <c r="M363" i="1"/>
  <c r="I996" i="1"/>
  <c r="N996" i="1" s="1"/>
  <c r="O996" i="1"/>
  <c r="I988" i="1"/>
  <c r="N988" i="1" s="1"/>
  <c r="O988" i="1"/>
  <c r="I981" i="1"/>
  <c r="N981" i="1" s="1"/>
  <c r="O981" i="1"/>
  <c r="I973" i="1"/>
  <c r="N973" i="1" s="1"/>
  <c r="O973" i="1"/>
  <c r="I965" i="1"/>
  <c r="N965" i="1" s="1"/>
  <c r="O965" i="1"/>
  <c r="I957" i="1"/>
  <c r="N957" i="1" s="1"/>
  <c r="O957" i="1"/>
  <c r="M957" i="1"/>
  <c r="I949" i="1"/>
  <c r="N949" i="1" s="1"/>
  <c r="O949" i="1"/>
  <c r="M949" i="1"/>
  <c r="I941" i="1"/>
  <c r="N941" i="1" s="1"/>
  <c r="O941" i="1"/>
  <c r="M941" i="1"/>
  <c r="I933" i="1"/>
  <c r="N933" i="1" s="1"/>
  <c r="O933" i="1"/>
  <c r="M933" i="1"/>
  <c r="I925" i="1"/>
  <c r="N925" i="1" s="1"/>
  <c r="O925" i="1"/>
  <c r="M925" i="1"/>
  <c r="I917" i="1"/>
  <c r="N917" i="1" s="1"/>
  <c r="O917" i="1"/>
  <c r="M917" i="1"/>
  <c r="I909" i="1"/>
  <c r="N909" i="1" s="1"/>
  <c r="O909" i="1"/>
  <c r="M909" i="1"/>
  <c r="I901" i="1"/>
  <c r="N901" i="1" s="1"/>
  <c r="O901" i="1"/>
  <c r="M901" i="1"/>
  <c r="I893" i="1"/>
  <c r="N893" i="1" s="1"/>
  <c r="O893" i="1"/>
  <c r="M893" i="1"/>
  <c r="I885" i="1"/>
  <c r="N885" i="1" s="1"/>
  <c r="O885" i="1"/>
  <c r="M885" i="1"/>
  <c r="I877" i="1"/>
  <c r="N877" i="1" s="1"/>
  <c r="O877" i="1"/>
  <c r="M877" i="1"/>
  <c r="I869" i="1"/>
  <c r="N869" i="1" s="1"/>
  <c r="O869" i="1"/>
  <c r="M869" i="1"/>
  <c r="M987" i="1"/>
  <c r="M979" i="1"/>
  <c r="M971" i="1"/>
  <c r="M961" i="1"/>
  <c r="M945" i="1"/>
  <c r="M929" i="1"/>
  <c r="M913" i="1"/>
  <c r="I2" i="1"/>
  <c r="N2" i="1" s="1"/>
  <c r="O2" i="1"/>
  <c r="I7" i="1"/>
  <c r="N7" i="1" s="1"/>
  <c r="O7" i="1"/>
  <c r="M7" i="1"/>
  <c r="I45" i="1"/>
  <c r="N45" i="1" s="1"/>
  <c r="O45" i="1"/>
  <c r="M45" i="1"/>
  <c r="I37" i="1"/>
  <c r="N37" i="1" s="1"/>
  <c r="O37" i="1"/>
  <c r="M37" i="1"/>
  <c r="I29" i="1"/>
  <c r="N29" i="1" s="1"/>
  <c r="O29" i="1"/>
  <c r="M29" i="1"/>
  <c r="I21" i="1"/>
  <c r="N21" i="1" s="1"/>
  <c r="O21" i="1"/>
  <c r="M21" i="1"/>
  <c r="I13" i="1"/>
  <c r="N13" i="1" s="1"/>
  <c r="O13" i="1"/>
  <c r="M13" i="1"/>
  <c r="I234" i="1"/>
  <c r="N234" i="1" s="1"/>
  <c r="O234" i="1"/>
  <c r="M234" i="1"/>
  <c r="I226" i="1"/>
  <c r="N226" i="1" s="1"/>
  <c r="O226" i="1"/>
  <c r="M226" i="1"/>
  <c r="I219" i="1"/>
  <c r="N219" i="1" s="1"/>
  <c r="O219" i="1"/>
  <c r="M219" i="1"/>
  <c r="I211" i="1"/>
  <c r="N211" i="1" s="1"/>
  <c r="O211" i="1"/>
  <c r="M211" i="1"/>
  <c r="I203" i="1"/>
  <c r="N203" i="1" s="1"/>
  <c r="O203" i="1"/>
  <c r="M203" i="1"/>
  <c r="I195" i="1"/>
  <c r="N195" i="1" s="1"/>
  <c r="O195" i="1"/>
  <c r="M195" i="1"/>
  <c r="O188" i="1"/>
  <c r="M188" i="1"/>
  <c r="I180" i="1"/>
  <c r="N180" i="1" s="1"/>
  <c r="O180" i="1"/>
  <c r="M180" i="1"/>
  <c r="I172" i="1"/>
  <c r="N172" i="1" s="1"/>
  <c r="O172" i="1"/>
  <c r="M172" i="1"/>
  <c r="I164" i="1"/>
  <c r="N164" i="1" s="1"/>
  <c r="O164" i="1"/>
  <c r="M164" i="1"/>
  <c r="I156" i="1"/>
  <c r="N156" i="1" s="1"/>
  <c r="I149" i="1"/>
  <c r="N149" i="1" s="1"/>
  <c r="O149" i="1"/>
  <c r="M149" i="1"/>
  <c r="I141" i="1"/>
  <c r="N141" i="1" s="1"/>
  <c r="O141" i="1"/>
  <c r="M141" i="1"/>
  <c r="I133" i="1"/>
  <c r="N133" i="1" s="1"/>
  <c r="O133" i="1"/>
  <c r="M133" i="1"/>
  <c r="I125" i="1"/>
  <c r="N125" i="1" s="1"/>
  <c r="O125" i="1"/>
  <c r="M125" i="1"/>
  <c r="I117" i="1"/>
  <c r="N117" i="1" s="1"/>
  <c r="O117" i="1"/>
  <c r="M117" i="1"/>
  <c r="I109" i="1"/>
  <c r="N109" i="1" s="1"/>
  <c r="O109" i="1"/>
  <c r="M109" i="1"/>
  <c r="I101" i="1"/>
  <c r="N101" i="1" s="1"/>
  <c r="O101" i="1"/>
  <c r="M101" i="1"/>
  <c r="I93" i="1"/>
  <c r="N93" i="1" s="1"/>
  <c r="M93" i="1"/>
  <c r="O93" i="1"/>
  <c r="I85" i="1"/>
  <c r="N85" i="1" s="1"/>
  <c r="O85" i="1"/>
  <c r="M85" i="1"/>
  <c r="I77" i="1"/>
  <c r="N77" i="1" s="1"/>
  <c r="O77" i="1"/>
  <c r="M77" i="1"/>
  <c r="I69" i="1"/>
  <c r="N69" i="1" s="1"/>
  <c r="O69" i="1"/>
  <c r="M69" i="1"/>
  <c r="I61" i="1"/>
  <c r="N61" i="1" s="1"/>
  <c r="O61" i="1"/>
  <c r="M61" i="1"/>
  <c r="I53" i="1"/>
  <c r="N53" i="1" s="1"/>
  <c r="O53" i="1"/>
  <c r="M53" i="1"/>
  <c r="I355" i="1"/>
  <c r="N355" i="1" s="1"/>
  <c r="O355" i="1"/>
  <c r="M355" i="1"/>
  <c r="I348" i="1"/>
  <c r="N348" i="1" s="1"/>
  <c r="O348" i="1"/>
  <c r="M348" i="1"/>
  <c r="I340" i="1"/>
  <c r="N340" i="1" s="1"/>
  <c r="O340" i="1"/>
  <c r="M340" i="1"/>
  <c r="I332" i="1"/>
  <c r="N332" i="1" s="1"/>
  <c r="O332" i="1"/>
  <c r="M332" i="1"/>
  <c r="I324" i="1"/>
  <c r="N324" i="1" s="1"/>
  <c r="O324" i="1"/>
  <c r="M324" i="1"/>
  <c r="I317" i="1"/>
  <c r="N317" i="1" s="1"/>
  <c r="O317" i="1"/>
  <c r="M317" i="1"/>
  <c r="I309" i="1"/>
  <c r="N309" i="1" s="1"/>
  <c r="O309" i="1"/>
  <c r="M309" i="1"/>
  <c r="I301" i="1"/>
  <c r="N301" i="1" s="1"/>
  <c r="O301" i="1"/>
  <c r="M301" i="1"/>
  <c r="I293" i="1"/>
  <c r="N293" i="1" s="1"/>
  <c r="O293" i="1"/>
  <c r="M293" i="1"/>
  <c r="I286" i="1"/>
  <c r="N286" i="1" s="1"/>
  <c r="O286" i="1"/>
  <c r="M286" i="1"/>
  <c r="I278" i="1"/>
  <c r="N278" i="1" s="1"/>
  <c r="O278" i="1"/>
  <c r="M278" i="1"/>
  <c r="I270" i="1"/>
  <c r="N270" i="1" s="1"/>
  <c r="O270" i="1"/>
  <c r="M270" i="1"/>
  <c r="I262" i="1"/>
  <c r="N262" i="1" s="1"/>
  <c r="O262" i="1"/>
  <c r="M262" i="1"/>
  <c r="I255" i="1"/>
  <c r="N255" i="1" s="1"/>
  <c r="M255" i="1"/>
  <c r="O255" i="1"/>
  <c r="I247" i="1"/>
  <c r="N247" i="1" s="1"/>
  <c r="O247" i="1"/>
  <c r="M247" i="1"/>
  <c r="I865" i="1"/>
  <c r="N865" i="1" s="1"/>
  <c r="O865" i="1"/>
  <c r="M865" i="1"/>
  <c r="I857" i="1"/>
  <c r="N857" i="1" s="1"/>
  <c r="O857" i="1"/>
  <c r="M857" i="1"/>
  <c r="I850" i="1"/>
  <c r="N850" i="1" s="1"/>
  <c r="O850" i="1"/>
  <c r="M850" i="1"/>
  <c r="I842" i="1"/>
  <c r="N842" i="1" s="1"/>
  <c r="O842" i="1"/>
  <c r="M842" i="1"/>
  <c r="I834" i="1"/>
  <c r="N834" i="1" s="1"/>
  <c r="O834" i="1"/>
  <c r="M834" i="1"/>
  <c r="I826" i="1"/>
  <c r="N826" i="1" s="1"/>
  <c r="O826" i="1"/>
  <c r="M826" i="1"/>
  <c r="I818" i="1"/>
  <c r="N818" i="1" s="1"/>
  <c r="O818" i="1"/>
  <c r="M818" i="1"/>
  <c r="I810" i="1"/>
  <c r="N810" i="1" s="1"/>
  <c r="O810" i="1"/>
  <c r="M810" i="1"/>
  <c r="I802" i="1"/>
  <c r="N802" i="1" s="1"/>
  <c r="O802" i="1"/>
  <c r="M802" i="1"/>
  <c r="I794" i="1"/>
  <c r="N794" i="1" s="1"/>
  <c r="O794" i="1"/>
  <c r="M794" i="1"/>
  <c r="I786" i="1"/>
  <c r="N786" i="1" s="1"/>
  <c r="O786" i="1"/>
  <c r="M786" i="1"/>
  <c r="I778" i="1"/>
  <c r="N778" i="1" s="1"/>
  <c r="O778" i="1"/>
  <c r="M778" i="1"/>
  <c r="I770" i="1"/>
  <c r="N770" i="1" s="1"/>
  <c r="O770" i="1"/>
  <c r="M770" i="1"/>
  <c r="I762" i="1"/>
  <c r="N762" i="1" s="1"/>
  <c r="O762" i="1"/>
  <c r="M762" i="1"/>
  <c r="I754" i="1"/>
  <c r="N754" i="1" s="1"/>
  <c r="O754" i="1"/>
  <c r="M754" i="1"/>
  <c r="I746" i="1"/>
  <c r="N746" i="1" s="1"/>
  <c r="I739" i="1"/>
  <c r="N739" i="1" s="1"/>
  <c r="O739" i="1"/>
  <c r="M739" i="1"/>
  <c r="I731" i="1"/>
  <c r="N731" i="1" s="1"/>
  <c r="O731" i="1"/>
  <c r="M731" i="1"/>
  <c r="I723" i="1"/>
  <c r="N723" i="1" s="1"/>
  <c r="O723" i="1"/>
  <c r="M723" i="1"/>
  <c r="I715" i="1"/>
  <c r="N715" i="1" s="1"/>
  <c r="O715" i="1"/>
  <c r="M715" i="1"/>
  <c r="I707" i="1"/>
  <c r="N707" i="1" s="1"/>
  <c r="O707" i="1"/>
  <c r="M707" i="1"/>
  <c r="I700" i="1"/>
  <c r="N700" i="1" s="1"/>
  <c r="O700" i="1"/>
  <c r="M700" i="1"/>
  <c r="I692" i="1"/>
  <c r="N692" i="1" s="1"/>
  <c r="O692" i="1"/>
  <c r="M692" i="1"/>
  <c r="I684" i="1"/>
  <c r="N684" i="1" s="1"/>
  <c r="O684" i="1"/>
  <c r="M684" i="1"/>
  <c r="I676" i="1"/>
  <c r="N676" i="1" s="1"/>
  <c r="O676" i="1"/>
  <c r="M676" i="1"/>
  <c r="I669" i="1"/>
  <c r="N669" i="1" s="1"/>
  <c r="O669" i="1"/>
  <c r="M669" i="1"/>
  <c r="I661" i="1"/>
  <c r="N661" i="1" s="1"/>
  <c r="O661" i="1"/>
  <c r="M661" i="1"/>
  <c r="I653" i="1"/>
  <c r="N653" i="1" s="1"/>
  <c r="O653" i="1"/>
  <c r="M653" i="1"/>
  <c r="I645" i="1"/>
  <c r="N645" i="1" s="1"/>
  <c r="O645" i="1"/>
  <c r="M645" i="1"/>
  <c r="I637" i="1"/>
  <c r="N637" i="1" s="1"/>
  <c r="O637" i="1"/>
  <c r="M637" i="1"/>
  <c r="I629" i="1"/>
  <c r="N629" i="1" s="1"/>
  <c r="O629" i="1"/>
  <c r="M629" i="1"/>
  <c r="I621" i="1"/>
  <c r="N621" i="1" s="1"/>
  <c r="O621" i="1"/>
  <c r="M621" i="1"/>
  <c r="I613" i="1"/>
  <c r="N613" i="1" s="1"/>
  <c r="O613" i="1"/>
  <c r="M613" i="1"/>
  <c r="I605" i="1"/>
  <c r="N605" i="1" s="1"/>
  <c r="O605" i="1"/>
  <c r="M605" i="1"/>
  <c r="I597" i="1"/>
  <c r="N597" i="1" s="1"/>
  <c r="O597" i="1"/>
  <c r="M597" i="1"/>
  <c r="I589" i="1"/>
  <c r="N589" i="1" s="1"/>
  <c r="O589" i="1"/>
  <c r="M589" i="1"/>
  <c r="I581" i="1"/>
  <c r="N581" i="1" s="1"/>
  <c r="O581" i="1"/>
  <c r="M581" i="1"/>
  <c r="I573" i="1"/>
  <c r="N573" i="1" s="1"/>
  <c r="O573" i="1"/>
  <c r="M573" i="1"/>
  <c r="I565" i="1"/>
  <c r="N565" i="1" s="1"/>
  <c r="O565" i="1"/>
  <c r="M565" i="1"/>
  <c r="I557" i="1"/>
  <c r="N557" i="1" s="1"/>
  <c r="O557" i="1"/>
  <c r="M557" i="1"/>
  <c r="I549" i="1"/>
  <c r="N549" i="1" s="1"/>
  <c r="O549" i="1"/>
  <c r="M549" i="1"/>
  <c r="I541" i="1"/>
  <c r="N541" i="1" s="1"/>
  <c r="O541" i="1"/>
  <c r="M541" i="1"/>
  <c r="I533" i="1"/>
  <c r="N533" i="1" s="1"/>
  <c r="O533" i="1"/>
  <c r="M533" i="1"/>
  <c r="I526" i="1"/>
  <c r="N526" i="1" s="1"/>
  <c r="O526" i="1"/>
  <c r="M526" i="1"/>
  <c r="I518" i="1"/>
  <c r="N518" i="1" s="1"/>
  <c r="O518" i="1"/>
  <c r="M518" i="1"/>
  <c r="I510" i="1"/>
  <c r="N510" i="1" s="1"/>
  <c r="O510" i="1"/>
  <c r="M510" i="1"/>
  <c r="I502" i="1"/>
  <c r="N502" i="1" s="1"/>
  <c r="O502" i="1"/>
  <c r="M502" i="1"/>
  <c r="I495" i="1"/>
  <c r="N495" i="1" s="1"/>
  <c r="O495" i="1"/>
  <c r="M495" i="1"/>
  <c r="I488" i="1"/>
  <c r="N488" i="1" s="1"/>
  <c r="O488" i="1"/>
  <c r="M488" i="1"/>
  <c r="I480" i="1"/>
  <c r="N480" i="1" s="1"/>
  <c r="O480" i="1"/>
  <c r="M480" i="1"/>
  <c r="I472" i="1"/>
  <c r="N472" i="1" s="1"/>
  <c r="O472" i="1"/>
  <c r="M472" i="1"/>
  <c r="I464" i="1"/>
  <c r="N464" i="1" s="1"/>
  <c r="O464" i="1"/>
  <c r="M464" i="1"/>
  <c r="I456" i="1"/>
  <c r="N456" i="1" s="1"/>
  <c r="O456" i="1"/>
  <c r="M456" i="1"/>
  <c r="I449" i="1"/>
  <c r="N449" i="1" s="1"/>
  <c r="O449" i="1"/>
  <c r="M449" i="1"/>
  <c r="I441" i="1"/>
  <c r="N441" i="1" s="1"/>
  <c r="O441" i="1"/>
  <c r="M441" i="1"/>
  <c r="I433" i="1"/>
  <c r="N433" i="1" s="1"/>
  <c r="O433" i="1"/>
  <c r="M433" i="1"/>
  <c r="I425" i="1"/>
  <c r="N425" i="1" s="1"/>
  <c r="O425" i="1"/>
  <c r="M425" i="1"/>
  <c r="I417" i="1"/>
  <c r="N417" i="1" s="1"/>
  <c r="O417" i="1"/>
  <c r="M417" i="1"/>
  <c r="I409" i="1"/>
  <c r="N409" i="1" s="1"/>
  <c r="O409" i="1"/>
  <c r="M409" i="1"/>
  <c r="I401" i="1"/>
  <c r="N401" i="1" s="1"/>
  <c r="O401" i="1"/>
  <c r="M401" i="1"/>
  <c r="I394" i="1"/>
  <c r="N394" i="1" s="1"/>
  <c r="O394" i="1"/>
  <c r="M394" i="1"/>
  <c r="I386" i="1"/>
  <c r="N386" i="1" s="1"/>
  <c r="O386" i="1"/>
  <c r="M386" i="1"/>
  <c r="I378" i="1"/>
  <c r="N378" i="1" s="1"/>
  <c r="O378" i="1"/>
  <c r="M378" i="1"/>
  <c r="I370" i="1"/>
  <c r="N370" i="1" s="1"/>
  <c r="O370" i="1"/>
  <c r="M370" i="1"/>
  <c r="I362" i="1"/>
  <c r="N362" i="1" s="1"/>
  <c r="O362" i="1"/>
  <c r="M362" i="1"/>
  <c r="I995" i="1"/>
  <c r="N995" i="1" s="1"/>
  <c r="O995" i="1"/>
  <c r="I987" i="1"/>
  <c r="N987" i="1" s="1"/>
  <c r="I980" i="1"/>
  <c r="N980" i="1" s="1"/>
  <c r="O980" i="1"/>
  <c r="I972" i="1"/>
  <c r="N972" i="1" s="1"/>
  <c r="O972" i="1"/>
  <c r="I964" i="1"/>
  <c r="N964" i="1" s="1"/>
  <c r="O964" i="1"/>
  <c r="M964" i="1"/>
  <c r="I956" i="1"/>
  <c r="N956" i="1" s="1"/>
  <c r="O956" i="1"/>
  <c r="M956" i="1"/>
  <c r="I948" i="1"/>
  <c r="N948" i="1" s="1"/>
  <c r="O948" i="1"/>
  <c r="M948" i="1"/>
  <c r="I940" i="1"/>
  <c r="N940" i="1" s="1"/>
  <c r="O940" i="1"/>
  <c r="M940" i="1"/>
  <c r="I932" i="1"/>
  <c r="N932" i="1" s="1"/>
  <c r="O932" i="1"/>
  <c r="M932" i="1"/>
  <c r="I924" i="1"/>
  <c r="N924" i="1" s="1"/>
  <c r="O924" i="1"/>
  <c r="M924" i="1"/>
  <c r="I916" i="1"/>
  <c r="N916" i="1" s="1"/>
  <c r="O916" i="1"/>
  <c r="M916" i="1"/>
  <c r="I908" i="1"/>
  <c r="N908" i="1" s="1"/>
  <c r="O908" i="1"/>
  <c r="M908" i="1"/>
  <c r="I900" i="1"/>
  <c r="N900" i="1" s="1"/>
  <c r="O900" i="1"/>
  <c r="M900" i="1"/>
  <c r="I892" i="1"/>
  <c r="N892" i="1" s="1"/>
  <c r="O892" i="1"/>
  <c r="M892" i="1"/>
  <c r="I884" i="1"/>
  <c r="N884" i="1" s="1"/>
  <c r="O884" i="1"/>
  <c r="M884" i="1"/>
  <c r="I876" i="1"/>
  <c r="N876" i="1" s="1"/>
  <c r="O876" i="1"/>
  <c r="M876" i="1"/>
  <c r="I868" i="1"/>
  <c r="N868" i="1" s="1"/>
  <c r="O868" i="1"/>
  <c r="M868" i="1"/>
  <c r="M994" i="1"/>
  <c r="M986" i="1"/>
  <c r="M978" i="1"/>
  <c r="M970" i="1"/>
  <c r="M960" i="1"/>
  <c r="M944" i="1"/>
  <c r="M928" i="1"/>
  <c r="M91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<sst xmlns="http://schemas.openxmlformats.org/spreadsheetml/2006/main" count="11097" uniqueCount="6226">
  <si>
    <t>Order ID</t>
  </si>
  <si>
    <t>Order Date</t>
  </si>
  <si>
    <t>Customer ID</t>
  </si>
  <si>
    <t>Product ID</t>
  </si>
  <si>
    <t>Quantity</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</si>
  <si>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</si>
  <si>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</si>
  <si>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</si>
  <si>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</si>
  <si>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</si>
  <si>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</si>
  <si>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</si>
  <si>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</si>
  <si>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</si>
  <si>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</si>
  <si>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</si>
  <si>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</si>
  <si>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</si>
  <si>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</si>
  <si>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</si>
  <si>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</si>
  <si>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</si>
  <si>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</si>
  <si>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</si>
  <si>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</si>
  <si>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</si>
  <si>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</si>
  <si>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</si>
  <si>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</si>
  <si>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</si>
  <si>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</si>
  <si>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</si>
  <si>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</si>
  <si>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</si>
  <si>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</si>
  <si>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</si>
  <si>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</si>
  <si>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</si>
  <si>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</si>
  <si>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</si>
  <si>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</si>
  <si>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</si>
  <si>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</si>
  <si>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</si>
  <si>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</si>
  <si>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</si>
  <si>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</si>
  <si>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</si>
  <si>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</si>
  <si>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</si>
  <si>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</si>
  <si>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</si>
  <si>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</si>
  <si>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</si>
  <si>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</si>
  <si>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</si>
  <si>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</si>
  <si>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</si>
  <si>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</si>
  <si>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</si>
  <si>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</si>
  <si>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</si>
  <si>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</si>
  <si>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</si>
  <si>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</si>
  <si>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</si>
  <si>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</si>
  <si>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</si>
  <si>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</si>
  <si>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</si>
  <si>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</si>
  <si>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</si>
  <si>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</si>
  <si>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</si>
  <si>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</si>
  <si>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</si>
  <si>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</si>
  <si>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</si>
  <si>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</si>
  <si>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</si>
  <si>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</si>
  <si>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</si>
  <si>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</si>
  <si>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</si>
  <si>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</si>
  <si>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</si>
  <si>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</si>
  <si>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</si>
  <si>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</si>
  <si>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</si>
  <si>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</si>
  <si>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</si>
  <si>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</si>
  <si>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</si>
  <si>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</si>
  <si>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</si>
  <si>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</si>
  <si>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</si>
  <si>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</si>
  <si>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</si>
  <si>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</si>
  <si>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</si>
  <si>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</si>
  <si>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</si>
  <si>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</si>
  <si>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</si>
  <si>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</si>
  <si>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</si>
  <si>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</si>
  <si>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</si>
  <si>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</si>
  <si>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</si>
  <si>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</si>
  <si>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</si>
  <si>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</si>
  <si>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</si>
  <si>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</si>
  <si>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</si>
  <si>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</si>
  <si>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</si>
  <si>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</si>
  <si>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</si>
  <si>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</si>
  <si>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</si>
  <si>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</si>
  <si>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</si>
  <si>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</si>
  <si>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</si>
  <si>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</si>
  <si>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</si>
  <si>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</si>
  <si>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</si>
  <si>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</si>
  <si>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</si>
  <si>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</si>
  <si>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</si>
  <si>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</si>
  <si>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</si>
  <si>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</si>
  <si>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</si>
  <si>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</si>
  <si>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</si>
  <si>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</si>
  <si>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</si>
  <si>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</si>
  <si>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</si>
  <si>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</si>
  <si>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</si>
  <si>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</si>
  <si>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</si>
  <si>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</si>
  <si>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</si>
  <si>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</si>
  <si>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</si>
  <si>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</si>
  <si>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</si>
  <si>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</si>
  <si>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</si>
  <si>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</si>
  <si>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</si>
  <si>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</si>
  <si>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</si>
  <si>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</si>
  <si>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</si>
  <si>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</si>
  <si>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</si>
  <si>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</si>
  <si>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</si>
  <si>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</si>
  <si>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</si>
  <si>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</si>
  <si>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</si>
  <si>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</si>
  <si>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</si>
  <si>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</si>
  <si>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</si>
  <si>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</si>
  <si>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</si>
  <si>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</si>
  <si>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</si>
  <si>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</si>
  <si>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</si>
  <si>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</si>
  <si>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</si>
  <si>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</si>
  <si>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</si>
  <si>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</si>
  <si>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</si>
  <si>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</si>
  <si>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</si>
  <si>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</si>
  <si>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</si>
  <si>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</si>
  <si>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</si>
  <si>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</si>
  <si>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</si>
  <si>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</si>
  <si>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</si>
  <si>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</si>
  <si>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</si>
  <si>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</si>
  <si>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</si>
  <si>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</si>
  <si>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</si>
  <si>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</si>
  <si>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</si>
  <si>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</si>
  <si>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</si>
  <si>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</si>
  <si>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</si>
  <si>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</si>
  <si>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</si>
  <si>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</si>
  <si>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</si>
  <si>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</si>
  <si>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</si>
  <si>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</si>
  <si>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</si>
  <si>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</si>
  <si>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</si>
  <si>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</si>
  <si>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</si>
  <si>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</si>
  <si>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</si>
  <si>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</si>
  <si>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</si>
  <si>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</si>
  <si>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</si>
  <si>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</si>
  <si>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</si>
  <si>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</si>
  <si>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</si>
  <si>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</si>
  <si>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</si>
  <si>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</si>
  <si>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</si>
  <si>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</si>
  <si>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</si>
  <si>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</si>
  <si>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</si>
  <si>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</si>
  <si>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</si>
  <si>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</si>
  <si>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</si>
  <si>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</si>
  <si>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</si>
  <si>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</si>
  <si>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</si>
  <si>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</si>
  <si>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</si>
  <si>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</si>
  <si>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</si>
  <si>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</si>
  <si>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</si>
  <si>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</si>
  <si>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</si>
  <si>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</si>
  <si>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</si>
  <si>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</si>
  <si>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</si>
  <si>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</si>
  <si>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</si>
  <si>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</si>
  <si>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</si>
  <si>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</si>
  <si>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</si>
  <si>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</si>
  <si>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</si>
  <si>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</si>
  <si>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</si>
  <si>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</si>
  <si>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</si>
  <si>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</si>
  <si>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</si>
  <si>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</si>
  <si>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</si>
  <si>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</si>
  <si>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</si>
  <si>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</si>
  <si>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</si>
  <si>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</si>
  <si>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</si>
  <si>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</si>
  <si>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</si>
  <si>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</si>
  <si>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</si>
  <si>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</si>
  <si>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</si>
  <si>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</si>
  <si>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</si>
  <si>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</si>
  <si>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</si>
  <si>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</si>
  <si>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</si>
  <si>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</si>
  <si>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</si>
  <si>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</si>
  <si>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</si>
  <si>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</si>
  <si>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</si>
  <si>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</si>
  <si>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</si>
  <si>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</si>
  <si>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</si>
  <si>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</si>
  <si>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</si>
  <si>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</si>
  <si>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</si>
  <si>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</si>
  <si>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</si>
  <si>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</si>
  <si>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</si>
  <si>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</si>
  <si>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</si>
  <si>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</si>
  <si>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</si>
  <si>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</si>
  <si>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</si>
  <si>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</si>
  <si>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</si>
  <si>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</si>
  <si>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</si>
  <si>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</si>
  <si>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</si>
  <si>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</si>
  <si>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</si>
  <si>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</si>
  <si>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</si>
  <si>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</si>
  <si>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</si>
  <si>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</si>
  <si>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</si>
  <si>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</si>
  <si>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</si>
  <si>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</si>
  <si>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</si>
  <si>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</si>
  <si>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</si>
  <si>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</si>
  <si>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</si>
  <si>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</si>
  <si>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</si>
  <si>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</si>
  <si>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</si>
  <si>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</si>
  <si>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</si>
  <si>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</si>
  <si>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</si>
  <si>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</si>
  <si>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</si>
  <si>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</si>
  <si>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</si>
  <si>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</si>
  <si>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</si>
  <si>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</si>
  <si>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</si>
  <si>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</si>
  <si>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</si>
  <si>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</si>
  <si>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</si>
  <si>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</si>
  <si>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</si>
  <si>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</si>
  <si>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</si>
  <si>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</si>
  <si>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</si>
  <si>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</si>
  <si>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</si>
  <si>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</si>
  <si>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</si>
  <si>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</si>
  <si>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</si>
  <si>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</si>
  <si>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</si>
  <si>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</si>
  <si>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</si>
  <si>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</si>
  <si>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</si>
  <si>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</si>
  <si>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</si>
  <si>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</si>
  <si>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</si>
  <si>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</si>
  <si>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</si>
  <si>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</si>
  <si>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</si>
  <si>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</si>
  <si>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</si>
  <si>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</si>
  <si>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</si>
  <si>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</si>
  <si>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</si>
  <si>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</si>
  <si>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</si>
  <si>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</si>
  <si>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</si>
  <si>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</si>
  <si>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</si>
  <si>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</si>
  <si>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</si>
  <si>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</si>
  <si>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</si>
  <si>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</si>
  <si>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</si>
  <si>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</si>
  <si>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</si>
  <si>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</si>
  <si>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</si>
  <si>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</si>
  <si>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</si>
  <si>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</si>
  <si>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</si>
  <si>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</si>
  <si>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</si>
  <si>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</si>
  <si>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</si>
  <si>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</si>
  <si>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</si>
  <si>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</si>
  <si>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</si>
  <si>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</si>
  <si>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</si>
  <si>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</si>
  <si>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</si>
  <si>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</si>
  <si>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</si>
  <si>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</si>
  <si>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</si>
  <si>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</si>
  <si>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</si>
  <si>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</si>
  <si>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</si>
  <si>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</si>
  <si>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</si>
  <si>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</si>
  <si>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</si>
  <si>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</si>
  <si>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</si>
  <si>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</si>
  <si>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</si>
  <si>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</si>
  <si>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</si>
  <si>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</si>
  <si>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</si>
  <si>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</si>
  <si>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</si>
  <si>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</si>
  <si>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</si>
  <si>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</si>
  <si>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</si>
  <si>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</si>
  <si>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</si>
  <si>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</si>
  <si>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</si>
  <si>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</si>
  <si>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</si>
  <si>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</si>
  <si>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</si>
  <si>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</si>
  <si>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</si>
  <si>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</si>
  <si>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</si>
  <si>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</si>
  <si>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</si>
  <si>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</si>
  <si>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</si>
  <si>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</si>
  <si>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</si>
  <si>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</si>
  <si>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</si>
  <si>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</si>
  <si>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</si>
  <si>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</si>
  <si>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</si>
  <si>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</si>
  <si>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</si>
  <si>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</si>
  <si>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</si>
  <si>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</si>
  <si>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</si>
  <si>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</si>
  <si>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</si>
  <si>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</si>
  <si>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</si>
  <si>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</si>
  <si>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</si>
  <si>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</si>
  <si>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</si>
  <si>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</si>
  <si>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</si>
  <si>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</si>
  <si>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</si>
  <si>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</si>
  <si>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</si>
  <si>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</si>
  <si>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</si>
  <si>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</si>
  <si>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</si>
  <si>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</si>
  <si>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</si>
  <si>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</si>
  <si>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</si>
  <si>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</si>
  <si>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</si>
  <si>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</si>
  <si>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</si>
  <si>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</si>
  <si>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</si>
  <si>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</si>
  <si>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</si>
  <si>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</si>
  <si>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</si>
  <si>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</si>
  <si>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</si>
  <si>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</si>
  <si>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</si>
  <si>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</si>
  <si>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</si>
  <si>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</si>
  <si>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</si>
  <si>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</si>
  <si>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</si>
  <si>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</si>
  <si>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</si>
  <si>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</si>
  <si>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</si>
  <si>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</si>
  <si>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</si>
  <si>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</si>
  <si>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</si>
  <si>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</si>
  <si>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</si>
  <si>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</si>
  <si>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</si>
  <si>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</si>
  <si>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</si>
  <si>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</si>
  <si>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</si>
  <si>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</si>
  <si>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</si>
  <si>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</si>
  <si>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</si>
  <si>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</si>
  <si>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</si>
  <si>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</si>
  <si>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</si>
  <si>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</si>
  <si>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</si>
  <si>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</si>
  <si>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</si>
  <si>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</si>
  <si>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</si>
  <si>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</si>
  <si>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</si>
  <si>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</si>
  <si>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</si>
  <si>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</si>
  <si>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</si>
  <si>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</si>
  <si>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</si>
  <si>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</si>
  <si>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</si>
  <si>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</si>
  <si>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</si>
  <si>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</si>
  <si>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</si>
  <si>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</si>
  <si>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</si>
  <si>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</si>
  <si>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</si>
  <si>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</si>
  <si>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</si>
  <si>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</si>
  <si>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</si>
  <si>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</si>
  <si>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</si>
  <si>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</si>
  <si>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</si>
  <si>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</si>
  <si>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</si>
  <si>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</si>
  <si>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</si>
  <si>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</si>
  <si>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</si>
  <si>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</si>
  <si>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</si>
  <si>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</si>
  <si>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</si>
  <si>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</si>
  <si>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</si>
  <si>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</si>
  <si>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</si>
  <si>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</si>
  <si>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</si>
  <si>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</si>
  <si>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</si>
  <si>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</si>
  <si>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</si>
  <si>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</si>
  <si>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</si>
  <si>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</si>
  <si>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</si>
  <si>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</si>
  <si>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</si>
  <si>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</si>
  <si>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</si>
  <si>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</si>
  <si>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</si>
  <si>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</si>
  <si>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</si>
  <si>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</si>
  <si>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</si>
  <si>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</si>
  <si>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</si>
  <si>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</si>
  <si>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</si>
  <si>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</si>
  <si>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</si>
  <si>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</si>
  <si>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</si>
  <si>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</si>
  <si>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</si>
  <si>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</si>
  <si>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</si>
  <si>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</si>
  <si>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</si>
  <si>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</si>
  <si>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</si>
  <si>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</si>
  <si>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</si>
  <si>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</si>
  <si>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</si>
  <si>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</si>
  <si>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</si>
  <si>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</si>
  <si>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</si>
  <si>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</si>
  <si>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</si>
  <si>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</si>
  <si>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</si>
  <si>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</si>
  <si>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</si>
  <si>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</si>
  <si>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</si>
  <si>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</si>
  <si>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</si>
  <si>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</si>
  <si>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</si>
  <si>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</si>
  <si>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</si>
  <si>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</si>
  <si>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</si>
  <si>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</si>
  <si>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</si>
  <si>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</si>
  <si>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</si>
  <si>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</si>
  <si>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</si>
  <si>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</si>
  <si>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</si>
  <si>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</si>
  <si>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</si>
  <si>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</si>
  <si>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</si>
  <si>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</si>
  <si>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</si>
  <si>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</si>
  <si>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</si>
  <si>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</si>
  <si>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</si>
  <si>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</si>
  <si>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</si>
  <si>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</si>
  <si>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</si>
  <si>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</si>
  <si>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</si>
  <si>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</si>
  <si>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</si>
  <si>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</si>
  <si>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</si>
  <si>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</si>
  <si>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</si>
  <si>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</si>
  <si>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</si>
  <si>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</si>
  <si>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</si>
  <si>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</si>
  <si>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</si>
  <si>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</si>
  <si>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</si>
  <si>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</si>
  <si>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</si>
  <si>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</si>
  <si>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</si>
  <si>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</si>
  <si>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</si>
  <si>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</si>
  <si>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</si>
  <si>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</si>
  <si>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</si>
  <si>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</si>
  <si>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</si>
  <si>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</si>
  <si>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</si>
  <si>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</si>
  <si>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</si>
  <si>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</si>
  <si>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</si>
  <si>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</si>
  <si>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</si>
  <si>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</si>
  <si>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</si>
  <si>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</si>
  <si>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</si>
  <si>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</si>
  <si>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</si>
  <si>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</si>
  <si>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</si>
  <si>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</si>
  <si>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</si>
  <si>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</si>
  <si>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</si>
  <si>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</si>
  <si>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</si>
  <si>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</si>
  <si>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</si>
  <si>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</si>
  <si>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</si>
  <si>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</si>
  <si>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</si>
  <si>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</si>
  <si>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</si>
  <si>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</si>
  <si>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</si>
  <si>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</si>
  <si>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</si>
  <si>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</si>
  <si>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</si>
  <si>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</si>
  <si>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</si>
  <si>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</si>
  <si>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</si>
  <si>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</si>
  <si>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</si>
  <si>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</si>
  <si>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</si>
  <si>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</si>
  <si>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</si>
  <si>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</si>
  <si>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</si>
  <si>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</si>
  <si>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</si>
  <si>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</si>
  <si>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</si>
  <si>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</si>
  <si>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</si>
  <si>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</si>
  <si>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</si>
  <si>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</si>
  <si>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</si>
  <si>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</si>
  <si>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</si>
  <si>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</si>
  <si>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</si>
  <si>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</si>
  <si>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</si>
  <si>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</si>
  <si>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</si>
  <si>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</si>
  <si>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</si>
  <si>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</si>
  <si>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</si>
  <si>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</si>
  <si>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</si>
  <si>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</si>
  <si>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</si>
  <si>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</si>
  <si>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</si>
  <si>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</si>
  <si>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</si>
  <si>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</si>
  <si>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</si>
  <si>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</si>
  <si>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</si>
  <si>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</si>
  <si>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</si>
  <si>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</si>
  <si>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</si>
  <si>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</si>
  <si>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</si>
  <si>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</si>
  <si>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</si>
  <si>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</si>
  <si>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</si>
  <si>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</si>
  <si>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</si>
  <si>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</si>
  <si>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</si>
  <si>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</si>
  <si>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</si>
  <si>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</si>
  <si>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</si>
  <si>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</si>
  <si>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</si>
  <si>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</si>
  <si>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</si>
  <si>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</si>
  <si>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</si>
  <si>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</si>
  <si>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</si>
  <si>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</si>
  <si>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</si>
  <si>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</si>
  <si>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</si>
  <si>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</si>
  <si>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</si>
  <si>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</si>
  <si>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</si>
  <si>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</si>
  <si>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</si>
  <si>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</si>
  <si>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</si>
  <si>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</si>
  <si>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</si>
  <si>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</si>
  <si>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</si>
  <si>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</si>
  <si>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</si>
  <si>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</si>
  <si>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</si>
  <si>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</si>
  <si>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</si>
  <si>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</si>
  <si>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</si>
  <si>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</si>
  <si>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</si>
  <si>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</si>
  <si>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</si>
  <si>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</si>
  <si>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</si>
  <si>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</si>
  <si>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</si>
  <si>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</si>
  <si>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</si>
  <si>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</si>
  <si>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</si>
  <si>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</si>
  <si>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</si>
  <si>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</si>
  <si>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</si>
  <si>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</si>
  <si>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</si>
  <si>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</si>
  <si>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</si>
  <si>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</si>
  <si>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</si>
  <si>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</si>
  <si>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</si>
  <si>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</si>
  <si>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</si>
  <si>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</si>
  <si>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</si>
  <si>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</si>
  <si>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</si>
  <si>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</si>
  <si>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</si>
  <si>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</si>
  <si>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</si>
  <si>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</si>
  <si>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</si>
  <si>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</si>
  <si>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</si>
  <si>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</si>
  <si>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</si>
  <si>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</si>
  <si>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</si>
  <si>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</si>
  <si>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</si>
  <si>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</si>
  <si>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</si>
  <si>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</si>
  <si>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</si>
  <si>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</si>
  <si>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</si>
  <si>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</si>
  <si>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</si>
  <si>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</si>
  <si>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</si>
  <si>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</si>
  <si>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</si>
  <si>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</si>
  <si>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</si>
  <si>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</si>
  <si>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</si>
  <si>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</si>
  <si>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</si>
  <si>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</si>
  <si>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</si>
  <si>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</si>
  <si>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</si>
  <si>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</si>
  <si>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</si>
  <si>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</si>
  <si>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</si>
  <si>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</si>
  <si>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</si>
  <si>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</si>
  <si>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</si>
  <si>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</si>
  <si>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</si>
  <si>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</si>
  <si>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</si>
  <si>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</si>
  <si>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</si>
  <si>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</si>
  <si>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</si>
  <si>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</si>
  <si>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</si>
  <si>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</si>
  <si>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</si>
  <si>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</si>
  <si>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</si>
  <si>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</si>
  <si>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</si>
  <si>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</si>
  <si>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</si>
  <si>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</si>
  <si>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</si>
  <si>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</si>
  <si>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</si>
  <si>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</si>
  <si>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</si>
  <si>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</si>
  <si>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</si>
  <si>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</si>
  <si>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</si>
  <si>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</si>
  <si>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</si>
  <si>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</si>
  <si>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</si>
  <si>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</si>
  <si>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</si>
  <si>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</si>
  <si>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</si>
  <si>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</si>
  <si>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</si>
  <si>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</si>
  <si>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</si>
  <si>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</si>
  <si>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</si>
  <si>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</si>
  <si>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</si>
  <si>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</si>
  <si>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</si>
  <si>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</si>
  <si>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</si>
  <si>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</si>
  <si>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</si>
  <si>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</si>
  <si>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</si>
  <si>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</si>
  <si>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</si>
  <si>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</si>
  <si>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</si>
  <si>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</si>
  <si>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</si>
  <si>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</si>
  <si>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</si>
  <si>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</si>
  <si>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</si>
  <si>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</si>
  <si>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</si>
  <si>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</si>
  <si>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</si>
  <si>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</si>
  <si>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</si>
  <si>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</si>
  <si>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</si>
  <si>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</si>
  <si>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</si>
  <si>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</si>
  <si>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</si>
  <si>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</si>
  <si>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</si>
  <si>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</si>
  <si>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</si>
  <si>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</si>
  <si>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</si>
  <si>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</si>
  <si>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</si>
  <si>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</si>
  <si>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</si>
  <si>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</si>
  <si>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</si>
  <si>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</si>
  <si>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</si>
  <si>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</si>
  <si>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</si>
  <si>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</si>
  <si>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</si>
  <si>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</si>
  <si>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</si>
  <si>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</si>
  <si>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</si>
  <si>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</si>
  <si>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</si>
  <si>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</si>
  <si>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</si>
  <si>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</si>
  <si>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</si>
  <si>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</si>
  <si>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</si>
  <si>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</si>
  <si>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</si>
  <si>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</si>
  <si>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</si>
  <si>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</si>
  <si>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</si>
  <si>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</si>
  <si>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</si>
  <si>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</si>
  <si>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</si>
  <si>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</si>
  <si>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</si>
  <si>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</si>
  <si>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</si>
  <si>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</si>
  <si>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</si>
  <si>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</si>
  <si>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</si>
  <si>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</si>
  <si>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</si>
  <si>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</si>
  <si>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</si>
  <si>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</si>
  <si>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</si>
  <si>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</si>
  <si>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</si>
  <si>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</si>
  <si>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</si>
  <si>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</si>
  <si>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</si>
  <si>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</si>
  <si>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</si>
  <si>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</si>
  <si>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</si>
  <si>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</si>
  <si>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</si>
  <si>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</si>
  <si>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</si>
  <si>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</si>
  <si>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</si>
  <si>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</si>
  <si>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</si>
  <si>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</si>
  <si>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</si>
  <si>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</si>
  <si>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</si>
  <si>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</si>
  <si>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</si>
  <si>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</si>
  <si>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</si>
  <si>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</si>
  <si>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</si>
  <si>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</si>
  <si>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</si>
  <si>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</si>
  <si>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</si>
  <si>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</si>
  <si>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</si>
  <si>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</si>
  <si>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</si>
  <si>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</si>
  <si>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</si>
  <si>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</si>
  <si>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</si>
  <si>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</si>
  <si>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</si>
  <si>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</si>
  <si>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</si>
  <si>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</si>
  <si>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</si>
  <si>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</si>
  <si>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</si>
  <si>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</si>
  <si>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</si>
  <si>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</si>
  <si>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</si>
  <si>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</si>
  <si>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</si>
  <si>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</si>
  <si>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</si>
  <si>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</si>
  <si>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</si>
  <si>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</si>
  <si>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</si>
  <si>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</si>
  <si>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</si>
  <si>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</si>
  <si>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</si>
  <si>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</si>
  <si>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</si>
  <si>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</si>
  <si>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</si>
  <si>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</si>
  <si>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</si>
  <si>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</si>
  <si>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</si>
  <si>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</si>
  <si>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</si>
  <si>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</si>
  <si>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</si>
  <si>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</si>
  <si>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</si>
  <si>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</si>
  <si>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</si>
  <si>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</si>
  <si>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</si>
  <si>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</si>
  <si>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</si>
  <si>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</si>
  <si>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</si>
  <si>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</si>
  <si>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</si>
  <si>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</si>
  <si>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</si>
  <si>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</si>
  <si>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</si>
  <si>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</si>
  <si>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</si>
  <si>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</si>
  <si>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</si>
  <si>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</si>
  <si>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</si>
  <si>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</si>
  <si>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</si>
  <si>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</si>
  <si>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</si>
  <si>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</si>
  <si>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</si>
  <si>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</si>
  <si>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</si>
  <si>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</si>
  <si>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</si>
  <si>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</si>
  <si>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</si>
  <si>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</si>
  <si>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</si>
  <si>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</si>
  <si>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</si>
  <si>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</si>
  <si>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</si>
  <si>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</si>
  <si>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</si>
  <si>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</si>
  <si>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</si>
  <si>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</si>
  <si>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</si>
  <si>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</si>
  <si>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</si>
  <si>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</si>
  <si>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</si>
  <si>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</si>
  <si>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</si>
  <si>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</si>
  <si>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</si>
  <si>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</si>
  <si>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</si>
  <si>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</si>
  <si>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</si>
  <si>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</si>
  <si>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</si>
  <si>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</si>
  <si>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</si>
  <si>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</si>
  <si>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</si>
  <si>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</si>
  <si>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</si>
  <si>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</si>
  <si>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</si>
  <si>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</si>
  <si>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</si>
  <si>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</si>
  <si>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</si>
  <si>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</si>
  <si>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</si>
  <si>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</si>
  <si>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</si>
  <si>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</si>
  <si>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</si>
  <si>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</si>
  <si>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</si>
  <si>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</si>
  <si>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</si>
  <si>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</si>
  <si>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</si>
  <si>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</si>
  <si>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</si>
  <si>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</si>
  <si>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</si>
  <si>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</si>
  <si>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</si>
  <si>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</si>
  <si>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</si>
  <si>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</si>
  <si>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</si>
  <si>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</si>
  <si>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</si>
  <si>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</si>
  <si>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</si>
  <si>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</si>
  <si>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</si>
  <si>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</si>
  <si>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</si>
  <si>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</si>
  <si>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</si>
  <si>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</si>
  <si>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</si>
  <si>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</si>
  <si>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</si>
  <si>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</si>
  <si>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</si>
  <si>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</si>
  <si>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</si>
  <si>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</si>
  <si>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</si>
  <si>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</si>
  <si>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</si>
  <si>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</si>
  <si>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</si>
  <si>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</si>
  <si>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</si>
  <si>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</si>
  <si>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</si>
  <si>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</si>
  <si>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</si>
  <si>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</si>
  <si>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</si>
  <si>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</si>
  <si>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</si>
  <si>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</si>
  <si>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</si>
  <si>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</si>
  <si>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</si>
  <si>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</si>
  <si>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</si>
  <si>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</si>
  <si>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</si>
  <si>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</si>
  <si>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</si>
  <si>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</si>
  <si>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</si>
  <si>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</si>
  <si>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</si>
  <si>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</si>
  <si>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</si>
  <si>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</si>
  <si>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</si>
  <si>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</si>
  <si>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</si>
  <si>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</si>
  <si>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</si>
  <si>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</si>
  <si>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</si>
  <si>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</si>
  <si>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</si>
  <si>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</si>
  <si>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</si>
  <si>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</si>
  <si>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</si>
  <si>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</si>
  <si>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</si>
  <si>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</si>
  <si>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</si>
  <si>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</si>
  <si>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</si>
  <si>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</si>
  <si>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</si>
  <si>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</si>
  <si>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</si>
  <si>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</si>
  <si>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</si>
  <si>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</si>
  <si>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</si>
  <si>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</si>
  <si>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</si>
  <si>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</si>
  <si>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</si>
  <si>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</si>
  <si>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</si>
  <si>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</si>
  <si>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</si>
  <si>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</si>
  <si>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</si>
  <si>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</si>
  <si>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</si>
  <si>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</si>
  <si>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</si>
  <si>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</si>
  <si>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</si>
  <si>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</si>
  <si>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</si>
  <si>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</si>
  <si>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</si>
  <si>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</si>
  <si>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</si>
  <si>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</si>
  <si>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</si>
  <si>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</si>
  <si>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</si>
  <si>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</si>
  <si>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</si>
  <si>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</si>
  <si>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</si>
  <si>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</si>
  <si>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</si>
  <si>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</si>
  <si>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</si>
  <si>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</si>
  <si>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</si>
  <si>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</si>
  <si>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</si>
  <si>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</si>
  <si>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</si>
  <si>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</si>
  <si>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</si>
  <si>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</si>
  <si>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</si>
  <si>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</si>
  <si>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</si>
  <si>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</si>
  <si>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</si>
  <si>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</si>
  <si>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</si>
  <si>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</si>
  <si>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</si>
  <si>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</si>
  <si>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</si>
  <si>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</si>
  <si>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</si>
  <si>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</si>
  <si>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</si>
  <si>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</si>
  <si>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</si>
  <si>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</si>
  <si>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</si>
  <si>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</si>
  <si>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</si>
  <si>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</si>
  <si>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</si>
  <si>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</si>
  <si>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</si>
  <si>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</si>
  <si>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</si>
  <si>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</si>
  <si>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</si>
  <si>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</si>
  <si>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</si>
  <si>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</si>
  <si>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</si>
  <si>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</si>
  <si>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</si>
  <si>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</si>
  <si>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</si>
  <si>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</si>
  <si>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</si>
  <si>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</si>
  <si>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</si>
  <si>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</si>
  <si>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</si>
  <si>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</si>
  <si>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</si>
  <si>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</si>
  <si>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</si>
  <si>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</si>
  <si>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</si>
  <si>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</si>
  <si>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</si>
  <si>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</si>
  <si>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</si>
  <si>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</si>
  <si>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</si>
  <si>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</si>
  <si>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</si>
  <si>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</si>
  <si>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</si>
  <si>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</si>
  <si>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</si>
  <si>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</si>
  <si>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</si>
  <si>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</si>
  <si>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</si>
  <si>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</si>
  <si>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</si>
  <si>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</si>
  <si>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</si>
  <si>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</si>
  <si>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</si>
  <si>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</si>
  <si>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</si>
  <si>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</si>
  <si>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</si>
  <si>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</si>
  <si>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</si>
  <si>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</si>
  <si>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</si>
  <si>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</si>
  <si>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</si>
  <si>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</si>
  <si>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</si>
  <si>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</si>
  <si>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</si>
  <si>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</si>
  <si>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</si>
  <si>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</si>
  <si>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</si>
  <si>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</si>
  <si>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</si>
  <si>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</si>
  <si>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</si>
  <si>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</si>
  <si>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</si>
  <si>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</si>
  <si>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</si>
  <si>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</si>
  <si>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</si>
  <si>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</si>
  <si>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</si>
  <si>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</si>
  <si>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</si>
  <si>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</si>
  <si>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</si>
  <si>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</si>
  <si>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</si>
  <si>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</si>
  <si>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</si>
  <si>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</si>
  <si>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</si>
  <si>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</si>
  <si>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</si>
  <si>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</si>
  <si>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</si>
  <si>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</si>
  <si>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</si>
  <si>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</si>
  <si>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</si>
  <si>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</si>
  <si>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</si>
  <si>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</si>
  <si>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</si>
  <si>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</si>
  <si>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</si>
  <si>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</si>
  <si>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</si>
  <si>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</si>
  <si>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</si>
  <si>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</si>
  <si>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</si>
  <si>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</si>
  <si>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</si>
  <si>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</si>
  <si>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</si>
  <si>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</si>
  <si>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</si>
  <si>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</si>
  <si>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</si>
  <si>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</si>
  <si>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</si>
  <si>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</si>
  <si>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</si>
  <si>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</si>
  <si>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</si>
  <si>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</si>
  <si>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</si>
  <si>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</si>
  <si>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</si>
  <si>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</si>
  <si>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</si>
  <si>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</si>
  <si>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</si>
  <si>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</si>
  <si>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</si>
  <si>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</si>
  <si>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</si>
  <si>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</si>
  <si>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</si>
  <si>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</si>
  <si>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</si>
  <si>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</si>
  <si>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</si>
  <si>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</si>
  <si>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</si>
  <si>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</si>
  <si>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</si>
  <si>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</si>
  <si>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</si>
  <si>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</si>
  <si>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</si>
  <si>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</si>
  <si>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</si>
  <si>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</si>
  <si>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</si>
  <si>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</si>
  <si>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</si>
  <si>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</si>
  <si>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</si>
  <si>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</si>
  <si>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</si>
  <si>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</si>
  <si>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</si>
  <si>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</si>
  <si>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</si>
  <si>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</si>
  <si>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</si>
  <si>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</si>
  <si>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</si>
  <si>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</si>
  <si>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</si>
  <si>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</si>
  <si>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</si>
  <si>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</si>
  <si>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</si>
  <si>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</si>
  <si>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</si>
  <si>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</si>
  <si>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</si>
  <si>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</si>
  <si>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</si>
  <si>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</si>
  <si>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</si>
  <si>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</si>
  <si>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</si>
  <si>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</si>
  <si>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</si>
  <si>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</si>
  <si>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</si>
  <si>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</si>
  <si>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</si>
  <si>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</si>
  <si>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</si>
  <si>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</si>
  <si>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</si>
  <si>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</si>
  <si>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</si>
  <si>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</si>
  <si>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</si>
  <si>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</si>
  <si>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</si>
  <si>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</si>
  <si>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</si>
  <si>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</si>
  <si>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</si>
  <si>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</si>
  <si>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</si>
  <si>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</si>
  <si>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</si>
  <si>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</si>
  <si>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</si>
  <si>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</si>
  <si>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</si>
  <si>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</si>
  <si>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</si>
  <si>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</si>
  <si>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</si>
  <si>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</si>
  <si>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</si>
  <si>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</si>
  <si>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</si>
  <si>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</si>
  <si>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</si>
  <si>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</si>
  <si>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</si>
  <si>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</si>
  <si>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</si>
  <si>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</si>
  <si>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</si>
  <si>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</si>
  <si>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</si>
  <si>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</si>
  <si>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</si>
  <si>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</si>
  <si>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</si>
  <si>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</si>
  <si>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</si>
  <si>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</si>
  <si>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</si>
  <si>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</si>
  <si>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</si>
  <si>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</si>
  <si>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</si>
  <si>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</si>
  <si>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</si>
  <si>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</si>
  <si>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</si>
  <si>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</si>
  <si>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</si>
  <si>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</si>
  <si>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</si>
  <si>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</si>
  <si>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</si>
  <si>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</si>
  <si>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</si>
  <si>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</si>
  <si>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</si>
  <si>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</si>
  <si>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</si>
  <si>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</si>
  <si>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</si>
  <si>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</si>
  <si>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</si>
  <si>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</si>
  <si>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</si>
  <si>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</si>
  <si>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</si>
  <si>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</si>
  <si>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</si>
  <si>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</si>
  <si>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</si>
  <si>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</si>
  <si>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</si>
  <si>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</si>
  <si>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</si>
  <si>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</si>
  <si>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</si>
  <si>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</si>
  <si>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</si>
  <si>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</si>
  <si>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</si>
  <si>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</si>
  <si>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</si>
  <si>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</si>
  <si>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</si>
  <si>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</si>
  <si>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</si>
  <si>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</si>
  <si>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</si>
  <si>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</si>
  <si>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</si>
  <si>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</si>
  <si>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</si>
  <si>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</si>
  <si>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</si>
  <si>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</si>
  <si>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</si>
  <si>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</si>
  <si>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</si>
  <si>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</si>
  <si>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</si>
  <si>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</si>
  <si>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</si>
  <si>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</si>
  <si>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</si>
  <si>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</si>
  <si>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</si>
  <si>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</si>
  <si>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</si>
  <si>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</si>
  <si>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</si>
  <si>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</si>
  <si>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</si>
  <si>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</si>
  <si>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</si>
  <si>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</si>
  <si>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</si>
  <si>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</si>
  <si>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</si>
  <si>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</si>
  <si>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</si>
  <si>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</si>
  <si>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</si>
  <si>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</si>
  <si>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</si>
  <si>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</si>
  <si>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</si>
  <si>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</si>
  <si>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</si>
  <si>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</si>
  <si>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</si>
  <si>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</si>
  <si>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</si>
  <si>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</si>
  <si>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</si>
  <si>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</si>
  <si>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</si>
  <si>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</si>
  <si>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</si>
  <si>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</si>
  <si>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</si>
  <si>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</si>
  <si>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</si>
  <si>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</si>
  <si>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</si>
  <si>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</si>
  <si>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</si>
  <si>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</si>
  <si>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</si>
  <si>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</si>
  <si>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</si>
  <si>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</si>
  <si>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</si>
  <si>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</si>
  <si>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</si>
  <si>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</si>
  <si>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</si>
  <si>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</si>
  <si>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</si>
  <si>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</si>
  <si>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</si>
  <si>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</si>
  <si>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</si>
  <si>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</si>
  <si>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</si>
  <si>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</si>
  <si>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</si>
  <si>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</si>
  <si>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</si>
  <si>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</si>
  <si>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</si>
  <si>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</si>
  <si>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</si>
  <si>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</si>
  <si>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</si>
  <si>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</si>
  <si>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</si>
  <si>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</si>
  <si>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</si>
  <si>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</si>
  <si>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</si>
  <si>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</si>
  <si>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</si>
  <si>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</si>
  <si>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</si>
  <si>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</si>
  <si>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</si>
  <si>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</si>
  <si>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</si>
  <si>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</si>
  <si>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</si>
  <si>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</si>
  <si>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</si>
  <si>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</si>
  <si>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</si>
  <si>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</si>
  <si>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</si>
  <si>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</si>
  <si>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</si>
  <si>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</si>
  <si>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</si>
  <si>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</si>
  <si>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</si>
  <si>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</si>
  <si>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</si>
  <si>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</si>
  <si>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</si>
  <si>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</si>
  <si>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</si>
  <si>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</si>
  <si>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</si>
  <si>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</si>
  <si>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</si>
  <si>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</si>
  <si>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</si>
  <si>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</si>
  <si>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</si>
  <si>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</si>
  <si>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</si>
  <si>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</si>
  <si>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</si>
  <si>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</si>
  <si>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</si>
  <si>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</si>
  <si>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</si>
  <si>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</si>
  <si>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</si>
  <si>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</si>
  <si>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</si>
  <si>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</si>
  <si>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</si>
  <si>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</si>
  <si>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</si>
  <si>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</si>
  <si>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</si>
  <si>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</si>
  <si>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</si>
  <si>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</si>
  <si>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</si>
  <si>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</si>
  <si>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</si>
  <si>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</si>
  <si>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</si>
  <si>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</si>
  <si>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</si>
  <si>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</si>
  <si>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</si>
  <si>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</si>
  <si>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</si>
  <si>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</si>
  <si>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</si>
  <si>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</si>
  <si>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</si>
  <si>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</si>
  <si>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</si>
  <si>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</si>
  <si>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</si>
  <si>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</si>
  <si>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</si>
  <si>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</si>
  <si>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</si>
  <si>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</si>
  <si>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</si>
  <si>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</si>
  <si>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</si>
  <si>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</si>
  <si>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</si>
  <si>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</si>
  <si>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</si>
  <si>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</si>
  <si>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</si>
  <si>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</si>
  <si>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</si>
  <si>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</si>
  <si>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</si>
  <si>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</si>
  <si>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</si>
  <si>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</si>
  <si>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</si>
  <si>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</si>
  <si>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</si>
  <si>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</si>
  <si>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</si>
  <si>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</si>
  <si>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</si>
  <si>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</si>
  <si>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</si>
  <si>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</si>
  <si>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</si>
  <si>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</si>
  <si>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</si>
  <si>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</si>
  <si>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</si>
  <si>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</si>
  <si>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</si>
  <si>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</si>
  <si>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</si>
  <si>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</si>
  <si>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</si>
  <si>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</si>
  <si>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</si>
  <si>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</si>
  <si>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</si>
  <si>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</si>
  <si>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</si>
  <si>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</si>
  <si>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</si>
  <si>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</si>
  <si>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</si>
  <si>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</si>
  <si>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</si>
  <si>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</si>
  <si>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</si>
  <si>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</si>
  <si>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</si>
  <si>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</si>
  <si>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</si>
  <si>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</si>
  <si>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</si>
  <si>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</si>
  <si>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</si>
  <si>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</si>
  <si>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</si>
  <si>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</si>
  <si>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</si>
  <si>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</si>
  <si>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</si>
  <si>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</si>
  <si>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</si>
  <si>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</si>
  <si>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</si>
  <si>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</si>
  <si>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</si>
  <si>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</si>
  <si>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</si>
  <si>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</si>
  <si>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</si>
  <si>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</si>
  <si>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</si>
  <si>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</si>
  <si>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</si>
  <si>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</si>
  <si>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</si>
  <si>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</si>
  <si>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</si>
  <si>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</si>
  <si>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</si>
  <si>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</si>
  <si>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</si>
  <si>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</si>
  <si>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</si>
  <si>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</si>
  <si>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</si>
  <si>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</si>
  <si>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</si>
  <si>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</si>
  <si>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</si>
  <si>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</si>
  <si>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</si>
  <si>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</si>
  <si>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</si>
  <si>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</si>
  <si>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</si>
  <si>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</si>
  <si>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</si>
  <si>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</si>
  <si>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</si>
  <si>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</si>
  <si>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</si>
  <si>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</si>
  <si>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</si>
  <si>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</si>
  <si>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</si>
  <si>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</si>
  <si>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</si>
  <si>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</si>
  <si>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Customer Name</t>
  </si>
  <si>
    <t>Email</t>
  </si>
  <si>
    <t>Phone Number</t>
  </si>
  <si>
    <t>Address Line 1</t>
  </si>
  <si>
    <t>City</t>
  </si>
  <si>
    <t>Country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</si>
  <si>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</si>
  <si>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</si>
  <si>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</si>
  <si>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</si>
  <si>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</si>
  <si>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</si>
  <si>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</si>
  <si>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</si>
  <si>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</si>
  <si>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</si>
  <si>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</si>
  <si>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</si>
  <si>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</si>
  <si>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</si>
  <si>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</si>
  <si>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</si>
  <si>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</si>
  <si>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</si>
  <si>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</si>
  <si>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</si>
  <si>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</si>
  <si>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</si>
  <si>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</si>
  <si>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</si>
  <si>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</si>
  <si>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</si>
  <si>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</si>
  <si>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</si>
  <si>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</si>
  <si>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</si>
  <si>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</si>
  <si>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</si>
  <si>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</si>
  <si>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</si>
  <si>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</si>
  <si>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</si>
  <si>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</si>
  <si>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</si>
  <si>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</si>
  <si>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</si>
  <si>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</si>
  <si>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</si>
  <si>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</si>
  <si>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</si>
  <si>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</si>
  <si>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</si>
  <si>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</si>
  <si>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</si>
  <si>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</si>
  <si>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</si>
  <si>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</si>
  <si>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</si>
  <si>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</si>
  <si>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</si>
  <si>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</si>
  <si>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</si>
  <si>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</si>
  <si>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</si>
  <si>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</si>
  <si>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</si>
  <si>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</si>
  <si>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</si>
  <si>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</si>
  <si>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</si>
  <si>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</si>
  <si>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</si>
  <si>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</si>
  <si>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</si>
  <si>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</si>
  <si>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</si>
  <si>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</si>
  <si>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</si>
  <si>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</si>
  <si>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</si>
  <si>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</si>
  <si>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</si>
  <si>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</si>
  <si>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</si>
  <si>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</si>
  <si>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</si>
  <si>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</si>
  <si>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</si>
  <si>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</si>
  <si>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</si>
  <si>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</si>
  <si>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</si>
  <si>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</si>
  <si>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</si>
  <si>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</si>
  <si>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</si>
  <si>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</si>
  <si>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</si>
  <si>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</si>
  <si>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</si>
  <si>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</si>
  <si>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</si>
  <si>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</si>
  <si>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</si>
  <si>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</si>
  <si>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</si>
  <si>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</si>
  <si>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</si>
  <si>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</si>
  <si>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</si>
  <si>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</si>
  <si>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</si>
  <si>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</si>
  <si>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</si>
  <si>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</si>
  <si>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</si>
  <si>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</si>
  <si>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</si>
  <si>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</si>
  <si>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</si>
  <si>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</si>
  <si>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</si>
  <si>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</si>
  <si>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</si>
  <si>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</si>
  <si>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</si>
  <si>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</si>
  <si>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</si>
  <si>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</si>
  <si>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</si>
  <si>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</si>
  <si>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</si>
  <si>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</si>
  <si>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</si>
  <si>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</si>
  <si>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</si>
  <si>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</si>
  <si>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</si>
  <si>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</si>
  <si>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</si>
  <si>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</si>
  <si>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</si>
  <si>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</si>
  <si>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</si>
  <si>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</si>
  <si>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</si>
  <si>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</si>
  <si>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</si>
  <si>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</si>
  <si>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</si>
  <si>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</si>
  <si>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</si>
  <si>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</si>
  <si>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</si>
  <si>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</si>
  <si>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</si>
  <si>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</si>
  <si>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</si>
  <si>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</si>
  <si>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</si>
  <si>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</si>
  <si>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</si>
  <si>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</si>
  <si>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</si>
  <si>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</si>
  <si>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</si>
  <si>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</si>
  <si>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</si>
  <si>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</si>
  <si>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</si>
  <si>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</si>
  <si>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</si>
  <si>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</si>
  <si>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</si>
  <si>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</si>
  <si>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</si>
  <si>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</si>
  <si>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</si>
  <si>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</si>
  <si>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</si>
  <si>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</si>
  <si>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</si>
  <si>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</si>
  <si>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</si>
  <si>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</si>
  <si>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</si>
  <si>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</si>
  <si>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</si>
  <si>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</si>
  <si>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</si>
  <si>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</si>
  <si>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</si>
  <si>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</si>
  <si>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</si>
  <si>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</si>
  <si>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</si>
  <si>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</si>
  <si>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</si>
  <si>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</si>
  <si>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</si>
  <si>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</si>
  <si>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</si>
  <si>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</si>
  <si>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</si>
  <si>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</si>
  <si>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</si>
  <si>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</si>
  <si>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</si>
  <si>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</si>
  <si>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</si>
  <si>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</si>
  <si>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</si>
  <si>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</si>
  <si>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</si>
  <si>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</si>
  <si>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</si>
  <si>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</si>
  <si>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</si>
  <si>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</si>
  <si>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</si>
  <si>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</si>
  <si>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</si>
  <si>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</si>
  <si>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</si>
  <si>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</si>
  <si>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</si>
  <si>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</si>
  <si>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</si>
  <si>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</si>
  <si>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</si>
  <si>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</si>
  <si>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</si>
  <si>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</si>
  <si>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</si>
  <si>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</si>
  <si>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</si>
  <si>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</si>
  <si>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</si>
  <si>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</si>
  <si>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</si>
  <si>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</si>
  <si>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</si>
  <si>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</si>
  <si>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</si>
  <si>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</si>
  <si>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</si>
  <si>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</si>
  <si>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</si>
  <si>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</si>
  <si>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</si>
  <si>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</si>
  <si>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</si>
  <si>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</si>
  <si>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</si>
  <si>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</si>
  <si>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</si>
  <si>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</si>
  <si>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</si>
  <si>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</si>
  <si>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</si>
  <si>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</si>
  <si>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</si>
  <si>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</si>
  <si>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</si>
  <si>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</si>
  <si>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</si>
  <si>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</si>
  <si>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</si>
  <si>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</si>
  <si>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</si>
  <si>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</si>
  <si>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</si>
  <si>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</si>
  <si>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</si>
  <si>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</si>
  <si>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</si>
  <si>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</si>
  <si>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</si>
  <si>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</si>
  <si>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</si>
  <si>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</si>
  <si>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</si>
  <si>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</si>
  <si>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</si>
  <si>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</si>
  <si>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</si>
  <si>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</si>
  <si>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</si>
  <si>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</si>
  <si>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</si>
  <si>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</si>
  <si>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</si>
  <si>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</si>
  <si>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</si>
  <si>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</si>
  <si>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</si>
  <si>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</si>
  <si>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</si>
  <si>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</si>
  <si>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</si>
  <si>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</si>
  <si>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</si>
  <si>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</si>
  <si>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</si>
  <si>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</si>
  <si>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</si>
  <si>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</si>
  <si>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</si>
  <si>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</si>
  <si>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</si>
  <si>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</si>
  <si>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</si>
  <si>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</si>
  <si>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</si>
  <si>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</si>
  <si>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</si>
  <si>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</si>
  <si>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</si>
  <si>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</si>
  <si>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</si>
  <si>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</si>
  <si>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</si>
  <si>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</si>
  <si>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</si>
  <si>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</si>
  <si>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</si>
  <si>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</si>
  <si>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</si>
  <si>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</si>
  <si>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</si>
  <si>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</si>
  <si>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</si>
  <si>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</si>
  <si>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</si>
  <si>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</si>
  <si>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</si>
  <si>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</si>
  <si>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</si>
  <si>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</si>
  <si>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</si>
  <si>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</si>
  <si>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</si>
  <si>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</si>
  <si>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</si>
  <si>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</si>
  <si>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</si>
  <si>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</si>
  <si>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</si>
  <si>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</si>
  <si>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</si>
  <si>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</si>
  <si>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</si>
  <si>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</si>
  <si>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</si>
  <si>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</si>
  <si>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</si>
  <si>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</si>
  <si>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</si>
  <si>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</si>
  <si>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</si>
  <si>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</si>
  <si>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</si>
  <si>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</si>
  <si>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</si>
  <si>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</si>
  <si>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</si>
  <si>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</si>
  <si>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</si>
  <si>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</si>
  <si>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</si>
  <si>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</si>
  <si>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</si>
  <si>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</si>
  <si>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</si>
  <si>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</si>
  <si>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</si>
  <si>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</si>
  <si>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</si>
  <si>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</si>
  <si>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</si>
  <si>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</si>
  <si>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</si>
  <si>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</si>
  <si>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</si>
  <si>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</si>
  <si>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</si>
  <si>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</si>
  <si>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</si>
  <si>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</si>
  <si>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</si>
  <si>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</si>
  <si>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</si>
  <si>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</si>
  <si>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</si>
  <si>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</si>
  <si>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</si>
  <si>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</si>
  <si>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</si>
  <si>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</si>
  <si>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</si>
  <si>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</si>
  <si>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</si>
  <si>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</si>
  <si>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</si>
  <si>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</si>
  <si>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</si>
  <si>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</si>
  <si>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</si>
  <si>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</si>
  <si>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</si>
  <si>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</si>
  <si>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</si>
  <si>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</si>
  <si>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</si>
  <si>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</si>
  <si>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</si>
  <si>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</si>
  <si>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</si>
  <si>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</si>
  <si>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</si>
  <si>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</si>
  <si>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</si>
  <si>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</si>
  <si>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</si>
  <si>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</si>
  <si>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</si>
  <si>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</si>
  <si>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</si>
  <si>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</si>
  <si>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</si>
  <si>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</si>
  <si>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</si>
  <si>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</si>
  <si>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</si>
  <si>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</si>
  <si>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</si>
  <si>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</si>
  <si>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</si>
  <si>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</si>
  <si>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</si>
  <si>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</si>
  <si>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</si>
  <si>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</si>
  <si>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</si>
  <si>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</si>
  <si>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</si>
  <si>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</si>
  <si>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</si>
  <si>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</si>
  <si>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</si>
  <si>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</si>
  <si>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</si>
  <si>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</si>
  <si>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</si>
  <si>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</si>
  <si>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</si>
  <si>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</si>
  <si>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</si>
  <si>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</si>
  <si>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</si>
  <si>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</si>
  <si>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</si>
  <si>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</si>
  <si>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</si>
  <si>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</si>
  <si>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</si>
  <si>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</si>
  <si>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</si>
  <si>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</si>
  <si>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</si>
  <si>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</si>
  <si>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</si>
  <si>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</si>
  <si>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</si>
  <si>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</si>
  <si>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</si>
  <si>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</si>
  <si>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</si>
  <si>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</si>
  <si>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</si>
  <si>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</si>
  <si>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</si>
  <si>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</si>
  <si>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</si>
  <si>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</si>
  <si>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</si>
  <si>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</si>
  <si>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</si>
  <si>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</si>
  <si>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</si>
  <si>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</si>
  <si>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</si>
  <si>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</si>
  <si>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</si>
  <si>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</si>
  <si>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</si>
  <si>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</si>
  <si>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</si>
  <si>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</si>
  <si>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</si>
  <si>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</si>
  <si>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</si>
  <si>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</si>
  <si>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</si>
  <si>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</si>
  <si>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</si>
  <si>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</si>
  <si>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</si>
  <si>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</si>
  <si>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</si>
  <si>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</si>
  <si>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</si>
  <si>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</si>
  <si>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</si>
  <si>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</si>
  <si>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</si>
  <si>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</si>
  <si>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</si>
  <si>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</si>
  <si>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</si>
  <si>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</si>
  <si>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</si>
  <si>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</si>
  <si>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</si>
  <si>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</si>
  <si>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</si>
  <si>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</si>
  <si>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</si>
  <si>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</si>
  <si>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</si>
  <si>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</si>
  <si>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</si>
  <si>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</si>
  <si>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</si>
  <si>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</si>
  <si>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</si>
  <si>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</si>
  <si>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</si>
  <si>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</si>
  <si>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</si>
  <si>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</si>
  <si>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</si>
  <si>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</si>
  <si>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</si>
  <si>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</si>
  <si>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</si>
  <si>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</si>
  <si>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</si>
  <si>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</si>
  <si>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</si>
  <si>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</si>
  <si>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</si>
  <si>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</si>
  <si>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</si>
  <si>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</si>
  <si>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</si>
  <si>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</si>
  <si>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</si>
  <si>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</si>
  <si>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</si>
  <si>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</si>
  <si>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</si>
  <si>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</si>
  <si>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</si>
  <si>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</si>
  <si>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</si>
  <si>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</si>
  <si>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</si>
  <si>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</si>
  <si>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</si>
  <si>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</si>
  <si>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</si>
  <si>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</si>
  <si>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</si>
  <si>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</si>
  <si>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</si>
  <si>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</si>
  <si>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</si>
  <si>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</si>
  <si>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</si>
  <si>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</si>
  <si>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</si>
  <si>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</si>
  <si>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</si>
  <si>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</si>
  <si>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</si>
  <si>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</si>
  <si>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</si>
  <si>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</si>
  <si>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</si>
  <si>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</si>
  <si>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</si>
  <si>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</si>
  <si>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</si>
  <si>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</si>
  <si>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</si>
  <si>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</si>
  <si>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</si>
  <si>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</si>
  <si>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</si>
  <si>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</si>
  <si>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</si>
  <si>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</si>
  <si>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</si>
  <si>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</si>
  <si>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</si>
  <si>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</si>
  <si>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</si>
  <si>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</si>
  <si>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</si>
  <si>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</si>
  <si>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</si>
  <si>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</si>
  <si>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</si>
  <si>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</si>
  <si>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</si>
  <si>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</si>
  <si>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</si>
  <si>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</si>
  <si>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</si>
  <si>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</si>
  <si>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</si>
  <si>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</si>
  <si>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</si>
  <si>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</si>
  <si>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</si>
  <si>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</si>
  <si>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</si>
  <si>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</si>
  <si>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</si>
  <si>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</si>
  <si>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</si>
  <si>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</si>
  <si>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</si>
  <si>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</si>
  <si>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</si>
  <si>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</si>
  <si>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</si>
  <si>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</si>
  <si>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</si>
  <si>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</si>
  <si>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</si>
  <si>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</si>
  <si>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</si>
  <si>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</si>
  <si>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</si>
  <si>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</si>
  <si>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</si>
  <si>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</si>
  <si>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</si>
  <si>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</si>
  <si>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</si>
  <si>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</si>
  <si>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</si>
  <si>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</si>
  <si>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</si>
  <si>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</si>
  <si>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</si>
  <si>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</si>
  <si>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</si>
  <si>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</si>
  <si>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</si>
  <si>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</si>
  <si>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</si>
  <si>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</si>
  <si>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</si>
  <si>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</si>
  <si>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</si>
  <si>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</si>
  <si>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</si>
  <si>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</si>
  <si>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</si>
  <si>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</si>
  <si>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</si>
  <si>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</si>
  <si>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</si>
  <si>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</si>
  <si>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</si>
  <si>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</si>
  <si>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</si>
  <si>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</si>
  <si>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</si>
  <si>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</si>
  <si>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</si>
  <si>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</si>
  <si>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</si>
  <si>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</si>
  <si>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</si>
  <si>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</si>
  <si>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</si>
  <si>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</si>
  <si>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</si>
  <si>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</si>
  <si>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</si>
  <si>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</si>
  <si>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</si>
  <si>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</si>
  <si>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</si>
  <si>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</si>
  <si>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</si>
  <si>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</si>
  <si>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</si>
  <si>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</si>
  <si>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</si>
  <si>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</si>
  <si>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</si>
  <si>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</si>
  <si>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</si>
  <si>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</si>
  <si>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</si>
  <si>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</si>
  <si>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</si>
  <si>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</si>
  <si>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</si>
  <si>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</si>
  <si>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</si>
  <si>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</si>
  <si>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</si>
  <si>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</si>
  <si>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</si>
  <si>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</si>
  <si>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</si>
  <si>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</si>
  <si>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</si>
  <si>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</si>
  <si>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</si>
  <si>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</si>
  <si>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</si>
  <si>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</si>
  <si>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</si>
  <si>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</si>
  <si>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</si>
  <si>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</si>
  <si>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</si>
  <si>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</si>
  <si>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</si>
  <si>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</si>
  <si>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</si>
  <si>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</si>
  <si>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</si>
  <si>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</si>
  <si>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</si>
  <si>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</si>
  <si>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</si>
  <si>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</si>
  <si>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</si>
  <si>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</si>
  <si>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</si>
  <si>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</si>
  <si>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</si>
  <si>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</si>
  <si>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</si>
  <si>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</si>
  <si>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</si>
  <si>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</si>
  <si>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</si>
  <si>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</si>
  <si>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</si>
  <si>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</si>
  <si>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</si>
  <si>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</si>
  <si>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</si>
  <si>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</si>
  <si>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</si>
  <si>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</si>
  <si>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</si>
  <si>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</si>
  <si>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</si>
  <si>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</si>
  <si>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</si>
  <si>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</si>
  <si>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</si>
  <si>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</si>
  <si>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</si>
  <si>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</si>
  <si>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</si>
  <si>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</si>
  <si>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</si>
  <si>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</si>
  <si>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</si>
  <si>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</si>
  <si>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</si>
  <si>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</si>
  <si>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</si>
  <si>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</si>
  <si>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</si>
  <si>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</si>
  <si>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</si>
  <si>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</si>
  <si>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</si>
  <si>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</si>
  <si>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</si>
  <si>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</si>
  <si>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</si>
  <si>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</si>
  <si>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</si>
  <si>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</si>
  <si>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</si>
  <si>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</si>
  <si>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</si>
  <si>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</si>
  <si>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</si>
  <si>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</si>
  <si>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</si>
  <si>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</si>
  <si>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</si>
  <si>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</si>
  <si>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</si>
  <si>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</si>
  <si>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</si>
  <si>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</si>
  <si>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</si>
  <si>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</si>
  <si>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</si>
  <si>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</si>
  <si>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</si>
  <si>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</si>
  <si>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</si>
  <si>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</si>
  <si>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</si>
  <si>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</si>
  <si>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</si>
  <si>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</si>
  <si>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</si>
  <si>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</si>
  <si>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</si>
  <si>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</si>
  <si>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</si>
  <si>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</si>
  <si>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</si>
  <si>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</si>
  <si>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</si>
  <si>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</si>
  <si>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</si>
  <si>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</si>
  <si>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</si>
  <si>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</si>
  <si>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</si>
  <si>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</si>
  <si>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</si>
  <si>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</si>
  <si>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</si>
  <si>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</si>
  <si>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</si>
  <si>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</si>
  <si>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</si>
  <si>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</si>
  <si>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</si>
  <si>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</si>
  <si>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</si>
  <si>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</si>
  <si>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</si>
  <si>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</si>
  <si>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</si>
  <si>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</si>
  <si>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</si>
  <si>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</si>
  <si>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</si>
  <si>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</si>
  <si>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</si>
  <si>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</si>
  <si>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</si>
  <si>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</si>
  <si>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</si>
  <si>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</si>
  <si>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</si>
  <si>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</si>
  <si>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</si>
  <si>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</si>
  <si>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</si>
  <si>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</si>
  <si>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</si>
  <si>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</si>
  <si>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</si>
  <si>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</si>
  <si>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</si>
  <si>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</si>
  <si>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</si>
  <si>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</si>
  <si>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</si>
  <si>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</si>
  <si>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</si>
  <si>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</si>
  <si>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</si>
  <si>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</si>
  <si>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</si>
  <si>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</si>
  <si>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</si>
  <si>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</si>
  <si>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</si>
  <si>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</si>
  <si>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</si>
  <si>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</si>
  <si>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</si>
  <si>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</si>
  <si>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</si>
  <si>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</si>
  <si>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</si>
  <si>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</si>
  <si>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</si>
  <si>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</si>
  <si>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</si>
  <si>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</si>
  <si>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</si>
  <si>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</si>
  <si>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</si>
  <si>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</si>
  <si>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</si>
  <si>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</si>
  <si>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</si>
  <si>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</si>
  <si>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</si>
  <si>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</si>
  <si>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</si>
  <si>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</si>
  <si>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</si>
  <si>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</si>
  <si>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</si>
  <si>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</si>
  <si>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</si>
  <si>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</si>
  <si>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</si>
  <si>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</si>
  <si>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</si>
  <si>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</si>
  <si>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</si>
  <si>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</si>
  <si>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</si>
  <si>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</si>
  <si>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</si>
  <si>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</si>
  <si>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</si>
  <si>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</si>
  <si>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</si>
  <si>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</si>
  <si>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</si>
  <si>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</si>
  <si>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</si>
  <si>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</si>
  <si>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</si>
  <si>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</si>
  <si>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</si>
  <si>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</si>
  <si>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</si>
  <si>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</si>
  <si>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</si>
  <si>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</si>
  <si>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</si>
  <si>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</si>
  <si>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</si>
  <si>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</si>
  <si>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</si>
  <si>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</si>
  <si>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</si>
  <si>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</si>
  <si>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</si>
  <si>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</si>
  <si>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</si>
  <si>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</si>
  <si>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</si>
  <si>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</si>
  <si>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</si>
  <si>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</si>
  <si>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</si>
  <si>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</si>
  <si>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</si>
  <si>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</si>
  <si>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</si>
  <si>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</si>
  <si>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</si>
  <si>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</si>
  <si>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</si>
  <si>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</si>
  <si>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</si>
  <si>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</si>
  <si>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</si>
  <si>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</si>
  <si>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</si>
  <si>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</si>
  <si>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</si>
  <si>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</si>
  <si>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</si>
  <si>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</si>
  <si>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</si>
  <si>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</si>
  <si>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</si>
  <si>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</si>
  <si>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</si>
  <si>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</si>
  <si>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</si>
  <si>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</si>
  <si>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</si>
  <si>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</si>
  <si>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</si>
  <si>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</si>
  <si>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</si>
  <si>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</si>
  <si>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</si>
  <si>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</si>
  <si>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</si>
  <si>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</si>
  <si>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</si>
  <si>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</si>
  <si>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</si>
  <si>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</si>
  <si>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</si>
  <si>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</si>
  <si>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</si>
  <si>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</si>
  <si>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</si>
  <si>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</si>
  <si>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</si>
  <si>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</si>
  <si>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</si>
  <si>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</si>
  <si>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</si>
  <si>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</si>
  <si>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</si>
  <si>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</si>
  <si>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</si>
  <si>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</si>
  <si>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</si>
  <si>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</si>
  <si>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</si>
  <si>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</si>
  <si>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</si>
  <si>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</si>
  <si>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</si>
  <si>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</si>
  <si>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</si>
  <si>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</si>
  <si>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</si>
  <si>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</si>
  <si>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</si>
  <si>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</si>
  <si>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</si>
  <si>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</si>
  <si>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</si>
  <si>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</si>
  <si>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</si>
  <si>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</si>
  <si>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</si>
  <si>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</si>
  <si>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</si>
  <si>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</si>
  <si>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</si>
  <si>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</si>
  <si>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</si>
  <si>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</si>
  <si>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</si>
  <si>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</si>
  <si>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</si>
  <si>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</si>
  <si>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</si>
  <si>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</si>
  <si>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</si>
  <si>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</si>
  <si>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</si>
  <si>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</si>
  <si>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</si>
  <si>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</si>
  <si>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</si>
  <si>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</si>
  <si>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</si>
  <si>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</si>
  <si>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</si>
  <si>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</si>
  <si>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</si>
  <si>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</si>
  <si>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</si>
  <si>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</si>
  <si>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</si>
  <si>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</si>
  <si>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</si>
  <si>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</si>
  <si>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</si>
  <si>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</si>
  <si>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</si>
  <si>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</si>
  <si>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</si>
  <si>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</si>
  <si>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</si>
  <si>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</si>
  <si>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</si>
  <si>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</si>
  <si>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</si>
  <si>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</si>
  <si>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</si>
  <si>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</si>
  <si>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</si>
  <si>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</si>
  <si>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</si>
  <si>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</si>
  <si>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</si>
  <si>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</si>
  <si>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</si>
  <si>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</si>
  <si>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</si>
  <si>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</si>
  <si>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</si>
  <si>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</si>
  <si>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</si>
  <si>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</si>
  <si>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</si>
  <si>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</si>
  <si>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</si>
  <si>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</si>
  <si>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</si>
  <si>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</si>
  <si>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</si>
  <si>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</si>
  <si>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</si>
  <si>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</si>
  <si>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</si>
  <si>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</si>
  <si>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</si>
  <si>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</si>
  <si>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</si>
  <si>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</si>
  <si>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</si>
  <si>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</si>
  <si>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</si>
  <si>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</si>
  <si>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</si>
  <si>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</si>
  <si>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</si>
  <si>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</si>
  <si>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</si>
  <si>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</si>
  <si>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</si>
  <si>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</si>
  <si>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</si>
  <si>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</si>
  <si>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</si>
  <si>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</si>
  <si>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</si>
  <si>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</si>
  <si>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</si>
  <si>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</si>
  <si>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</si>
  <si>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</si>
  <si>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</si>
  <si>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</si>
  <si>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</si>
  <si>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</si>
  <si>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</si>
  <si>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</si>
  <si>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</si>
  <si>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</si>
  <si>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</si>
  <si>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</si>
  <si>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</si>
  <si>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</si>
  <si>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</si>
  <si>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</si>
  <si>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</si>
  <si>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</si>
  <si>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</si>
  <si>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</si>
  <si>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</si>
  <si>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</si>
  <si>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</si>
  <si>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</si>
  <si>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</si>
  <si>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</si>
  <si>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</si>
  <si>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</si>
  <si>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</si>
  <si>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</si>
  <si>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</si>
  <si>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</si>
  <si>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</si>
  <si>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</si>
  <si>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</si>
  <si>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</si>
  <si>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</si>
  <si>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</si>
  <si>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</si>
  <si>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</si>
  <si>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</si>
  <si>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</si>
  <si>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</si>
  <si>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</si>
  <si>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</si>
  <si>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</si>
  <si>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</si>
  <si>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</si>
  <si>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</si>
  <si>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</si>
  <si>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</si>
  <si>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</si>
  <si>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</si>
  <si>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</si>
  <si>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</si>
  <si>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</si>
  <si>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</si>
  <si>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</si>
  <si>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</si>
  <si>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</si>
  <si>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</si>
  <si>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</si>
  <si>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</si>
  <si>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</si>
  <si>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</si>
  <si>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</si>
  <si>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</si>
  <si>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</si>
  <si>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</si>
  <si>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</si>
  <si>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</si>
  <si>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</si>
  <si>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</si>
  <si>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</si>
  <si>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</si>
  <si>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</si>
  <si>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</si>
  <si>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</si>
  <si>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</si>
  <si>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</si>
  <si>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</si>
  <si>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</si>
  <si>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</si>
  <si>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</si>
  <si>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</si>
  <si>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</si>
  <si>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</si>
  <si>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</si>
  <si>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</si>
  <si>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</si>
  <si>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</si>
  <si>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</si>
  <si>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</si>
  <si>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</si>
  <si>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</si>
  <si>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</si>
  <si>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</si>
  <si>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</si>
  <si>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</si>
  <si>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</si>
  <si>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</si>
  <si>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</si>
  <si>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</si>
  <si>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</si>
  <si>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</si>
  <si>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</si>
  <si>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</si>
  <si>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</si>
  <si>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</si>
  <si>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</si>
  <si>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</si>
  <si>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</si>
  <si>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</si>
  <si>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</si>
  <si>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</si>
  <si>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</si>
  <si>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</si>
  <si>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</si>
  <si>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</si>
  <si>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</si>
  <si>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</si>
  <si>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</si>
  <si>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</si>
  <si>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</si>
  <si>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</si>
  <si>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</si>
  <si>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</si>
  <si>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</si>
  <si>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</si>
  <si>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</si>
  <si>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</si>
  <si>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</si>
  <si>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</si>
  <si>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</si>
  <si>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</si>
  <si>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</si>
  <si>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</si>
  <si>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</si>
  <si>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</si>
  <si>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</si>
  <si>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</si>
  <si>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</si>
  <si>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</si>
  <si>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</si>
  <si>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</si>
  <si>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</si>
  <si>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</si>
  <si>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</si>
  <si>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</si>
  <si>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</si>
  <si>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</si>
  <si>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</si>
  <si>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</si>
  <si>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</si>
  <si>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</si>
  <si>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</si>
  <si>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</si>
  <si>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</si>
  <si>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</si>
  <si>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</si>
  <si>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</si>
  <si>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</si>
  <si>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</si>
  <si>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</si>
  <si>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</si>
  <si>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</si>
  <si>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</si>
  <si>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</si>
  <si>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</si>
  <si>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</si>
  <si>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</si>
  <si>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</si>
  <si>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</si>
  <si>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</si>
  <si>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</si>
  <si>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</si>
  <si>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</si>
  <si>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</si>
  <si>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</si>
  <si>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</si>
  <si>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</si>
  <si>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</si>
  <si>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</si>
  <si>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</si>
  <si>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</si>
  <si>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</si>
  <si>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</si>
  <si>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</si>
  <si>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</si>
  <si>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</si>
  <si>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</si>
  <si>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</si>
  <si>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</si>
  <si>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</si>
  <si>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</si>
  <si>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</si>
  <si>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</si>
  <si>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</si>
  <si>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</si>
  <si>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</si>
  <si>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</si>
  <si>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</si>
  <si>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</si>
  <si>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</si>
  <si>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</si>
  <si>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</si>
  <si>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</si>
  <si>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</si>
  <si>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</si>
  <si>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</si>
  <si>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</si>
  <si>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</si>
  <si>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</si>
  <si>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</si>
  <si>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</si>
  <si>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</si>
  <si>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</si>
  <si>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</si>
  <si>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</si>
  <si>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</si>
  <si>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</si>
  <si>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</si>
  <si>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</si>
  <si>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</si>
  <si>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</si>
  <si>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</si>
  <si>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</si>
  <si>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</si>
  <si>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</si>
  <si>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</si>
  <si>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</si>
  <si>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</si>
  <si>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</si>
  <si>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</si>
  <si>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</si>
  <si>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</si>
  <si>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</si>
  <si>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</si>
  <si>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</si>
  <si>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</si>
  <si>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</si>
  <si>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</si>
  <si>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</si>
  <si>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</si>
  <si>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</si>
  <si>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</si>
  <si>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</si>
  <si>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</si>
  <si>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</si>
  <si>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</si>
  <si>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</si>
  <si>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</si>
  <si>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</si>
  <si>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</si>
  <si>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</si>
  <si>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</si>
  <si>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</si>
  <si>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</si>
  <si>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</si>
  <si>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</si>
  <si>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</si>
  <si>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</si>
  <si>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</si>
  <si>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</si>
  <si>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</si>
  <si>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</si>
  <si>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</si>
  <si>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</si>
  <si>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</si>
  <si>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</si>
  <si>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</si>
  <si>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</si>
  <si>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</si>
  <si>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</si>
  <si>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</si>
  <si>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</si>
  <si>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</si>
  <si>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</si>
  <si>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</si>
  <si>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</si>
  <si>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</si>
  <si>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</si>
  <si>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</si>
  <si>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</si>
  <si>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</si>
  <si>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</si>
  <si>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</si>
  <si>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</si>
  <si>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</si>
  <si>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</si>
  <si>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</si>
  <si>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</si>
  <si>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</si>
  <si>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</si>
  <si>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</si>
  <si>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</si>
  <si>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</si>
  <si>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</si>
  <si>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</si>
  <si>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</si>
  <si>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</si>
  <si>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</si>
  <si>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</si>
  <si>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</si>
  <si>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</si>
  <si>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</si>
  <si>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</si>
  <si>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</si>
  <si>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</si>
  <si>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</si>
  <si>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</si>
  <si>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</si>
  <si>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</si>
  <si>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</si>
  <si>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</si>
  <si>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</si>
  <si>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</si>
  <si>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</si>
  <si>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</si>
  <si>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</si>
  <si>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</si>
  <si>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</si>
  <si>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</si>
  <si>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</si>
  <si>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</si>
  <si>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</si>
  <si>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</si>
  <si>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</si>
  <si>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</si>
  <si>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</si>
  <si>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</si>
  <si>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</si>
  <si>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</si>
  <si>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</si>
  <si>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</si>
  <si>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</si>
  <si>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</si>
  <si>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</si>
  <si>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</si>
  <si>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</si>
  <si>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</si>
  <si>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</si>
  <si>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</si>
  <si>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</si>
  <si>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</si>
  <si>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</si>
  <si>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</si>
  <si>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</si>
  <si>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</si>
  <si>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</si>
  <si>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</si>
  <si>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</si>
  <si>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</si>
  <si>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</si>
  <si>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</si>
  <si>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</si>
  <si>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</si>
  <si>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</si>
  <si>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</si>
  <si>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</si>
  <si>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</si>
  <si>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</si>
  <si>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</si>
  <si>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</si>
  <si>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</si>
  <si>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</si>
  <si>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</si>
  <si>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</si>
  <si>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</si>
  <si>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</si>
  <si>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</si>
  <si>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</si>
  <si>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</si>
  <si>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</si>
  <si>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</si>
  <si>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</si>
  <si>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</si>
  <si>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</si>
  <si>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</si>
  <si>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</si>
  <si>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</si>
  <si>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</si>
  <si>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</si>
  <si>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</si>
  <si>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</si>
  <si>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</si>
  <si>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</si>
  <si>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</si>
  <si>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</si>
  <si>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</si>
  <si>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</si>
  <si>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</si>
  <si>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</si>
  <si>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</si>
  <si>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</si>
  <si>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</si>
  <si>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</si>
  <si>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</si>
  <si>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</si>
  <si>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</si>
  <si>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</si>
  <si>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</si>
  <si>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</si>
  <si>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</si>
  <si>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</si>
  <si>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</si>
  <si>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</si>
  <si>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</si>
  <si>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</si>
  <si>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</si>
  <si>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</si>
  <si>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</si>
  <si>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</si>
  <si>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</si>
  <si>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</si>
  <si>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</si>
  <si>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</si>
  <si>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</si>
  <si>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</si>
  <si>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</si>
  <si>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</si>
  <si>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</si>
  <si>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</si>
  <si>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</si>
  <si>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</si>
  <si>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</si>
  <si>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</si>
  <si>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</si>
  <si>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</si>
  <si>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</si>
  <si>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</si>
  <si>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</si>
  <si>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</si>
  <si>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</si>
  <si>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</si>
  <si>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</si>
  <si>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</si>
  <si>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</si>
  <si>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</si>
  <si>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</si>
  <si>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</si>
  <si>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</si>
  <si>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</si>
  <si>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</si>
  <si>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</si>
  <si>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</si>
  <si>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</si>
  <si>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</si>
  <si>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</si>
  <si>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</si>
  <si>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</si>
  <si>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</si>
  <si>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</si>
  <si>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</si>
  <si>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</si>
  <si>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</si>
  <si>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</si>
  <si>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</si>
  <si>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</si>
  <si>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</si>
  <si>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</si>
  <si>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</si>
  <si>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</si>
  <si>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</si>
  <si>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</si>
  <si>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</si>
  <si>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</si>
  <si>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</si>
  <si>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</si>
  <si>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</si>
  <si>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</si>
  <si>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</si>
  <si>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</si>
  <si>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</si>
  <si>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</si>
  <si>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</si>
  <si>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</si>
  <si>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</si>
  <si>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</si>
  <si>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</si>
  <si>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</si>
  <si>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</si>
  <si>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</si>
  <si>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</si>
  <si>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</si>
  <si>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</si>
  <si>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</si>
  <si>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</si>
  <si>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</si>
  <si>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</si>
  <si>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</si>
  <si>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</si>
  <si>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</si>
  <si>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</si>
  <si>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</si>
  <si>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</si>
  <si>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</si>
  <si>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</si>
  <si>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</si>
  <si>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</si>
  <si>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</si>
  <si>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</si>
  <si>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</si>
  <si>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</si>
  <si>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</si>
  <si>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</si>
  <si>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</si>
  <si>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</si>
  <si>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</si>
  <si>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</si>
  <si>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</si>
  <si>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</si>
  <si>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</si>
  <si>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</si>
  <si>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</si>
  <si>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</si>
  <si>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</si>
  <si>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</si>
  <si>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</si>
  <si>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</si>
  <si>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</si>
  <si>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</si>
  <si>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</si>
  <si>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</si>
  <si>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</si>
  <si>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</si>
  <si>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</si>
  <si>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</si>
  <si>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</si>
  <si>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</si>
  <si>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</si>
  <si>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</si>
  <si>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</si>
  <si>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</si>
  <si>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</si>
  <si>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</si>
  <si>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</si>
  <si>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</si>
  <si>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</si>
  <si>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</si>
  <si>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</si>
  <si>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</si>
  <si>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</si>
  <si>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</si>
  <si>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</si>
  <si>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</si>
  <si>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</si>
  <si>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</si>
  <si>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</si>
  <si>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</si>
  <si>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</si>
  <si>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</si>
  <si>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</si>
  <si>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</si>
  <si>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</si>
  <si>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</si>
  <si>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</si>
  <si>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</si>
  <si>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</si>
  <si>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</si>
  <si>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</si>
  <si>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</si>
  <si>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</si>
  <si>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</si>
  <si>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</si>
  <si>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</si>
  <si>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</si>
  <si>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</si>
  <si>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</si>
  <si>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</si>
  <si>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</si>
  <si>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</si>
  <si>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</si>
  <si>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</si>
  <si>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</si>
  <si>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</si>
  <si>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</si>
  <si>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</si>
  <si>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</si>
  <si>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</si>
  <si>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</si>
  <si>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</si>
  <si>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</si>
  <si>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</si>
  <si>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</si>
  <si>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</si>
  <si>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</si>
  <si>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</si>
  <si>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</si>
  <si>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</si>
  <si>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</si>
  <si>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</si>
  <si>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</si>
  <si>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</si>
  <si>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</si>
  <si>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</si>
  <si>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</si>
  <si>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</si>
  <si>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</si>
  <si>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</si>
  <si>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</si>
  <si>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</si>
  <si>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</si>
  <si>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</si>
  <si>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</si>
  <si>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</si>
  <si>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</si>
  <si>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</si>
  <si>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</si>
  <si>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</si>
  <si>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</si>
  <si>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</si>
  <si>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</si>
  <si>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</si>
  <si>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</si>
  <si>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</si>
  <si>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</si>
  <si>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</si>
  <si>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</si>
  <si>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</si>
  <si>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</si>
  <si>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</si>
  <si>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</si>
  <si>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</si>
  <si>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</si>
  <si>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</si>
  <si>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</si>
  <si>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</si>
  <si>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</si>
  <si>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</si>
  <si>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</si>
  <si>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</si>
  <si>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</si>
  <si>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</si>
  <si>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</si>
  <si>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</si>
  <si>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</si>
  <si>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</si>
  <si>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</si>
  <si>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</si>
  <si>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</si>
  <si>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</si>
  <si>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</si>
  <si>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</si>
  <si>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</si>
  <si>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</si>
  <si>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</si>
  <si>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</si>
  <si>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</si>
  <si>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</si>
  <si>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</si>
  <si>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</si>
  <si>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</si>
  <si>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</si>
  <si>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</si>
  <si>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</si>
  <si>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</si>
  <si>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</si>
  <si>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</si>
  <si>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</si>
  <si>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</si>
  <si>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</si>
  <si>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</si>
  <si>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</si>
  <si>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</si>
  <si>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</si>
  <si>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</si>
  <si>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</si>
  <si>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</si>
  <si>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</si>
  <si>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</si>
  <si>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</si>
  <si>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</si>
  <si>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</si>
  <si>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</si>
  <si>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</si>
  <si>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</si>
  <si>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</si>
  <si>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</si>
  <si>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</si>
  <si>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</si>
  <si>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</si>
  <si>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</si>
  <si>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</si>
  <si>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</si>
  <si>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</si>
  <si>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</si>
  <si>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</si>
  <si>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</si>
  <si>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</si>
  <si>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</si>
  <si>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</si>
  <si>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</si>
  <si>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</si>
  <si>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</si>
  <si>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</si>
  <si>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</si>
  <si>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</si>
  <si>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</si>
  <si>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</si>
  <si>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</si>
  <si>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</si>
  <si>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</si>
  <si>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</si>
  <si>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</si>
  <si>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</si>
  <si>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</si>
  <si>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</si>
  <si>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</si>
  <si>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</si>
  <si>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</si>
  <si>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</si>
  <si>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</si>
  <si>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</si>
  <si>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</si>
  <si>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</si>
  <si>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</si>
  <si>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</si>
  <si>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</si>
  <si>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</si>
  <si>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</si>
  <si>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</si>
  <si>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</si>
  <si>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</si>
  <si>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</si>
  <si>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</si>
  <si>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</si>
  <si>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</si>
  <si>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</si>
  <si>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</si>
  <si>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</si>
  <si>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</si>
  <si>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</si>
  <si>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</si>
  <si>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</si>
  <si>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</si>
  <si>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</si>
  <si>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</si>
  <si>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</si>
  <si>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</si>
  <si>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</si>
  <si>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</si>
  <si>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</si>
  <si>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</si>
  <si>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</si>
  <si>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</si>
  <si>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</si>
  <si>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</si>
  <si>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</si>
  <si>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</si>
  <si>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</si>
  <si>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</si>
  <si>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</si>
  <si>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</si>
  <si>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</si>
  <si>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</si>
  <si>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</si>
  <si>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</si>
  <si>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</si>
  <si>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</si>
  <si>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</si>
  <si>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</si>
  <si>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</si>
  <si>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</si>
  <si>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</si>
  <si>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</si>
  <si>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</si>
  <si>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</si>
  <si>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</si>
  <si>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</si>
  <si>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</si>
  <si>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</si>
  <si>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</si>
  <si>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</si>
  <si>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</si>
  <si>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</si>
  <si>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</si>
  <si>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</si>
  <si>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</si>
  <si>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</si>
  <si>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</si>
  <si>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</si>
  <si>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</si>
  <si>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</si>
  <si>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</si>
  <si>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</si>
  <si>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</si>
  <si>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</si>
  <si>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</si>
  <si>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</si>
  <si>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</si>
  <si>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</si>
  <si>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</si>
  <si>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</si>
  <si>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</si>
  <si>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</si>
  <si>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</si>
  <si>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</si>
  <si>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</si>
  <si>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</si>
  <si>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</si>
  <si>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</si>
  <si>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</si>
  <si>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</si>
  <si>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</si>
  <si>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</si>
  <si>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</si>
  <si>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</si>
  <si>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</si>
  <si>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</si>
  <si>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</si>
  <si>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</si>
  <si>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</si>
  <si>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</si>
  <si>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</si>
  <si>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</si>
  <si>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</si>
  <si>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</si>
  <si>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</si>
  <si>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</si>
  <si>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</si>
  <si>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</si>
  <si>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</si>
  <si>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</si>
  <si>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</si>
  <si>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</si>
  <si>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</si>
  <si>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</si>
  <si>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</si>
  <si>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</si>
  <si>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</si>
  <si>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</si>
  <si>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</si>
  <si>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</si>
  <si>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</si>
  <si>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</si>
  <si>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</si>
  <si>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</si>
  <si>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</si>
  <si>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</si>
  <si>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</si>
  <si>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</si>
  <si>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</si>
  <si>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</si>
  <si>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</si>
  <si>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</si>
  <si>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</si>
  <si>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</si>
  <si>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</si>
  <si>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</si>
  <si>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</si>
  <si>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</si>
  <si>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</si>
  <si>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</si>
  <si>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</si>
  <si>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</si>
  <si>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</si>
  <si>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</si>
  <si>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</si>
  <si>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</si>
  <si>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</si>
  <si>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</si>
  <si>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</si>
  <si>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</si>
  <si>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</si>
  <si>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</si>
  <si>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</si>
  <si>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</si>
  <si>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</si>
  <si>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</si>
  <si>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</si>
  <si>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</si>
  <si>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</si>
  <si>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</si>
  <si>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</si>
  <si>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</si>
  <si>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</si>
  <si>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</si>
  <si>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</si>
  <si>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</si>
  <si>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</si>
  <si>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</si>
  <si>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</si>
  <si>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</si>
  <si>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</si>
  <si>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</si>
  <si>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</si>
  <si>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</si>
  <si>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</si>
  <si>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</si>
  <si>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</si>
  <si>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</si>
  <si>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</si>
  <si>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</si>
  <si>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</si>
  <si>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</si>
  <si>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</si>
  <si>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</si>
  <si>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</si>
  <si>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</si>
  <si>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</si>
  <si>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</si>
  <si>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</si>
  <si>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</si>
  <si>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</si>
  <si>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</si>
  <si>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</si>
  <si>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</si>
  <si>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</si>
  <si>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</si>
  <si>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</si>
  <si>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</si>
  <si>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</si>
  <si>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</si>
  <si>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</si>
  <si>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</si>
  <si>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</si>
  <si>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</si>
  <si>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</si>
  <si>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</si>
  <si>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</si>
  <si>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</si>
  <si>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</si>
  <si>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</si>
  <si>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</si>
  <si>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</si>
  <si>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</si>
  <si>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</si>
  <si>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</si>
  <si>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</si>
  <si>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</si>
  <si>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</si>
  <si>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</si>
  <si>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</si>
  <si>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</si>
  <si>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</si>
  <si>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</si>
  <si>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</si>
  <si>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</si>
  <si>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</si>
  <si>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</si>
  <si>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</si>
  <si>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</si>
  <si>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</si>
  <si>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</si>
  <si>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</si>
  <si>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</si>
  <si>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</si>
  <si>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</si>
  <si>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</si>
  <si>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</si>
  <si>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</si>
  <si>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</si>
  <si>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</si>
  <si>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</si>
  <si>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</si>
  <si>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</si>
  <si>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</si>
  <si>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</si>
  <si>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</si>
  <si>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</si>
  <si>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</si>
  <si>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</si>
  <si>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</si>
  <si>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</si>
  <si>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</si>
  <si>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</si>
  <si>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</si>
  <si>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</si>
  <si>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</si>
  <si>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</si>
  <si>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</si>
  <si>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</si>
  <si>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</si>
  <si>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</si>
  <si>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</si>
  <si>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</si>
  <si>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</si>
  <si>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</si>
  <si>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</si>
  <si>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</si>
  <si>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</si>
  <si>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</si>
  <si>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</si>
  <si>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</si>
  <si>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</si>
  <si>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</si>
  <si>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</si>
  <si>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</si>
  <si>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</si>
  <si>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</si>
  <si>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</si>
  <si>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</si>
  <si>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</si>
  <si>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</si>
  <si>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</si>
  <si>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</si>
  <si>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</si>
  <si>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</si>
  <si>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</si>
  <si>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</si>
  <si>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</si>
  <si>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</si>
  <si>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</si>
  <si>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</si>
  <si>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</si>
  <si>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</si>
  <si>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</si>
  <si>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</si>
  <si>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</si>
  <si>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</si>
  <si>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</si>
  <si>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</si>
  <si>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</si>
  <si>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</si>
  <si>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</si>
  <si>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</si>
  <si>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</si>
  <si>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</si>
  <si>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</si>
  <si>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</si>
  <si>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</si>
  <si>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</si>
  <si>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</si>
  <si>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</si>
  <si>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</si>
  <si>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</si>
  <si>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</si>
  <si>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</si>
  <si>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</si>
  <si>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</si>
  <si>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</si>
  <si>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</si>
  <si>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</si>
  <si>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</si>
  <si>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</si>
  <si>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</si>
  <si>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</si>
  <si>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</si>
  <si>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</si>
  <si>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</si>
  <si>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</si>
  <si>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</si>
  <si>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</si>
  <si>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</si>
  <si>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</si>
  <si>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</si>
  <si>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</si>
  <si>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</si>
  <si>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</si>
  <si>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</si>
  <si>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</si>
  <si>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</si>
  <si>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</si>
  <si>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</si>
  <si>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</si>
  <si>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</si>
  <si>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</si>
  <si>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</si>
  <si>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</si>
  <si>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</si>
  <si>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</si>
  <si>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</si>
  <si>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</si>
  <si>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</si>
  <si>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</si>
  <si>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</si>
  <si>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</si>
  <si>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</si>
  <si>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</si>
  <si>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</si>
  <si>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</si>
  <si>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</si>
  <si>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</si>
  <si>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</si>
  <si>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</si>
  <si>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</si>
  <si>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</si>
  <si>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</si>
  <si>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</si>
  <si>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</si>
  <si>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</si>
  <si>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</si>
  <si>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</si>
  <si>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</si>
  <si>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</si>
  <si>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</si>
  <si>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</si>
  <si>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</si>
  <si>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</si>
  <si>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</si>
  <si>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</si>
  <si>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</si>
  <si>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</si>
  <si>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</si>
  <si>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</si>
  <si>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</si>
  <si>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</si>
  <si>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</si>
  <si>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</si>
  <si>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</si>
  <si>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</si>
  <si>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</si>
  <si>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</si>
  <si>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</si>
  <si>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</si>
  <si>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</si>
  <si>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</si>
  <si>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</si>
  <si>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</si>
  <si>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</si>
  <si>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</si>
  <si>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</si>
  <si>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</si>
  <si>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</si>
  <si>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</si>
  <si>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</si>
  <si>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</si>
  <si>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</si>
  <si>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</si>
  <si>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</si>
  <si>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</si>
  <si>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</si>
  <si>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</si>
  <si>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</si>
  <si>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</si>
  <si>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</si>
  <si>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</si>
  <si>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</si>
  <si>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</si>
  <si>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</si>
  <si>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</si>
  <si>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</si>
  <si>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</si>
  <si>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</si>
  <si>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</si>
  <si>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</si>
  <si>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</si>
  <si>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</si>
  <si>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</si>
  <si>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</si>
  <si>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</si>
  <si>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</si>
  <si>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</si>
  <si>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</si>
  <si>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</si>
  <si>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</si>
  <si>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</si>
  <si>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</si>
  <si>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</si>
  <si>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</si>
  <si>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</si>
  <si>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</si>
  <si>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</si>
  <si>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</si>
  <si>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</si>
  <si>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</si>
  <si>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</si>
  <si>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</si>
  <si>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</si>
  <si>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</si>
  <si>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</si>
  <si>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</si>
  <si>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</si>
  <si>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</si>
  <si>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</si>
  <si>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</si>
  <si>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</si>
  <si>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</si>
  <si>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</si>
  <si>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</si>
  <si>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</si>
  <si>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</si>
  <si>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</si>
  <si>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</si>
  <si>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</si>
  <si>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</si>
  <si>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</si>
  <si>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</si>
  <si>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</si>
  <si>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</si>
  <si>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</si>
  <si>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</si>
  <si>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</si>
  <si>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</si>
  <si>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</si>
  <si>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</si>
  <si>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</si>
  <si>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</si>
  <si>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</si>
  <si>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</si>
  <si>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</si>
  <si>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</si>
  <si>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</si>
  <si>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</si>
  <si>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</si>
  <si>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</si>
  <si>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</si>
  <si>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</si>
  <si>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</si>
  <si>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</si>
  <si>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</si>
  <si>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</si>
  <si>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</si>
  <si>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</si>
  <si>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</si>
  <si>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</si>
  <si>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</si>
  <si>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</si>
  <si>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</si>
  <si>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</si>
  <si>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</si>
  <si>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</si>
  <si>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</si>
  <si>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</si>
  <si>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</si>
  <si>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</si>
  <si>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</si>
  <si>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</si>
  <si>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</si>
  <si>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</si>
  <si>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</si>
  <si>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</si>
  <si>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</si>
  <si>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</si>
  <si>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</si>
  <si>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</si>
  <si>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</si>
  <si>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</si>
  <si>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</si>
  <si>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</si>
  <si>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</si>
  <si>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</si>
  <si>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</si>
  <si>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</si>
  <si>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</si>
  <si>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</si>
  <si>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</si>
  <si>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</si>
  <si>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</si>
  <si>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</si>
  <si>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</si>
  <si>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</si>
  <si>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</si>
  <si>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</si>
  <si>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</si>
  <si>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</si>
  <si>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</si>
  <si>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</si>
  <si>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</si>
  <si>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</si>
  <si>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</si>
  <si>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</si>
  <si>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</si>
  <si>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</si>
  <si>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</si>
  <si>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</si>
  <si>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</si>
  <si>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</si>
  <si>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</si>
  <si>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</si>
  <si>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</si>
  <si>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</si>
  <si>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</si>
  <si>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</si>
  <si>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</si>
  <si>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</si>
  <si>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</si>
  <si>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</si>
  <si>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</si>
  <si>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</si>
  <si>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</si>
  <si>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</si>
  <si>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</si>
  <si>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</si>
  <si>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</si>
  <si>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</si>
  <si>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</si>
  <si>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</si>
  <si>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</si>
  <si>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</si>
  <si>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</si>
  <si>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</si>
  <si>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</si>
  <si>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</si>
  <si>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</si>
  <si>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</si>
  <si>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</si>
  <si>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</si>
  <si>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</si>
  <si>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</si>
  <si>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</si>
  <si>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</si>
  <si>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</si>
  <si>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</si>
  <si>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</si>
  <si>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</si>
  <si>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</si>
  <si>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</si>
  <si>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</si>
  <si>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</si>
  <si>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</si>
  <si>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</si>
  <si>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</si>
  <si>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</si>
  <si>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</si>
  <si>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</si>
  <si>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</si>
  <si>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</si>
  <si>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</si>
  <si>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</si>
  <si>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</si>
  <si>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</si>
  <si>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</si>
  <si>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</si>
  <si>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</si>
  <si>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</si>
  <si>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</si>
  <si>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</si>
  <si>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</si>
  <si>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</si>
  <si>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</si>
  <si>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</si>
  <si>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</si>
  <si>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</si>
  <si>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</si>
  <si>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</si>
  <si>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</si>
  <si>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</si>
  <si>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</si>
  <si>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</si>
  <si>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</si>
  <si>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</si>
  <si>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</si>
  <si>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</si>
  <si>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</si>
  <si>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</si>
  <si>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</si>
  <si>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</si>
  <si>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</si>
  <si>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</si>
  <si>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</si>
  <si>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</si>
  <si>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</si>
  <si>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</si>
  <si>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</si>
  <si>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</si>
  <si>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</si>
  <si>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</si>
  <si>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</si>
  <si>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</si>
  <si>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</si>
  <si>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</si>
  <si>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</si>
  <si>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</si>
  <si>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</si>
  <si>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</si>
  <si>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</si>
  <si>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</si>
  <si>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</si>
  <si>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</si>
  <si>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</si>
  <si>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</si>
  <si>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</si>
  <si>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</si>
  <si>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</si>
  <si>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</si>
  <si>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</si>
  <si>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</si>
  <si>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</si>
  <si>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</si>
  <si>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</si>
  <si>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</si>
  <si>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</si>
  <si>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</si>
  <si>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</si>
  <si>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</si>
  <si>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</si>
  <si>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</si>
  <si>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</si>
  <si>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</si>
  <si>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</si>
  <si>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</si>
  <si>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</si>
  <si>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</si>
  <si>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</si>
  <si>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</si>
  <si>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</si>
  <si>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</si>
  <si>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</si>
  <si>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</si>
  <si>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</si>
  <si>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</si>
  <si>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</si>
  <si>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</si>
  <si>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</si>
  <si>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</si>
  <si>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</si>
  <si>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</si>
  <si>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</si>
  <si>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</si>
  <si>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</si>
  <si>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</si>
  <si>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</si>
  <si>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</si>
  <si>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</si>
  <si>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</si>
  <si>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</si>
  <si>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</si>
  <si>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</si>
  <si>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</si>
  <si>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</si>
  <si>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</si>
  <si>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</si>
  <si>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</si>
  <si>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</si>
  <si>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</si>
  <si>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</si>
  <si>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</si>
  <si>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</si>
  <si>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</si>
  <si>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</si>
  <si>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</si>
  <si>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</si>
  <si>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</si>
  <si>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</si>
  <si>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</si>
  <si>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</si>
  <si>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</si>
  <si>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</si>
  <si>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</si>
  <si>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</si>
  <si>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</si>
  <si>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</si>
  <si>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</si>
  <si>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</si>
  <si>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</si>
  <si>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</si>
  <si>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</si>
  <si>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</si>
  <si>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</si>
  <si>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</si>
  <si>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</si>
  <si>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</si>
  <si>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</si>
  <si>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</si>
  <si>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</si>
  <si>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</si>
  <si>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</si>
  <si>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</si>
  <si>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</si>
  <si>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</si>
  <si>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</si>
  <si>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</si>
  <si>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</si>
  <si>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</si>
  <si>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</si>
  <si>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</si>
  <si>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</si>
  <si>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</si>
  <si>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</si>
  <si>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</si>
  <si>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</si>
  <si>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</si>
  <si>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</si>
  <si>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</si>
  <si>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</si>
  <si>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</si>
  <si>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</si>
  <si>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</si>
  <si>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</si>
  <si>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</si>
  <si>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</si>
  <si>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</si>
  <si>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</si>
  <si>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</si>
  <si>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</si>
  <si>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</si>
  <si>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</si>
  <si>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</si>
  <si>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</si>
  <si>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</si>
  <si>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</si>
  <si>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</si>
  <si>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</si>
  <si>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</si>
  <si>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</si>
  <si>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</si>
  <si>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</si>
  <si>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</si>
  <si>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</si>
  <si>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</si>
  <si>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</si>
  <si>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</si>
  <si>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</si>
  <si>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</si>
  <si>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</si>
  <si>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</si>
  <si>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</si>
  <si>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</si>
  <si>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</si>
  <si>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</si>
  <si>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</si>
  <si>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</si>
  <si>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</si>
  <si>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</si>
  <si>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</si>
  <si>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</si>
  <si>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</si>
  <si>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</si>
  <si>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</si>
  <si>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</si>
  <si>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</si>
  <si>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</si>
  <si>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</si>
  <si>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</si>
  <si>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</si>
  <si>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</si>
  <si>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</si>
  <si>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</si>
  <si>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</si>
  <si>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</si>
  <si>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</si>
  <si>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</si>
  <si>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</si>
  <si>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</si>
  <si>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</si>
  <si>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</si>
  <si>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</si>
  <si>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</si>
  <si>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</si>
  <si>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</si>
  <si>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</si>
  <si>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</si>
  <si>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</si>
  <si>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</si>
  <si>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</si>
  <si>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</si>
  <si>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</si>
  <si>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</si>
  <si>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</si>
  <si>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</si>
  <si>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</si>
  <si>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</si>
  <si>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</si>
  <si>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</si>
  <si>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</si>
  <si>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</si>
  <si>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</si>
  <si>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</si>
  <si>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</si>
  <si>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</si>
  <si>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</si>
  <si>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</si>
  <si>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</si>
  <si>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</si>
  <si>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</si>
  <si>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</si>
  <si>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</si>
  <si>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</si>
  <si>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</si>
  <si>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</si>
  <si>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</si>
  <si>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</si>
  <si>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</si>
  <si>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</si>
  <si>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</si>
  <si>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</si>
  <si>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</si>
  <si>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</si>
  <si>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</si>
  <si>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</si>
  <si>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</si>
  <si>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</si>
  <si>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</si>
  <si>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</si>
  <si>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</si>
  <si>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</si>
  <si>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</si>
  <si>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</si>
  <si>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</si>
  <si>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</si>
  <si>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</si>
  <si>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</si>
  <si>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</si>
  <si>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</si>
  <si>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</si>
  <si>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</si>
  <si>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</si>
  <si>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</si>
  <si>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</si>
  <si>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</si>
  <si>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</si>
  <si>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</si>
  <si>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</si>
  <si>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</si>
  <si>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</si>
  <si>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</si>
  <si>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</si>
  <si>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</si>
  <si>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</si>
  <si>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</si>
  <si>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</si>
  <si>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</si>
  <si>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</si>
  <si>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</si>
  <si>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</si>
  <si>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</si>
  <si>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</si>
  <si>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</si>
  <si>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</si>
  <si>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</si>
  <si>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</si>
  <si>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</si>
  <si>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</si>
  <si>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</si>
  <si>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</si>
  <si>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</si>
  <si>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</si>
  <si>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</si>
  <si>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</si>
  <si>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</si>
  <si>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</si>
  <si>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</si>
  <si>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</si>
  <si>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</si>
  <si>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</si>
  <si>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</si>
  <si>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</si>
  <si>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</si>
  <si>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</si>
  <si>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</si>
  <si>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</si>
  <si>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</si>
  <si>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</si>
  <si>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</si>
  <si>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</si>
  <si>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</si>
  <si>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</si>
  <si>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</si>
  <si>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</si>
  <si>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</si>
  <si>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</si>
  <si>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</si>
  <si>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</si>
  <si>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</si>
  <si>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</si>
  <si>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</si>
  <si>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</si>
  <si>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</si>
  <si>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</si>
  <si>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</si>
  <si>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</si>
  <si>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</si>
  <si>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</si>
  <si>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</si>
  <si>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</si>
  <si>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</si>
  <si>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</si>
  <si>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</si>
  <si>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</si>
  <si>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</si>
  <si>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</si>
  <si>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</si>
  <si>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</si>
  <si>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</si>
  <si>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</si>
  <si>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</si>
  <si>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</si>
  <si>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</si>
  <si>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</si>
  <si>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</si>
  <si>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</si>
  <si>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</si>
  <si>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</si>
  <si>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</si>
  <si>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</si>
  <si>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</si>
  <si>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</si>
  <si>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</si>
  <si>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</si>
  <si>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</si>
  <si>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</si>
  <si>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</si>
  <si>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</si>
  <si>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</si>
  <si>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</si>
  <si>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</si>
  <si>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</si>
  <si>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</si>
  <si>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</si>
  <si>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</si>
  <si>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</si>
  <si>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</si>
  <si>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</si>
  <si>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</si>
  <si>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</si>
  <si>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</si>
  <si>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</si>
  <si>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</si>
  <si>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</si>
  <si>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</si>
  <si>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</si>
  <si>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</si>
  <si>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</si>
  <si>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</si>
  <si>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</si>
  <si>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</si>
  <si>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</si>
  <si>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</si>
  <si>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</si>
  <si>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</si>
  <si>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</si>
  <si>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</si>
  <si>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</si>
  <si>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</si>
  <si>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</si>
  <si>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</si>
  <si>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</si>
  <si>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</si>
  <si>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</si>
  <si>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</si>
  <si>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</si>
  <si>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</si>
  <si>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</si>
  <si>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</si>
  <si>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</si>
  <si>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</si>
  <si>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</si>
  <si>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</si>
  <si>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</si>
  <si>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</si>
  <si>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</si>
  <si>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</si>
  <si>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</si>
  <si>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</si>
  <si>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</si>
  <si>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</si>
  <si>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</si>
  <si>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</si>
  <si>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</si>
  <si>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</si>
  <si>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</si>
  <si>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</si>
  <si>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</si>
  <si>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</si>
  <si>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</si>
  <si>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</si>
  <si>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</si>
  <si>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</si>
  <si>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</si>
  <si>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</si>
  <si>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</si>
  <si>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</si>
  <si>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</si>
  <si>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</si>
  <si>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</si>
  <si>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</si>
  <si>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</si>
  <si>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</si>
  <si>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</si>
  <si>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</si>
  <si>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</si>
  <si>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</si>
  <si>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</si>
  <si>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</si>
  <si>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</si>
  <si>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</si>
  <si>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</si>
  <si>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</si>
  <si>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</si>
  <si>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</si>
  <si>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</si>
  <si>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</si>
  <si>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</si>
  <si>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</si>
  <si>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</si>
  <si>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</si>
  <si>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</si>
  <si>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</si>
  <si>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</si>
  <si>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</si>
  <si>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</si>
  <si>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</si>
  <si>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</si>
  <si>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</si>
  <si>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</si>
  <si>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</si>
  <si>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</si>
  <si>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</si>
  <si>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</si>
  <si>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</si>
  <si>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</si>
  <si>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</si>
  <si>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</si>
  <si>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</si>
  <si>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</si>
  <si>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</si>
  <si>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</si>
  <si>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</si>
  <si>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</si>
  <si>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</si>
  <si>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</si>
  <si>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</si>
  <si>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</si>
  <si>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</si>
  <si>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</si>
  <si>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</si>
  <si>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</si>
  <si>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</si>
  <si>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</si>
  <si>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</si>
  <si>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</si>
  <si>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</si>
  <si>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</si>
  <si>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</si>
  <si>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</si>
  <si>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</si>
  <si>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</si>
  <si>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</si>
  <si>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</si>
  <si>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</si>
  <si>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</si>
  <si>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</si>
  <si>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</si>
  <si>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</si>
  <si>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</si>
  <si>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</si>
  <si>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</si>
  <si>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</si>
  <si>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</si>
  <si>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</si>
  <si>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</si>
  <si>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</si>
  <si>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</si>
  <si>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</si>
  <si>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</si>
  <si>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</si>
  <si>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</si>
  <si>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</si>
  <si>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</si>
  <si>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</si>
  <si>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</si>
  <si>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</si>
  <si>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</si>
  <si>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</si>
  <si>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</si>
  <si>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</si>
  <si>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</si>
  <si>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</si>
  <si>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</si>
  <si>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</si>
  <si>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</si>
  <si>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</si>
  <si>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</si>
  <si>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</si>
  <si>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</si>
  <si>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</si>
  <si>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</si>
  <si>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</si>
  <si>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</si>
  <si>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</si>
  <si>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</si>
  <si>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</si>
  <si>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</si>
  <si>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</si>
  <si>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</si>
  <si>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</si>
  <si>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</si>
  <si>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</si>
  <si>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</si>
  <si>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</si>
  <si>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</si>
  <si>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</si>
  <si>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</si>
  <si>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</si>
  <si>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</si>
  <si>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</si>
  <si>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</si>
  <si>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</si>
  <si>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</si>
  <si>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</si>
  <si>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</si>
  <si>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</si>
  <si>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</si>
  <si>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</si>
  <si>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</si>
  <si>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</si>
  <si>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</si>
  <si>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</si>
  <si>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</si>
  <si>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</si>
  <si>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</si>
  <si>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</si>
  <si>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</si>
  <si>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</si>
  <si>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</si>
  <si>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</si>
  <si>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</si>
  <si>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</si>
  <si>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</si>
  <si>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</si>
  <si>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</si>
  <si>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</si>
  <si>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</si>
  <si>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</si>
  <si>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</si>
  <si>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</si>
  <si>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</si>
  <si>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</si>
  <si>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</si>
  <si>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</si>
  <si>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</si>
  <si>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</si>
  <si>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</si>
  <si>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</si>
  <si>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</si>
  <si>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</si>
  <si>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</si>
  <si>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</si>
  <si>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</si>
  <si>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</si>
  <si>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</si>
  <si>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</si>
  <si>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</si>
  <si>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</si>
  <si>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</si>
  <si>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</si>
  <si>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</si>
  <si>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</si>
  <si>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</si>
  <si>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</si>
  <si>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</si>
  <si>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</si>
  <si>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</si>
  <si>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</si>
  <si>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</si>
  <si>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</si>
  <si>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</si>
  <si>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</si>
  <si>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</si>
  <si>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</si>
  <si>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</si>
  <si>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</si>
  <si>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</si>
  <si>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</si>
  <si>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</si>
  <si>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</si>
  <si>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</si>
  <si>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</si>
  <si>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</si>
  <si>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</si>
  <si>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</si>
  <si>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</si>
  <si>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</si>
  <si>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</si>
  <si>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</si>
  <si>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</si>
  <si>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</si>
  <si>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</si>
  <si>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</si>
  <si>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</si>
  <si>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</si>
  <si>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</si>
  <si>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</si>
  <si>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</si>
  <si>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</si>
  <si>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</si>
  <si>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</si>
  <si>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</si>
  <si>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</si>
  <si>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</si>
  <si>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</si>
  <si>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</si>
  <si>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</si>
  <si>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</si>
  <si>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</si>
  <si>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</si>
  <si>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</si>
  <si>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</si>
  <si>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</si>
  <si>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</si>
  <si>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</si>
  <si>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</si>
  <si>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</si>
  <si>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</si>
  <si>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</si>
  <si>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</si>
  <si>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</si>
  <si>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</si>
  <si>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</si>
  <si>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</si>
  <si>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</si>
  <si>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</si>
  <si>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</si>
  <si>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</si>
  <si>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</si>
  <si>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</si>
  <si>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</si>
  <si>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</si>
  <si>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</si>
  <si>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</si>
  <si>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</si>
  <si>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</si>
  <si>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</si>
  <si>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</si>
  <si>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</si>
  <si>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</si>
  <si>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</si>
  <si>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</si>
  <si>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</si>
  <si>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</si>
  <si>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</si>
  <si>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</si>
  <si>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</si>
  <si>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</si>
  <si>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</si>
  <si>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</si>
  <si>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</si>
  <si>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</si>
  <si>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</si>
  <si>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</si>
  <si>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</si>
  <si>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</si>
  <si>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</si>
  <si>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</si>
  <si>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</si>
  <si>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</si>
  <si>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</si>
  <si>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</si>
  <si>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</si>
  <si>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</si>
  <si>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</si>
  <si>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</si>
  <si>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</si>
  <si>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</si>
  <si>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</si>
  <si>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</si>
  <si>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</si>
  <si>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</si>
  <si>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</si>
  <si>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</si>
  <si>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</si>
  <si>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</si>
  <si>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</si>
  <si>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</si>
  <si>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</si>
  <si>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</si>
  <si>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</si>
  <si>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</si>
  <si>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</si>
  <si>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</si>
  <si>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</si>
  <si>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</si>
  <si>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</si>
  <si>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</si>
  <si>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</si>
  <si>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</si>
  <si>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</si>
  <si>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</si>
  <si>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</si>
  <si>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</si>
  <si>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</si>
  <si>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</si>
  <si>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</si>
  <si>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</si>
  <si>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</si>
  <si>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</si>
  <si>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</si>
  <si>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</si>
  <si>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</si>
  <si>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</si>
  <si>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</si>
  <si>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</si>
  <si>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</si>
  <si>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</si>
  <si>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</si>
  <si>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</si>
  <si>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</si>
  <si>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</si>
  <si>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</si>
  <si>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</si>
  <si>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</si>
  <si>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</si>
  <si>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</si>
  <si>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</si>
  <si>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</si>
  <si>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</si>
  <si>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</si>
  <si>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</si>
  <si>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</si>
  <si>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</si>
  <si>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</si>
  <si>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</si>
  <si>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</si>
  <si>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</si>
  <si>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</si>
  <si>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</si>
  <si>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</si>
  <si>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</si>
  <si>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</si>
  <si>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</si>
  <si>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</si>
  <si>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</si>
  <si>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</si>
  <si>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</si>
  <si>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</si>
  <si>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</si>
  <si>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</si>
  <si>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</si>
  <si>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</si>
  <si>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</si>
  <si>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</si>
  <si>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</si>
  <si>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</si>
  <si>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</si>
  <si>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</si>
  <si>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</si>
  <si>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</si>
  <si>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</si>
  <si>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</si>
  <si>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</si>
  <si>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</si>
  <si>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</si>
  <si>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</si>
  <si>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</si>
  <si>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</si>
  <si>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</si>
  <si>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</si>
  <si>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</si>
  <si>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</si>
  <si>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</si>
  <si>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</si>
  <si>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</si>
  <si>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</si>
  <si>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</si>
  <si>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</si>
  <si>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</si>
  <si>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</si>
  <si>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</si>
  <si>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</si>
  <si>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</si>
  <si>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</si>
  <si>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</si>
  <si>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</si>
  <si>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</si>
  <si>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</si>
  <si>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</si>
  <si>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</si>
  <si>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</si>
  <si>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</si>
  <si>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</si>
  <si>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</si>
  <si>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</si>
  <si>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</si>
  <si>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</si>
  <si>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</si>
  <si>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</si>
  <si>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</si>
  <si>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</si>
  <si>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</si>
  <si>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</si>
  <si>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</si>
  <si>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</si>
  <si>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</si>
  <si>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</si>
  <si>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</si>
  <si>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</si>
  <si>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</si>
  <si>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</si>
  <si>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</si>
  <si>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</si>
  <si>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</si>
  <si>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</si>
  <si>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</si>
  <si>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</si>
  <si>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</si>
  <si>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</si>
  <si>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</si>
  <si>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</si>
  <si>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</si>
  <si>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</si>
  <si>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</si>
  <si>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</si>
  <si>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</si>
  <si>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</si>
  <si>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</si>
  <si>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</si>
  <si>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</si>
  <si>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</si>
  <si>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</si>
  <si>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</si>
  <si>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</si>
  <si>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</si>
  <si>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</si>
  <si>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</si>
  <si>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</si>
  <si>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</si>
  <si>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</si>
  <si>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</si>
  <si>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</si>
  <si>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</si>
  <si>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</si>
  <si>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</si>
  <si>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</si>
  <si>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</si>
  <si>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</si>
  <si>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</si>
  <si>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</si>
  <si>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</si>
  <si>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</si>
  <si>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</si>
  <si>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</si>
  <si>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</si>
  <si>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</si>
  <si>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</si>
  <si>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</si>
  <si>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</si>
  <si>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</si>
  <si>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</si>
  <si>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</si>
  <si>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</si>
  <si>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</si>
  <si>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</si>
  <si>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</si>
  <si>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</si>
  <si>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</si>
  <si>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</si>
  <si>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</si>
  <si>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</si>
  <si>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</si>
  <si>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</si>
  <si>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</si>
  <si>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</si>
  <si>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</si>
  <si>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</si>
  <si>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</si>
  <si>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</si>
  <si>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</si>
  <si>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</si>
  <si>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</si>
  <si>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</si>
  <si>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</si>
  <si>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</si>
  <si>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</si>
  <si>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</si>
  <si>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</si>
  <si>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</si>
  <si>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</si>
  <si>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</si>
  <si>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</si>
  <si>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</si>
  <si>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</si>
  <si>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</si>
  <si>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</si>
  <si>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</si>
  <si>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</si>
  <si>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</si>
  <si>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</si>
  <si>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</si>
  <si>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</si>
  <si>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</si>
  <si>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</si>
  <si>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</si>
  <si>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</si>
  <si>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</si>
  <si>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</si>
  <si>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</si>
  <si>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</si>
  <si>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</si>
  <si>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</si>
  <si>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</si>
  <si>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</si>
  <si>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</si>
  <si>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</si>
  <si>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</si>
  <si>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</si>
  <si>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</si>
  <si>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</si>
  <si>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</si>
  <si>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</si>
  <si>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</si>
  <si>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</si>
  <si>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</si>
  <si>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</si>
  <si>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</si>
  <si>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</si>
  <si>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</si>
  <si>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</si>
  <si>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</si>
  <si>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</si>
  <si>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</si>
  <si>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</si>
  <si>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</si>
  <si>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</si>
  <si>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</si>
  <si>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</si>
  <si>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</si>
  <si>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</si>
  <si>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</si>
  <si>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</si>
  <si>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</si>
  <si>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</si>
  <si>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</si>
  <si>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</si>
  <si>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</si>
  <si>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</si>
  <si>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</si>
  <si>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</si>
  <si>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</si>
  <si>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</si>
  <si>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</si>
  <si>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</si>
  <si>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</si>
  <si>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</si>
  <si>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</si>
  <si>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</si>
  <si>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</si>
  <si>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</si>
  <si>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</si>
  <si>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</si>
  <si>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</si>
  <si>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</si>
  <si>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</si>
  <si>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</si>
  <si>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</si>
  <si>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</si>
  <si>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</si>
  <si>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</si>
  <si>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</si>
  <si>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</si>
  <si>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</si>
  <si>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</si>
  <si>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</si>
  <si>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</si>
  <si>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</si>
  <si>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</si>
  <si>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</si>
  <si>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</si>
  <si>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</si>
  <si>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</si>
  <si>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</si>
  <si>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</si>
  <si>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</si>
  <si>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</si>
  <si>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</si>
  <si>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</si>
  <si>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</si>
  <si>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</si>
  <si>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</si>
  <si>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</si>
  <si>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</si>
  <si>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</si>
  <si>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</si>
  <si>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</si>
  <si>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</si>
  <si>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</si>
  <si>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</si>
  <si>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</si>
  <si>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</si>
  <si>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</si>
  <si>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</si>
  <si>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</si>
  <si>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</si>
  <si>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</si>
  <si>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</si>
  <si>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</si>
  <si>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</si>
  <si>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</si>
  <si>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</si>
  <si>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</si>
  <si>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</si>
  <si>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</si>
  <si>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</si>
  <si>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</si>
  <si>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</si>
  <si>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</si>
  <si>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</si>
  <si>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</si>
  <si>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</si>
  <si>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</si>
  <si>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</si>
  <si>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</si>
  <si>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</si>
  <si>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</si>
  <si>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</si>
  <si>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</si>
  <si>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</si>
  <si>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</si>
  <si>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</si>
  <si>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</si>
  <si>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</si>
  <si>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</si>
  <si>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</si>
  <si>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</si>
  <si>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</si>
  <si>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</si>
  <si>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</si>
  <si>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</si>
  <si>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</si>
  <si>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</si>
  <si>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</si>
  <si>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</si>
  <si>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</si>
  <si>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</si>
  <si>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</si>
  <si>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</si>
  <si>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</si>
  <si>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</si>
  <si>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</si>
  <si>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</si>
  <si>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</si>
  <si>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</si>
  <si>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</si>
  <si>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</si>
  <si>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</si>
  <si>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</si>
  <si>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</si>
  <si>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</si>
  <si>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</si>
  <si>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</si>
  <si>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</si>
  <si>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</si>
  <si>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</si>
  <si>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</si>
  <si>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</si>
  <si>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</si>
  <si>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</si>
  <si>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</si>
  <si>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</si>
  <si>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</si>
  <si>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</si>
  <si>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</si>
  <si>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</si>
  <si>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</si>
  <si>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</si>
  <si>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</si>
  <si>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</si>
  <si>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</si>
  <si>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</si>
  <si>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</si>
  <si>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</si>
  <si>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</si>
  <si>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</si>
  <si>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</si>
  <si>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</si>
  <si>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</si>
  <si>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</si>
  <si>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</si>
  <si>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</si>
  <si>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</si>
  <si>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</si>
  <si>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</si>
  <si>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</si>
  <si>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</si>
  <si>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</si>
  <si>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</si>
  <si>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</si>
  <si>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</si>
  <si>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</si>
  <si>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</si>
  <si>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</si>
  <si>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</si>
  <si>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</si>
  <si>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</si>
  <si>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</si>
  <si>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</si>
  <si>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</si>
  <si>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</si>
  <si>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</si>
  <si>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</si>
  <si>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</si>
  <si>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</si>
  <si>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</si>
  <si>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</si>
  <si>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</si>
  <si>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</si>
  <si>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</si>
  <si>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</si>
  <si>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</si>
  <si>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</si>
  <si>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</si>
  <si>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</si>
  <si>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</si>
  <si>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</si>
  <si>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</si>
  <si>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</si>
  <si>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</si>
  <si>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</si>
  <si>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</si>
  <si>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</si>
  <si>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</si>
  <si>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</si>
  <si>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</si>
  <si>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</si>
  <si>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</si>
  <si>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</si>
  <si>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</si>
  <si>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</si>
  <si>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</si>
  <si>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</si>
  <si>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</si>
  <si>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</si>
  <si>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</si>
  <si>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</si>
  <si>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</si>
  <si>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</si>
  <si>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</si>
  <si>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</si>
  <si>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</si>
  <si>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</si>
  <si>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</si>
  <si>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</si>
  <si>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</si>
  <si>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</si>
  <si>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</si>
  <si>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</si>
  <si>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</si>
  <si>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</si>
  <si>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</si>
  <si>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</si>
  <si>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</si>
  <si>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</si>
  <si>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</si>
  <si>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</si>
  <si>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</si>
  <si>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</si>
  <si>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</si>
  <si>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</si>
  <si>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</si>
  <si>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</si>
  <si>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</si>
  <si>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</si>
  <si>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</si>
  <si>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</si>
  <si>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</si>
  <si>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</si>
  <si>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</si>
  <si>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</si>
  <si>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</si>
  <si>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</si>
  <si>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</si>
  <si>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</si>
  <si>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</si>
  <si>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</si>
  <si>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</si>
  <si>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</si>
  <si>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</si>
  <si>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</si>
  <si>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</si>
  <si>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</si>
  <si>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</si>
  <si>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</si>
  <si>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</si>
  <si>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</si>
  <si>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</si>
  <si>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</si>
  <si>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</si>
  <si>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</si>
  <si>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</si>
  <si>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</si>
  <si>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</si>
  <si>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</si>
  <si>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</si>
  <si>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</si>
  <si>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</si>
  <si>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</si>
  <si>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</si>
  <si>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</si>
  <si>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</si>
  <si>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</si>
  <si>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</si>
  <si>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</si>
  <si>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</si>
  <si>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</si>
  <si>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</si>
  <si>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</si>
  <si>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</si>
  <si>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</si>
  <si>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</si>
  <si>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</si>
  <si>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</si>
  <si>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</si>
  <si>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</si>
  <si>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</si>
  <si>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</si>
  <si>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</si>
  <si>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</si>
  <si>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</si>
  <si>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</si>
  <si>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</si>
  <si>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</si>
  <si>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</si>
  <si>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</si>
  <si>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</si>
  <si>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</si>
  <si>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</si>
  <si>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</si>
  <si>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</si>
  <si>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</si>
  <si>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</si>
  <si>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</si>
  <si>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</si>
  <si>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</si>
  <si>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</si>
  <si>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</si>
  <si>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</si>
  <si>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</si>
  <si>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</si>
  <si>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</si>
  <si>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</si>
  <si>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</si>
  <si>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</si>
  <si>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</si>
  <si>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</si>
  <si>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</si>
  <si>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</si>
  <si>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</si>
  <si>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</si>
  <si>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</si>
  <si>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</si>
  <si>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</si>
  <si>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</si>
  <si>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</si>
  <si>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</si>
  <si>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</si>
  <si>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</si>
  <si>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</si>
  <si>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</si>
  <si>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</si>
  <si>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</si>
  <si>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</si>
  <si>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</si>
  <si>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</si>
  <si>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</si>
  <si>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</si>
  <si>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</si>
  <si>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</si>
  <si>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</si>
  <si>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</si>
  <si>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</si>
  <si>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</si>
  <si>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</si>
  <si>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</si>
  <si>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</si>
  <si>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</si>
  <si>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</si>
  <si>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</si>
  <si>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</si>
  <si>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</si>
  <si>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</si>
  <si>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</si>
  <si>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</si>
  <si>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</si>
  <si>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</si>
  <si>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</si>
  <si>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</si>
  <si>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</si>
  <si>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</si>
  <si>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</si>
  <si>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</si>
  <si>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</si>
  <si>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</si>
  <si>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</si>
  <si>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</si>
  <si>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</si>
  <si>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</si>
  <si>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</si>
  <si>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</si>
  <si>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</si>
  <si>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</si>
  <si>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</si>
  <si>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</si>
  <si>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</si>
  <si>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</si>
  <si>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</si>
  <si>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</si>
  <si>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</si>
  <si>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</si>
  <si>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</si>
  <si>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</si>
  <si>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</si>
  <si>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</si>
  <si>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</si>
  <si>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</si>
  <si>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</si>
  <si>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</si>
  <si>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</si>
  <si>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</si>
  <si>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</si>
  <si>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</si>
  <si>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</si>
  <si>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</si>
  <si>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</si>
  <si>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</si>
  <si>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</si>
  <si>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</si>
  <si>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</si>
  <si>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</si>
  <si>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</si>
  <si>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</si>
  <si>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</si>
  <si>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</si>
  <si>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</si>
  <si>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</si>
  <si>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</si>
  <si>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</si>
  <si>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</si>
  <si>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</si>
  <si>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</si>
  <si>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</si>
  <si>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</si>
  <si>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</si>
  <si>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</si>
  <si>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</si>
  <si>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</si>
  <si>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</si>
  <si>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</si>
  <si>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</si>
  <si>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</si>
  <si>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</si>
  <si>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</si>
  <si>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</si>
  <si>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</si>
  <si>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</si>
  <si>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</si>
  <si>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</si>
  <si>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</si>
  <si>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</si>
  <si>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</si>
  <si>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</si>
  <si>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</si>
  <si>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</si>
  <si>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</si>
  <si>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</si>
  <si>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</si>
  <si>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</si>
  <si>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</si>
  <si>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</si>
  <si>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</si>
  <si>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</si>
  <si>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</si>
  <si>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</si>
  <si>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</si>
  <si>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</si>
  <si>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</si>
  <si>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</si>
  <si>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</si>
  <si>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</si>
  <si>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</si>
  <si>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</si>
  <si>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</si>
  <si>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</si>
  <si>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</si>
  <si>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</si>
  <si>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</si>
  <si>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</si>
  <si>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</si>
  <si>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</si>
  <si>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</si>
  <si>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</si>
  <si>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</si>
  <si>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</si>
  <si>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</si>
  <si>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</si>
  <si>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</si>
  <si>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</si>
  <si>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</si>
  <si>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</si>
  <si>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</si>
  <si>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</si>
  <si>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</si>
  <si>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</si>
  <si>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</si>
  <si>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</si>
  <si>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</si>
  <si>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</si>
  <si>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</si>
  <si>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</si>
  <si>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</si>
  <si>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</si>
  <si>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</si>
  <si>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</si>
  <si>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</si>
  <si>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</si>
  <si>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</si>
  <si>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</si>
  <si>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</si>
  <si>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</si>
  <si>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</si>
  <si>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</si>
  <si>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</si>
  <si>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</si>
  <si>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</si>
  <si>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</si>
  <si>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</si>
  <si>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</si>
  <si>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</si>
  <si>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</si>
  <si>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</si>
  <si>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</si>
  <si>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</si>
  <si>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</si>
  <si>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</si>
  <si>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</si>
  <si>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</si>
  <si>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</si>
  <si>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</si>
  <si>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</si>
  <si>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</si>
  <si>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</si>
  <si>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</si>
  <si>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</si>
  <si>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</si>
  <si>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</si>
  <si>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</si>
  <si>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</si>
  <si>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</si>
  <si>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</si>
  <si>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</si>
  <si>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</si>
  <si>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</si>
  <si>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</si>
  <si>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</si>
  <si>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</si>
  <si>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</si>
  <si>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</si>
  <si>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</si>
  <si>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</si>
  <si>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</si>
  <si>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</si>
  <si>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</si>
  <si>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</si>
  <si>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</si>
  <si>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</si>
  <si>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</si>
  <si>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</si>
  <si>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</si>
  <si>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</si>
  <si>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</si>
  <si>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</si>
  <si>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</si>
  <si>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</si>
  <si>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</si>
  <si>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</si>
  <si>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</si>
  <si>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</si>
  <si>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</si>
  <si>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</si>
  <si>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</si>
  <si>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</si>
  <si>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</si>
  <si>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</si>
  <si>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</si>
  <si>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</si>
  <si>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</si>
  <si>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</si>
  <si>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</si>
  <si>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</si>
  <si>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</si>
  <si>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</si>
  <si>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</si>
  <si>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</si>
  <si>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</si>
  <si>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</si>
  <si>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</si>
  <si>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</si>
  <si>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</si>
  <si>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</si>
  <si>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</si>
  <si>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</si>
  <si>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</si>
  <si>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</si>
  <si>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</si>
  <si>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</si>
  <si>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</si>
  <si>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</si>
  <si>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</si>
  <si>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</si>
  <si>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</si>
  <si>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</si>
  <si>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</si>
  <si>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</si>
  <si>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</si>
  <si>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</si>
  <si>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</si>
  <si>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</si>
  <si>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</si>
  <si>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</si>
  <si>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</si>
  <si>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</si>
  <si>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</si>
  <si>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</si>
  <si>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</si>
  <si>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</si>
  <si>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</si>
  <si>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</si>
  <si>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</si>
  <si>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</si>
  <si>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</si>
  <si>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</si>
  <si>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</si>
  <si>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</si>
  <si>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</si>
  <si>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</si>
  <si>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</si>
  <si>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</si>
  <si>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</si>
  <si>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</si>
  <si>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</si>
  <si>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</si>
  <si>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</si>
  <si>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</si>
  <si>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</si>
  <si>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</si>
  <si>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</si>
  <si>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</si>
  <si>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</si>
  <si>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</si>
  <si>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</si>
  <si>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</si>
  <si>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</si>
  <si>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</si>
  <si>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</si>
  <si>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</si>
  <si>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</si>
  <si>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</si>
  <si>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</si>
  <si>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</si>
  <si>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</si>
  <si>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</si>
  <si>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</si>
  <si>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</si>
  <si>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</si>
  <si>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</si>
  <si>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</si>
  <si>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</si>
  <si>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</si>
  <si>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</si>
  <si>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</si>
  <si>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</si>
  <si>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</si>
  <si>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</si>
  <si>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</si>
  <si>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</si>
  <si>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</si>
  <si>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</si>
  <si>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</si>
  <si>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</si>
  <si>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</si>
  <si>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</si>
  <si>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</si>
  <si>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</si>
  <si>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</si>
  <si>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</si>
  <si>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</si>
  <si>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</si>
  <si>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</si>
  <si>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</si>
  <si>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</si>
  <si>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</si>
  <si>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</si>
  <si>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</si>
  <si>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</si>
  <si>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</si>
  <si>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</si>
  <si>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</si>
  <si>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</si>
  <si>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</si>
  <si>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</si>
  <si>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</si>
  <si>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</si>
  <si>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</si>
  <si>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</si>
  <si>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</si>
  <si>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</si>
  <si>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</si>
  <si>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</si>
  <si>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</si>
  <si>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</si>
  <si>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</si>
  <si>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</si>
  <si>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</si>
  <si>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</si>
  <si>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</si>
  <si>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</si>
  <si>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</si>
  <si>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</si>
  <si>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</si>
  <si>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</si>
  <si>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</si>
  <si>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</si>
  <si>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</si>
  <si>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</si>
  <si>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</si>
  <si>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</si>
  <si>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</si>
  <si>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</si>
  <si>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</si>
  <si>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</si>
  <si>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</si>
  <si>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</si>
  <si>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</si>
  <si>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</si>
  <si>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</si>
  <si>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</si>
  <si>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</si>
  <si>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</si>
  <si>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</si>
  <si>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</si>
  <si>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</si>
  <si>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</si>
  <si>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</si>
  <si>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</si>
  <si>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</si>
  <si>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</si>
  <si>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</si>
  <si>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</si>
  <si>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</si>
  <si>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</si>
  <si>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</si>
  <si>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</si>
  <si>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</si>
  <si>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</si>
  <si>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</si>
  <si>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</si>
  <si>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</si>
  <si>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</si>
  <si>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</si>
  <si>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</si>
  <si>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</si>
  <si>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</si>
  <si>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</si>
  <si>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</si>
  <si>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</si>
  <si>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</si>
  <si>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</si>
  <si>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</si>
  <si>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</si>
  <si>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</si>
  <si>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</si>
  <si>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</si>
  <si>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</si>
  <si>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</si>
  <si>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</si>
  <si>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</si>
  <si>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</si>
  <si>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</si>
  <si>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</si>
  <si>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</si>
  <si>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</si>
  <si>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</si>
  <si>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</si>
  <si>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</si>
  <si>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</si>
  <si>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</si>
  <si>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</si>
  <si>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</si>
  <si>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</si>
  <si>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</si>
  <si>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</si>
  <si>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</si>
  <si>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</si>
  <si>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</si>
  <si>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</si>
  <si>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</si>
  <si>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</si>
  <si>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</si>
  <si>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</si>
  <si>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</si>
  <si>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</si>
  <si>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</si>
  <si>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</si>
  <si>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</si>
  <si>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</si>
  <si>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</si>
  <si>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</si>
  <si>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</si>
  <si>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</si>
  <si>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</si>
  <si>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</si>
  <si>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</si>
  <si>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</si>
  <si>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</si>
  <si>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</si>
  <si>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</si>
  <si>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</si>
  <si>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</si>
  <si>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</si>
  <si>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</si>
  <si>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</si>
  <si>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</si>
  <si>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</si>
  <si>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</si>
  <si>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</si>
  <si>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</si>
  <si>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</si>
  <si>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</si>
  <si>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</si>
  <si>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</si>
  <si>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</si>
  <si>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</si>
  <si>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</si>
  <si>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</si>
  <si>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</si>
  <si>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</si>
  <si>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</si>
  <si>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</si>
  <si>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</si>
  <si>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</si>
  <si>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</si>
  <si>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</si>
  <si>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</si>
  <si>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</si>
  <si>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</si>
  <si>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</si>
  <si>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</si>
  <si>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</si>
  <si>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</si>
  <si>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</si>
  <si>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Coffee Type</t>
  </si>
  <si>
    <t>Roast Type</t>
  </si>
  <si>
    <t>Size</t>
  </si>
  <si>
    <t>Unit Price</t>
  </si>
  <si>
    <t>Price per 100g</t>
  </si>
  <si>
    <t>Profit</t>
  </si>
  <si>
    <t>Ara</t>
  </si>
  <si>
    <t>L</t>
  </si>
  <si>
    <t>M</t>
  </si>
  <si>
    <t>D</t>
  </si>
  <si>
    <t>Rob</t>
  </si>
  <si>
    <t>Lib</t>
  </si>
  <si>
    <t>Exc</t>
  </si>
  <si>
    <t>customerName</t>
  </si>
  <si>
    <t>C-email</t>
  </si>
  <si>
    <t>country</t>
  </si>
  <si>
    <t>Coffee type</t>
  </si>
  <si>
    <t>Roast type</t>
  </si>
  <si>
    <t xml:space="preserve">Size </t>
  </si>
  <si>
    <t>sale</t>
  </si>
  <si>
    <t>Coffee Type Name</t>
  </si>
  <si>
    <t>Rost Type Name</t>
  </si>
  <si>
    <t>Loyality Card</t>
  </si>
  <si>
    <t>Row Labels</t>
  </si>
  <si>
    <t>Grand Total</t>
  </si>
  <si>
    <t>Column Labels</t>
  </si>
  <si>
    <t>Arasbica</t>
  </si>
  <si>
    <t>Excelsa</t>
  </si>
  <si>
    <t>Liberica</t>
  </si>
  <si>
    <t>Robusta</t>
  </si>
  <si>
    <t>Sum of sale</t>
  </si>
  <si>
    <t>2019</t>
  </si>
  <si>
    <t>2020</t>
  </si>
  <si>
    <t>2021</t>
  </si>
  <si>
    <t>2022</t>
  </si>
  <si>
    <t>years</t>
  </si>
  <si>
    <t>Which country thas highest number of customer?</t>
  </si>
  <si>
    <t>Count of Customer ID</t>
  </si>
  <si>
    <t>Q1 . How many customers hold a loyalty card?</t>
  </si>
  <si>
    <t>Customer Distribution (%)</t>
  </si>
  <si>
    <t>R-type</t>
  </si>
  <si>
    <t>Q2 . Most popular coffee type (by quantity)</t>
  </si>
  <si>
    <t>Q3 . Which roast type generates the highest profit?</t>
  </si>
  <si>
    <t>Q4 . Top-selling product by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</si>
</sst>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164" formatCode="0.0"/>
    <numFmt numFmtId="165" formatCode="_ [$₹-4009]\ * #,##0.00_ ;_ [$₹-4009]\ * \-#,##0.00_ ;_ [$₹-4009]\ * &quot;-&quot;??_ ;_ @_ "/>
    <numFmt numFmtId="166" formatCode="0.0&quot;kg&quot;"/>
    <numFmt numFmtId="167" formatCode="dd\-mmm\-yyyy"/>
    <numFmt numFmtId="168" formatCode="_-[$$-409]* #,##0.00_ ;_-[$$-409]* \-#,##0.00\ ;_-[$$-409]* &quot;-&quot;??_ ;_-@_ "/>
    <numFmt numFmtId="169" formatCode="_-[$$-409]* #,##0_ ;_-[$$-409]* \-#,##0\ ;_-[$$-409]* &quot;-&quot;??_ ;_-@_ "/>
  </numFmts>
  <fonts count="3" x14ac:knownFonts="1">
    <font>
      <sz val="11"/>
      <color theme="1"/>
      <name val="Calibri"/>
      <family val="2"/>
      <scheme val="minor"/>
    </font>
    <font>
      <sz val="11"/>
      <color theme="1"/>
      <name val="Calibri"/>
      <family val="2"/>
      <scheme val="minor"/>
    </font>
    <font>
      <sz val="11"/>
      <color indexed="8"/>
      <name val="Calibri"/>
      <family val="2"/>
    </font>
  </fonts>
  <fills count="6">
    <fill>
      <patternFill patternType="none"/>
    </fill>
    <fill>
      <patternFill patternType="gray125"/>
    </fill>
    <fill>
      <patternFill patternType="solid">
        <fgColor theme="4" tint="0.59999389629810485"/>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theme="3" tint="0.79998168889431442"/>
        <bgColor indexed="64"/>
      </patternFill>
    </fill>
  </fills>
  <borders count="3">
    <border>
      <left/>
      <right/>
      <top/>
      <bottom/>
      <diagonal/>
    </border>
    <border>
      <left/>
      <right/>
      <top style="thin">
        <color theme="8"/>
      </top>
      <bottom/>
      <diagonal/>
    </border>
    <border>
      <left/>
      <right/>
      <top style="thin">
        <color theme="8"/>
      </top>
      <bottom style="thin">
        <color theme="8"/>
      </bottom>
      <diagonal/>
    </border>
  </borders>
  <cellStyleXfs count="2">
    <xf numFmtId="0" fontId="0" fillId="0" borderId="0"/>
    <xf numFmtId="44" fontId="1" fillId="0" borderId="0" applyFont="0" applyFill="0" applyBorder="0" applyAlignment="0" applyProtection="0"/>
  </cellStyleXfs>
  <cellXfs count="17">
    <xf numFmtId="0" fontId="0" fillId="0" borderId="0" xfId="0"/>
    <xf numFmtId="0" fontId="2" fillId="0" borderId="0" xfId="0" applyFont="1" applyAlignment="1">
      <alignment vertical="center"/>
    </xf>
    <xf numFmtId="164" fontId="0" fillId="0" borderId="0" xfId="0" applyNumberFormat="1"/>
    <xf numFmtId="0" fontId="2" fillId="2" borderId="0" xfId="0" applyFont="1" applyFill="1" applyAlignment="1">
      <alignment vertical="center"/>
    </xf>
    <xf numFmtId="0" fontId="0" fillId="3" borderId="0" xfId="0" applyFill="1"/>
    <xf numFmtId="0" fontId="0" fillId="4" borderId="0" xfId="0" applyFill="1"/>
    <xf numFmtId="165" fontId="0" fillId="0" borderId="0" xfId="0" applyNumberFormat="1"/>
    <xf numFmtId="44" fontId="0" fillId="0" borderId="0" xfId="1" applyFont="1"/>
    <xf numFmtId="166" fontId="0" fillId="0" borderId="0" xfId="0" applyNumberFormat="1"/>
    <xf numFmtId="0" fontId="0" fillId="0" borderId="0" xfId="0" pivotButton="1"/>
    <xf numFmtId="0" fontId="0" fillId="0" borderId="0" xfId="0" applyAlignment="1">
      <alignment horizontal="left"/>
    </xf>
    <xf numFmtId="167" fontId="2" fillId="0" borderId="1" xfId="0" applyNumberFormat="1" applyFont="1" applyBorder="1" applyAlignment="1">
      <alignment vertical="center"/>
    </xf>
    <xf numFmtId="167" fontId="2" fillId="0" borderId="2" xfId="0" applyNumberFormat="1" applyFont="1" applyBorder="1" applyAlignment="1">
      <alignment vertical="center"/>
    </xf>
    <xf numFmtId="168" fontId="0" fillId="0" borderId="0" xfId="0" applyNumberFormat="1"/>
    <xf numFmtId="169" fontId="0" fillId="0" borderId="0" xfId="0" applyNumberFormat="1"/>
    <xf numFmtId="10" fontId="0" fillId="0" borderId="0" xfId="0" applyNumberFormat="1"/>
    <xf numFmtId="0" fontId="0" fillId="5" borderId="0" xfId="0" applyFill="1"/>
  </cellXfs>
  <cellStyles count="2">
    <cellStyle name="Currency" xfId="1" builtinId="4"/>
    <cellStyle name="Normal" xfId="0" builtinId="0"/>
  </cellStyles>
  <dxfs count="9">
    <dxf>
      <numFmt numFmtId="14" formatCode="0.00%"/>
    </dxf>
    <dxf>
      <numFmt numFmtId="169" formatCode="_-[$$-409]* #,##0_ ;_-[$$-409]* \-#,##0\ ;_-[$$-409]* &quot;-&quot;??_ ;_-@_ "/>
    </dxf>
    <dxf>
      <numFmt numFmtId="168" formatCode="_-[$$-409]* #,##0.00_ ;_-[$$-409]* \-#,##0.00\ ;_-[$$-409]* &quot;-&quot;??_ ;_-@_ "/>
    </dxf>
    <dxf>
      <numFmt numFmtId="168" formatCode="_-[$$-409]* #,##0.00_ ;_-[$$-409]* \-#,##0.00\ ;_-[$$-409]* &quot;-&quot;??_ ;_-@_ "/>
    </dxf>
    <dxf>
      <numFmt numFmtId="168" formatCode="_-[$$-409]* #,##0.00_ ;_-[$$-409]* \-#,##0.00\ ;_-[$$-409]* &quot;-&quot;??_ ;_-@_ "/>
    </dxf>
    <dxf>
      <font>
        <color theme="0"/>
      </font>
      <fill>
        <patternFill>
          <bgColor theme="1"/>
        </patternFill>
      </fill>
    </dxf>
    <dxf>
      <font>
        <color theme="4" tint="-0.24994659260841701"/>
      </font>
      <fill>
        <patternFill>
          <bgColor theme="1" tint="0.14996795556505021"/>
        </patternFill>
      </fill>
    </dxf>
    <dxf>
      <fill>
        <patternFill>
          <bgColor theme="1" tint="0.14996795556505021"/>
        </patternFill>
      </fill>
    </dxf>
    <dxf>
      <font>
        <u/>
        <color theme="0"/>
      </font>
      <fill>
        <patternFill>
          <bgColor theme="1"/>
        </patternFill>
      </fill>
    </dxf>
  </dxfs>
  <tableStyles count="4" defaultTableStyle="TableStyleMedium2" defaultPivotStyle="PivotStyleLight16">
    <tableStyle name="Slicer Style 1" pivot="0" table="0" count="1" xr9:uid="{A8D2A7F3-678B-4133-AEF2-15618248A414}"/>
    <tableStyle name="Slicer Style 2" pivot="0" table="0" count="1" xr9:uid="{E647A798-A21B-4BDC-98F0-F7B6CBDD3525}">
      <tableStyleElement type="wholeTable" dxfId="8"/>
    </tableStyle>
    <tableStyle name="Slicer Style 3" pivot="0" table="0" count="1" xr9:uid="{0FFD01B8-AA06-4F7B-B0A5-1130BB080928}">
      <tableStyleElement type="wholeTable" dxfId="7"/>
    </tableStyle>
    <tableStyle name="Slicer Style 4" pivot="0" table="0" count="4" xr9:uid="{7585F423-1ECB-4DFE-9565-4ADFF9604434}">
      <tableStyleElement type="wholeTable" dxfId="6"/>
      <tableStyleElement type="headerRow" dxfId="5"/>
    </tableStyle>
  </tableStyles>
  <extLst>
    <ext xmlns:x14="http://schemas.microsoft.com/office/spreadsheetml/2009/9/main" uri="{46F421CA-312F-682f-3DD2-61675219B42D}">
      <x14:dxfs count="3">
        <dxf>
          <fill>
            <patternFill>
              <bgColor theme="4" tint="0.59996337778862885"/>
            </patternFill>
          </fill>
        </dxf>
        <dxf>
          <font>
            <color theme="4" tint="0.39994506668294322"/>
          </font>
          <border>
            <left style="thin">
              <color auto="1"/>
            </left>
            <right style="thin">
              <color auto="1"/>
            </right>
            <top style="thin">
              <color auto="1"/>
            </top>
            <bottom style="thin">
              <color auto="1"/>
            </bottom>
          </border>
        </dxf>
        <dxf>
          <font>
            <color theme="1" tint="0.24994659260841701"/>
          </font>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2"/>
          </x14:slicerStyleElements>
        </x14:slicerStyle>
        <x14:slicerStyle name="Slicer Style 2"/>
        <x14:slicerStyle name="Slicer Style 3"/>
        <x14:slicerStyle name="Slicer Style 4">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analysis.xlsx]Top 10 Customers!PivotTable3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10 Customers'!$A$4:$A$8</c:f>
              <c:strCache>
                <c:ptCount val="5"/>
                <c:pt idx="0">
                  <c:v>Allis Wilmore</c:v>
                </c:pt>
                <c:pt idx="1">
                  <c:v>Brenn Dundredge</c:v>
                </c:pt>
                <c:pt idx="2">
                  <c:v>Terri Farra</c:v>
                </c:pt>
                <c:pt idx="3">
                  <c:v>Nealson Cuttler</c:v>
                </c:pt>
                <c:pt idx="4">
                  <c:v>Don Flintiff</c:v>
                </c:pt>
              </c:strCache>
            </c:strRef>
          </c:cat>
          <c:val>
            <c:numRef>
              <c:f>'Top 10 Customers'!$B$4:$B$8</c:f>
              <c:numCache>
                <c:formatCode>_-[$$-409]* #,##0.00_ ;_-[$$-409]* \-#,##0.00\ ;_-[$$-409]* "-"??_ ;_-@_ </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1-C26E-4DB5-AA2C-A4A84454DC81}"/>
            </c:ext>
          </c:extLst>
        </c:ser>
        <c:dLbls>
          <c:dLblPos val="inEnd"/>
          <c:showLegendKey val="0"/>
          <c:showVal val="1"/>
          <c:showCatName val="0"/>
          <c:showSerName val="0"/>
          <c:showPercent val="0"/>
          <c:showBubbleSize val="0"/>
        </c:dLbls>
        <c:gapWidth val="65"/>
        <c:axId val="2025642575"/>
        <c:axId val="2025643823"/>
      </c:barChart>
      <c:catAx>
        <c:axId val="202564257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Customer names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25643823"/>
        <c:crosses val="autoZero"/>
        <c:auto val="1"/>
        <c:lblAlgn val="ctr"/>
        <c:lblOffset val="100"/>
        <c:noMultiLvlLbl val="0"/>
      </c:catAx>
      <c:valAx>
        <c:axId val="202564382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Sum of 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564257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analysis.xlsx]TS- Country!PivotTable4</c:name>
    <c:fmtId val="0"/>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Total sales Acording to the country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'TS- Country'!$B$3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'TS- Country'!$A$4:$A$7</c:f>
              <c:strCache>
                <c:ptCount val="3"/>
                <c:pt idx="0">
                  <c:v>United States</c:v>
                </c:pt>
                <c:pt idx="1">
                  <c:v>Ireland</c:v>
                </c:pt>
                <c:pt idx="2">
                  <c:v>United Kingdom</c:v>
                </c:pt>
              </c:strCache>
            </c:strRef>
          </c:cat>
          <c:val>
            <c:numRef>
              <c:f>'TS- Country'!$B$4:$B$7</c:f>
              <c:numCache>
                <c:formatCode>_-[$$-409]* #,##0.00_ ;_-[$$-409]* \-#,##0.00\ ;_-[$$-409]* "-"??_ ;_-@_ </c:formatCode>
                <c:ptCount val="3"/>
                <c:pt idx="0">
                  <c:v>35638.88499999998</c:v>
                </c:pt>
                <c:pt idx="1">
                  <c:v>6696.8649999999989</c:v>
                </c:pt>
                <c:pt idx="2">
                  <c:v>2798.5050000000001</c:v>
                </c:pt>
              </c:numCache>
            </c:numRef>
          </c:val>
          <c:extLst>
            <c:ext xmlns:c16="http://schemas.microsoft.com/office/drawing/2014/chart" uri="{C3380CC4-5D6E-409C-BE32-E72D297353CC}">
              <c16:uniqueId val="{00000000-5058-46A8-9790-E32BCF080494}"/>
            </c:ext>
          </c:extLst>
        </c:ser>
        <c:dLbls>
          <c:dLblPos val="inEnd"/>
          <c:showLegendKey val="0"/>
          <c:showVal val="1"/>
          <c:showCatName val="0"/>
          <c:showSerName val="0"/>
          <c:showPercent val="0"/>
          <c:showBubbleSize val="0"/>
        </c:dLbls>
        <c:gapWidth val="41"/>
        <c:axId val="262738352"/>
        <c:axId val="262741680"/>
      </c:barChart>
      <c:catAx>
        <c:axId val="26273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62741680"/>
        <c:crosses val="autoZero"/>
        <c:auto val="1"/>
        <c:lblAlgn val="ctr"/>
        <c:lblOffset val="100"/>
        <c:noMultiLvlLbl val="0"/>
      </c:catAx>
      <c:valAx>
        <c:axId val="262741680"/>
        <c:scaling>
          <c:orientation val="minMax"/>
        </c:scaling>
        <c:delete val="1"/>
        <c:axPos val="l"/>
        <c:numFmt formatCode="_-[$$-409]* #,##0.00_ ;_-[$$-409]* \-#,##0.00\ ;_-[$$-409]* &quot;-&quot;??_ ;_-@_ " sourceLinked="1"/>
        <c:majorTickMark val="none"/>
        <c:minorTickMark val="none"/>
        <c:tickLblPos val="nextTo"/>
        <c:crossAx val="2627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according to the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1-5CD0-46AA-AFD8-5EDD00BD77C3}"/>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2-5CD0-46AA-AFD8-5EDD00BD77C3}"/>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3-5CD0-46AA-AFD8-5EDD00BD77C3}"/>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4-5CD0-46AA-AFD8-5EDD00BD77C3}"/>
            </c:ext>
          </c:extLst>
        </c:ser>
        <c:dLbls>
          <c:showLegendKey val="0"/>
          <c:showVal val="0"/>
          <c:showCatName val="0"/>
          <c:showSerName val="0"/>
          <c:showPercent val="0"/>
          <c:showBubbleSize val="0"/>
        </c:dLbls>
        <c:gapWidth val="219"/>
        <c:overlap val="-27"/>
        <c:axId val="263115344"/>
        <c:axId val="263119504"/>
      </c:barChart>
      <c:catAx>
        <c:axId val="2631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9504"/>
        <c:crosses val="autoZero"/>
        <c:auto val="1"/>
        <c:lblAlgn val="ctr"/>
        <c:lblOffset val="100"/>
        <c:noMultiLvlLbl val="0"/>
      </c:catAx>
      <c:valAx>
        <c:axId val="26311950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23403324584427"/>
          <c:y val="0.2572178477690289"/>
          <c:w val="0.59732152230971125"/>
          <c:h val="0.65853091280256637"/>
        </c:manualLayout>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0-B104-4EA4-86CC-A9B4E4FF8623}"/>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1-B104-4EA4-86CC-A9B4E4FF8623}"/>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2-B104-4EA4-86CC-A9B4E4FF8623}"/>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3-B104-4EA4-86CC-A9B4E4FF8623}"/>
            </c:ext>
          </c:extLst>
        </c:ser>
        <c:dLbls>
          <c:showLegendKey val="0"/>
          <c:showVal val="0"/>
          <c:showCatName val="0"/>
          <c:showSerName val="0"/>
          <c:showPercent val="0"/>
          <c:showBubbleSize val="0"/>
        </c:dLbls>
        <c:gapWidth val="219"/>
        <c:overlap val="-27"/>
        <c:axId val="1561783663"/>
        <c:axId val="1561785327"/>
      </c:barChart>
      <c:catAx>
        <c:axId val="156178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785327"/>
        <c:crosses val="autoZero"/>
        <c:auto val="1"/>
        <c:lblAlgn val="ctr"/>
        <c:lblOffset val="100"/>
        <c:noMultiLvlLbl val="0"/>
      </c:catAx>
      <c:valAx>
        <c:axId val="156178532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78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analysis.xlsx]noof_cust_country!PivotTable5</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Customer Distribution by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noof_cust_country!$B$3</c:f>
              <c:strCache>
                <c:ptCount val="1"/>
                <c:pt idx="0">
                  <c:v>Count of Customer 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8E5-4C07-8E6A-88D36CBC5A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8E5-4C07-8E6A-88D36CBC5AB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8E5-4C07-8E6A-88D36CBC5AB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noof_cust_country!$B$4:$B$6</c:f>
              <c:numCache>
                <c:formatCode>General</c:formatCode>
                <c:ptCount val="3"/>
                <c:pt idx="0">
                  <c:v>774</c:v>
                </c:pt>
                <c:pt idx="1">
                  <c:v>153</c:v>
                </c:pt>
                <c:pt idx="2">
                  <c:v>73</c:v>
                </c:pt>
              </c:numCache>
            </c:numRef>
          </c:val>
          <c:extLst>
            <c:ext xmlns:c16="http://schemas.microsoft.com/office/drawing/2014/chart" uri="{C3380CC4-5D6E-409C-BE32-E72D297353CC}">
              <c16:uniqueId val="{0000000D-9B1D-4BAF-BF00-3D0497E4E6BA}"/>
            </c:ext>
          </c:extLst>
        </c:ser>
        <c:ser>
          <c:idx val="1"/>
          <c:order val="1"/>
          <c:tx>
            <c:strRef>
              <c:f>noof_cust_country!$C$3</c:f>
              <c:strCache>
                <c:ptCount val="1"/>
                <c:pt idx="0">
                  <c:v>Customer Distribution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8E5-4C07-8E6A-88D36CBC5A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E8E5-4C07-8E6A-88D36CBC5AB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E8E5-4C07-8E6A-88D36CBC5AB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noof_cust_country!$C$4:$C$6</c:f>
              <c:numCache>
                <c:formatCode>0.00%</c:formatCode>
                <c:ptCount val="3"/>
                <c:pt idx="0">
                  <c:v>0.77400000000000002</c:v>
                </c:pt>
                <c:pt idx="1">
                  <c:v>0.153</c:v>
                </c:pt>
                <c:pt idx="2">
                  <c:v>7.2999999999999995E-2</c:v>
                </c:pt>
              </c:numCache>
            </c:numRef>
          </c:val>
          <c:extLst>
            <c:ext xmlns:c16="http://schemas.microsoft.com/office/drawing/2014/chart" uri="{C3380CC4-5D6E-409C-BE32-E72D297353CC}">
              <c16:uniqueId val="{0000000E-9B1D-4BAF-BF00-3D0497E4E6B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analysis.xlsx]Top 10 Customers!PivotTable3</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10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10 Customers'!$A$4:$A$8</c:f>
              <c:strCache>
                <c:ptCount val="5"/>
                <c:pt idx="0">
                  <c:v>Allis Wilmore</c:v>
                </c:pt>
                <c:pt idx="1">
                  <c:v>Brenn Dundredge</c:v>
                </c:pt>
                <c:pt idx="2">
                  <c:v>Terri Farra</c:v>
                </c:pt>
                <c:pt idx="3">
                  <c:v>Nealson Cuttler</c:v>
                </c:pt>
                <c:pt idx="4">
                  <c:v>Don Flintiff</c:v>
                </c:pt>
              </c:strCache>
            </c:strRef>
          </c:cat>
          <c:val>
            <c:numRef>
              <c:f>'Top 10 Customers'!$B$4:$B$8</c:f>
              <c:numCache>
                <c:formatCode>_-[$$-409]* #,##0.00_ ;_-[$$-409]* \-#,##0.00\ ;_-[$$-409]* "-"??_ ;_-@_ </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1-F785-4417-974A-8FD0331DEA48}"/>
            </c:ext>
          </c:extLst>
        </c:ser>
        <c:dLbls>
          <c:dLblPos val="inEnd"/>
          <c:showLegendKey val="0"/>
          <c:showVal val="1"/>
          <c:showCatName val="0"/>
          <c:showSerName val="0"/>
          <c:showPercent val="0"/>
          <c:showBubbleSize val="0"/>
        </c:dLbls>
        <c:gapWidth val="65"/>
        <c:axId val="2025642575"/>
        <c:axId val="2025643823"/>
      </c:barChart>
      <c:catAx>
        <c:axId val="202564257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Customer names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25643823"/>
        <c:crosses val="autoZero"/>
        <c:auto val="1"/>
        <c:lblAlgn val="ctr"/>
        <c:lblOffset val="100"/>
        <c:noMultiLvlLbl val="0"/>
      </c:catAx>
      <c:valAx>
        <c:axId val="202564382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Sum of 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564257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analysis.xlsx]TS- Country!PivotTable4</c:name>
    <c:fmtId val="3"/>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Total sales Acording to the country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8228294003636"/>
          <c:y val="0.12851533692291833"/>
          <c:w val="0.69077515310586179"/>
          <c:h val="0.72088764946048411"/>
        </c:manualLayout>
      </c:layout>
      <c:barChart>
        <c:barDir val="col"/>
        <c:grouping val="clustered"/>
        <c:varyColors val="0"/>
        <c:ser>
          <c:idx val="0"/>
          <c:order val="0"/>
          <c:tx>
            <c:strRef>
              <c:f>'TS- Country'!$B$3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'TS- Country'!$A$4:$A$7</c:f>
              <c:strCache>
                <c:ptCount val="3"/>
                <c:pt idx="0">
                  <c:v>United States</c:v>
                </c:pt>
                <c:pt idx="1">
                  <c:v>Ireland</c:v>
                </c:pt>
                <c:pt idx="2">
                  <c:v>United Kingdom</c:v>
                </c:pt>
              </c:strCache>
            </c:strRef>
          </c:cat>
          <c:val>
            <c:numRef>
              <c:f>'TS- Country'!$B$4:$B$7</c:f>
              <c:numCache>
                <c:formatCode>_-[$$-409]* #,##0.00_ ;_-[$$-409]* \-#,##0.00\ ;_-[$$-409]* "-"??_ ;_-@_ </c:formatCode>
                <c:ptCount val="3"/>
                <c:pt idx="0">
                  <c:v>35638.88499999998</c:v>
                </c:pt>
                <c:pt idx="1">
                  <c:v>6696.8649999999989</c:v>
                </c:pt>
                <c:pt idx="2">
                  <c:v>2798.5050000000001</c:v>
                </c:pt>
              </c:numCache>
            </c:numRef>
          </c:val>
          <c:extLst>
            <c:ext xmlns:c16="http://schemas.microsoft.com/office/drawing/2014/chart" uri="{C3380CC4-5D6E-409C-BE32-E72D297353CC}">
              <c16:uniqueId val="{00000000-C1D5-4C10-8DC7-6F839889B691}"/>
            </c:ext>
          </c:extLst>
        </c:ser>
        <c:dLbls>
          <c:dLblPos val="inEnd"/>
          <c:showLegendKey val="0"/>
          <c:showVal val="1"/>
          <c:showCatName val="0"/>
          <c:showSerName val="0"/>
          <c:showPercent val="0"/>
          <c:showBubbleSize val="0"/>
        </c:dLbls>
        <c:gapWidth val="41"/>
        <c:axId val="262738352"/>
        <c:axId val="262741680"/>
      </c:barChart>
      <c:catAx>
        <c:axId val="26273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62741680"/>
        <c:crosses val="autoZero"/>
        <c:auto val="1"/>
        <c:lblAlgn val="ctr"/>
        <c:lblOffset val="100"/>
        <c:noMultiLvlLbl val="0"/>
      </c:catAx>
      <c:valAx>
        <c:axId val="262741680"/>
        <c:scaling>
          <c:orientation val="minMax"/>
        </c:scaling>
        <c:delete val="1"/>
        <c:axPos val="l"/>
        <c:numFmt formatCode="_-[$$-409]* #,##0.00_ ;_-[$$-409]* \-#,##0.00\ ;_-[$$-409]* &quot;-&quot;??_ ;_-@_ " sourceLinked="1"/>
        <c:majorTickMark val="none"/>
        <c:minorTickMark val="none"/>
        <c:tickLblPos val="nextTo"/>
        <c:crossAx val="2627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according to the Year</a:t>
            </a:r>
          </a:p>
        </c:rich>
      </c:tx>
      <c:layout>
        <c:manualLayout>
          <c:xMode val="edge"/>
          <c:yMode val="edge"/>
          <c:x val="0.2563956692913385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706922836546587E-2"/>
          <c:y val="0.14291688444488473"/>
          <c:w val="0.87264021692318561"/>
          <c:h val="0.77992415055107855"/>
        </c:manualLayout>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1-6F6F-42E0-B92E-AA0EDA76F380}"/>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2-6F6F-42E0-B92E-AA0EDA76F380}"/>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3-6F6F-42E0-B92E-AA0EDA76F380}"/>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4-6F6F-42E0-B92E-AA0EDA76F380}"/>
            </c:ext>
          </c:extLst>
        </c:ser>
        <c:dLbls>
          <c:showLegendKey val="0"/>
          <c:showVal val="0"/>
          <c:showCatName val="0"/>
          <c:showSerName val="0"/>
          <c:showPercent val="0"/>
          <c:showBubbleSize val="0"/>
        </c:dLbls>
        <c:gapWidth val="219"/>
        <c:overlap val="-27"/>
        <c:axId val="263115344"/>
        <c:axId val="263119504"/>
      </c:barChart>
      <c:catAx>
        <c:axId val="2631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9504"/>
        <c:crosses val="autoZero"/>
        <c:auto val="1"/>
        <c:lblAlgn val="ctr"/>
        <c:lblOffset val="100"/>
        <c:noMultiLvlLbl val="0"/>
      </c:catAx>
      <c:valAx>
        <c:axId val="26311950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analysis.xlsx]noof_cust_country!PivotTable5</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Customer Distribution by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3"/>
      </c:pivotFmt>
      <c:pivotFmt>
        <c:idx val="4"/>
      </c:pivotFmt>
      <c:pivotFmt>
        <c:idx val="5"/>
      </c:pivotFmt>
      <c:pivotFmt>
        <c:idx val="6"/>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7"/>
      </c:pivotFmt>
      <c:pivotFmt>
        <c:idx val="8"/>
      </c:pivotFmt>
      <c:pivotFmt>
        <c:idx val="9"/>
      </c:pivotFmt>
      <c:pivotFmt>
        <c:idx val="1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3713090987010704"/>
          <c:y val="0.21899796236744412"/>
          <c:w val="0.59057814572735479"/>
          <c:h val="0.75302920564548348"/>
        </c:manualLayout>
      </c:layout>
      <c:pieChart>
        <c:varyColors val="1"/>
        <c:ser>
          <c:idx val="0"/>
          <c:order val="0"/>
          <c:tx>
            <c:strRef>
              <c:f>noof_cust_country!$B$3</c:f>
              <c:strCache>
                <c:ptCount val="1"/>
                <c:pt idx="0">
                  <c:v>Count of Customer 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B846-49F8-A5E6-8D555AD92B9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35C-4F76-9881-FC193961073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35C-4F76-9881-FC19396107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noof_cust_country!$B$4:$B$6</c:f>
              <c:numCache>
                <c:formatCode>General</c:formatCode>
                <c:ptCount val="3"/>
                <c:pt idx="0">
                  <c:v>774</c:v>
                </c:pt>
                <c:pt idx="1">
                  <c:v>153</c:v>
                </c:pt>
                <c:pt idx="2">
                  <c:v>73</c:v>
                </c:pt>
              </c:numCache>
            </c:numRef>
          </c:val>
          <c:extLst>
            <c:ext xmlns:c16="http://schemas.microsoft.com/office/drawing/2014/chart" uri="{C3380CC4-5D6E-409C-BE32-E72D297353CC}">
              <c16:uniqueId val="{0000000D-B846-49F8-A5E6-8D555AD92B96}"/>
            </c:ext>
          </c:extLst>
        </c:ser>
        <c:ser>
          <c:idx val="1"/>
          <c:order val="1"/>
          <c:tx>
            <c:strRef>
              <c:f>noof_cust_country!$C$3</c:f>
              <c:strCache>
                <c:ptCount val="1"/>
                <c:pt idx="0">
                  <c:v>Customer Distribution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35C-4F76-9881-FC193961073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535C-4F76-9881-FC193961073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535C-4F76-9881-FC19396107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noof_cust_country!$C$4:$C$6</c:f>
              <c:numCache>
                <c:formatCode>0.00%</c:formatCode>
                <c:ptCount val="3"/>
                <c:pt idx="0">
                  <c:v>0.77400000000000002</c:v>
                </c:pt>
                <c:pt idx="1">
                  <c:v>0.153</c:v>
                </c:pt>
                <c:pt idx="2">
                  <c:v>7.2999999999999995E-2</c:v>
                </c:pt>
              </c:numCache>
            </c:numRef>
          </c:val>
          <c:extLst>
            <c:ext xmlns:c16="http://schemas.microsoft.com/office/drawing/2014/chart" uri="{C3380CC4-5D6E-409C-BE32-E72D297353CC}">
              <c16:uniqueId val="{0000000E-B846-49F8-A5E6-8D555AD92B9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1363980</xdr:colOff>
      <xdr:row>2</xdr:row>
      <xdr:rowOff>7620</xdr:rowOff>
    </xdr:from>
    <xdr:to>
      <xdr:col>7</xdr:col>
      <xdr:colOff>739140</xdr:colOff>
      <xdr:row>24</xdr:row>
      <xdr:rowOff>91440</xdr:rowOff>
    </xdr:to>
    <xdr:graphicFrame macro="">
      <xdr:nvGraphicFramePr>
        <xdr:cNvPr id="2" name="Chart 1">
          <a:extLst>
            <a:ext uri="{FF2B5EF4-FFF2-40B4-BE49-F238E27FC236}">
              <a16:creationId xmlns:a16="http://schemas.microsoft.com/office/drawing/2014/main" id="{4A68408A-9973-448A-B67C-733E7F1F82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388620</xdr:colOff>
      <xdr:row>6</xdr:row>
      <xdr:rowOff>45720</xdr:rowOff>
    </xdr:from>
    <xdr:to>
      <xdr:col>10</xdr:col>
      <xdr:colOff>335280</xdr:colOff>
      <xdr:row>21</xdr:row>
      <xdr:rowOff>45720</xdr:rowOff>
    </xdr:to>
    <xdr:graphicFrame macro="">
      <xdr:nvGraphicFramePr>
        <xdr:cNvPr id="2" name="Chart 1">
          <a:extLst>
            <a:ext uri="{FF2B5EF4-FFF2-40B4-BE49-F238E27FC236}">
              <a16:creationId xmlns:a16="http://schemas.microsoft.com/office/drawing/2014/main" id="{A319941E-C387-4E45-B673-47B3412DCA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426720</xdr:colOff>
      <xdr:row>2</xdr:row>
      <xdr:rowOff>152400</xdr:rowOff>
    </xdr:from>
    <xdr:to>
      <xdr:col>11</xdr:col>
      <xdr:colOff>434340</xdr:colOff>
      <xdr:row>20</xdr:row>
      <xdr:rowOff>60960</xdr:rowOff>
    </xdr:to>
    <xdr:graphicFrame macro="">
      <xdr:nvGraphicFramePr>
        <xdr:cNvPr id="2" name="Chart 1">
          <a:extLst>
            <a:ext uri="{FF2B5EF4-FFF2-40B4-BE49-F238E27FC236}">
              <a16:creationId xmlns:a16="http://schemas.microsoft.com/office/drawing/2014/main" id="{B2140B6C-2C11-4A2A-8B8D-F3860378DF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29</xdr:row>
      <xdr:rowOff>0</xdr:rowOff>
    </xdr:from>
    <xdr:to>
      <xdr:col>10</xdr:col>
      <xdr:colOff>419100</xdr:colOff>
      <xdr:row>29</xdr:row>
      <xdr:rowOff>45719</xdr:rowOff>
    </xdr:to>
    <xdr:graphicFrame macro="">
      <xdr:nvGraphicFramePr>
        <xdr:cNvPr id="3" name="Chart 2">
          <a:extLst>
            <a:ext uri="{FF2B5EF4-FFF2-40B4-BE49-F238E27FC236}">
              <a16:creationId xmlns:a16="http://schemas.microsoft.com/office/drawing/2014/main" id="{5194BE0B-45E2-4589-A4AD-CB38242E97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236220</xdr:colOff>
      <xdr:row>6</xdr:row>
      <xdr:rowOff>41910</xdr:rowOff>
    </xdr:from>
    <xdr:to>
      <xdr:col>10</xdr:col>
      <xdr:colOff>541020</xdr:colOff>
      <xdr:row>21</xdr:row>
      <xdr:rowOff>41910</xdr:rowOff>
    </xdr:to>
    <xdr:graphicFrame macro="">
      <xdr:nvGraphicFramePr>
        <xdr:cNvPr id="2" name="Chart 1">
          <a:extLst>
            <a:ext uri="{FF2B5EF4-FFF2-40B4-BE49-F238E27FC236}">
              <a16:creationId xmlns:a16="http://schemas.microsoft.com/office/drawing/2014/main" id="{B18D101A-2CF9-48E7-9902-A1E54564CB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18143</xdr:colOff>
      <xdr:row>18</xdr:row>
      <xdr:rowOff>63500</xdr:rowOff>
    </xdr:from>
    <xdr:to>
      <xdr:col>13</xdr:col>
      <xdr:colOff>181429</xdr:colOff>
      <xdr:row>33</xdr:row>
      <xdr:rowOff>0</xdr:rowOff>
    </xdr:to>
    <xdr:graphicFrame macro="">
      <xdr:nvGraphicFramePr>
        <xdr:cNvPr id="2" name="Chart 1">
          <a:extLst>
            <a:ext uri="{FF2B5EF4-FFF2-40B4-BE49-F238E27FC236}">
              <a16:creationId xmlns:a16="http://schemas.microsoft.com/office/drawing/2014/main" id="{F9857F6C-A492-4D5B-80E9-3A2DD3A46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154215</xdr:colOff>
      <xdr:row>18</xdr:row>
      <xdr:rowOff>36286</xdr:rowOff>
    </xdr:from>
    <xdr:to>
      <xdr:col>24</xdr:col>
      <xdr:colOff>172358</xdr:colOff>
      <xdr:row>33</xdr:row>
      <xdr:rowOff>9071</xdr:rowOff>
    </xdr:to>
    <xdr:graphicFrame macro="">
      <xdr:nvGraphicFramePr>
        <xdr:cNvPr id="3" name="Chart 2">
          <a:extLst>
            <a:ext uri="{FF2B5EF4-FFF2-40B4-BE49-F238E27FC236}">
              <a16:creationId xmlns:a16="http://schemas.microsoft.com/office/drawing/2014/main" id="{4292BA69-DBA5-4737-B693-557E9274B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172357</xdr:rowOff>
    </xdr:from>
    <xdr:to>
      <xdr:col>13</xdr:col>
      <xdr:colOff>190499</xdr:colOff>
      <xdr:row>18</xdr:row>
      <xdr:rowOff>36287</xdr:rowOff>
    </xdr:to>
    <xdr:graphicFrame macro="">
      <xdr:nvGraphicFramePr>
        <xdr:cNvPr id="4" name="Chart 3">
          <a:extLst>
            <a:ext uri="{FF2B5EF4-FFF2-40B4-BE49-F238E27FC236}">
              <a16:creationId xmlns:a16="http://schemas.microsoft.com/office/drawing/2014/main" id="{201EC3A2-C9A0-4F63-A92B-15A5B7F784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163286</xdr:colOff>
      <xdr:row>3</xdr:row>
      <xdr:rowOff>145142</xdr:rowOff>
    </xdr:from>
    <xdr:to>
      <xdr:col>24</xdr:col>
      <xdr:colOff>172357</xdr:colOff>
      <xdr:row>18</xdr:row>
      <xdr:rowOff>54429</xdr:rowOff>
    </xdr:to>
    <xdr:graphicFrame macro="">
      <xdr:nvGraphicFramePr>
        <xdr:cNvPr id="10" name="Chart 9">
          <a:extLst>
            <a:ext uri="{FF2B5EF4-FFF2-40B4-BE49-F238E27FC236}">
              <a16:creationId xmlns:a16="http://schemas.microsoft.com/office/drawing/2014/main" id="{B6E17D4C-F6D4-40B6-B518-9F4FDFD4F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248505</xdr:colOff>
      <xdr:row>4</xdr:row>
      <xdr:rowOff>15603</xdr:rowOff>
    </xdr:from>
    <xdr:to>
      <xdr:col>27</xdr:col>
      <xdr:colOff>537744</xdr:colOff>
      <xdr:row>11</xdr:row>
      <xdr:rowOff>168268</xdr:rowOff>
    </xdr:to>
    <mc:AlternateContent xmlns:mc="http://schemas.openxmlformats.org/markup-compatibility/2006" xmlns:a14="http://schemas.microsoft.com/office/drawing/2010/main">
      <mc:Choice Requires="a14">
        <xdr:graphicFrame macro="">
          <xdr:nvGraphicFramePr>
            <xdr:cNvPr id="12" name="Years 1">
              <a:extLst>
                <a:ext uri="{FF2B5EF4-FFF2-40B4-BE49-F238E27FC236}">
                  <a16:creationId xmlns:a16="http://schemas.microsoft.com/office/drawing/2014/main" id="{535B2604-9CA1-45A2-8BDE-DDEEF11F9FC0}"/>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mlns="">
        <xdr:sp macro="" textlink="">
          <xdr:nvSpPr>
            <xdr:cNvPr id="0" name=""/>
            <xdr:cNvSpPr>
              <a:spLocks noTextEdit="1"/>
            </xdr:cNvSpPr>
          </xdr:nvSpPr>
          <xdr:spPr>
            <a:xfrm>
              <a:off x="14835362" y="741317"/>
              <a:ext cx="2112596" cy="14226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281214</xdr:colOff>
      <xdr:row>23</xdr:row>
      <xdr:rowOff>6530</xdr:rowOff>
    </xdr:from>
    <xdr:to>
      <xdr:col>27</xdr:col>
      <xdr:colOff>512832</xdr:colOff>
      <xdr:row>31</xdr:row>
      <xdr:rowOff>36284</xdr:rowOff>
    </xdr:to>
    <mc:AlternateContent xmlns:mc="http://schemas.openxmlformats.org/markup-compatibility/2006" xmlns:a14="http://schemas.microsoft.com/office/drawing/2010/main">
      <mc:Choice Requires="a14">
        <xdr:graphicFrame macro="">
          <xdr:nvGraphicFramePr>
            <xdr:cNvPr id="14" name="Rost Type Name 1">
              <a:extLst>
                <a:ext uri="{FF2B5EF4-FFF2-40B4-BE49-F238E27FC236}">
                  <a16:creationId xmlns:a16="http://schemas.microsoft.com/office/drawing/2014/main" id="{A2337D57-E72E-43B7-B272-3859249D81B6}"/>
                </a:ext>
              </a:extLst>
            </xdr:cNvPr>
            <xdr:cNvGraphicFramePr/>
          </xdr:nvGraphicFramePr>
          <xdr:xfrm>
            <a:off x="0" y="0"/>
            <a:ext cx="0" cy="0"/>
          </xdr:xfrm>
          <a:graphic>
            <a:graphicData uri="http://schemas.microsoft.com/office/drawing/2010/slicer">
              <sle:slicer xmlns:sle="http://schemas.microsoft.com/office/drawing/2010/slicer" name="Rost Type Name 1"/>
            </a:graphicData>
          </a:graphic>
        </xdr:graphicFrame>
      </mc:Choice>
      <mc:Fallback xmlns="">
        <xdr:sp macro="" textlink="">
          <xdr:nvSpPr>
            <xdr:cNvPr id="0" name=""/>
            <xdr:cNvSpPr>
              <a:spLocks noTextEdit="1"/>
            </xdr:cNvSpPr>
          </xdr:nvSpPr>
          <xdr:spPr>
            <a:xfrm>
              <a:off x="14868071" y="4179387"/>
              <a:ext cx="2054975" cy="1481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263072</xdr:colOff>
      <xdr:row>13</xdr:row>
      <xdr:rowOff>112196</xdr:rowOff>
    </xdr:from>
    <xdr:to>
      <xdr:col>27</xdr:col>
      <xdr:colOff>529975</xdr:colOff>
      <xdr:row>21</xdr:row>
      <xdr:rowOff>136070</xdr:rowOff>
    </xdr:to>
    <mc:AlternateContent xmlns:mc="http://schemas.openxmlformats.org/markup-compatibility/2006" xmlns:a14="http://schemas.microsoft.com/office/drawing/2010/main">
      <mc:Choice Requires="a14">
        <xdr:graphicFrame macro="">
          <xdr:nvGraphicFramePr>
            <xdr:cNvPr id="15" name="Coffee type">
              <a:extLst>
                <a:ext uri="{FF2B5EF4-FFF2-40B4-BE49-F238E27FC236}">
                  <a16:creationId xmlns:a16="http://schemas.microsoft.com/office/drawing/2014/main" id="{9341E5EB-D9F7-45E4-819F-DBB804393E0A}"/>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mlns="">
        <xdr:sp macro="" textlink="">
          <xdr:nvSpPr>
            <xdr:cNvPr id="0" name=""/>
            <xdr:cNvSpPr>
              <a:spLocks noTextEdit="1"/>
            </xdr:cNvSpPr>
          </xdr:nvSpPr>
          <xdr:spPr>
            <a:xfrm>
              <a:off x="14849929" y="2470767"/>
              <a:ext cx="2090260" cy="1475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0</xdr:rowOff>
    </xdr:from>
    <xdr:to>
      <xdr:col>28</xdr:col>
      <xdr:colOff>45356</xdr:colOff>
      <xdr:row>3</xdr:row>
      <xdr:rowOff>163285</xdr:rowOff>
    </xdr:to>
    <xdr:sp macro="" textlink="">
      <xdr:nvSpPr>
        <xdr:cNvPr id="16" name="Rectangle: Rounded Corners 15">
          <a:extLst>
            <a:ext uri="{FF2B5EF4-FFF2-40B4-BE49-F238E27FC236}">
              <a16:creationId xmlns:a16="http://schemas.microsoft.com/office/drawing/2014/main" id="{44EBD517-092D-47BC-A377-B53C0AF08988}"/>
            </a:ext>
          </a:extLst>
        </xdr:cNvPr>
        <xdr:cNvSpPr/>
      </xdr:nvSpPr>
      <xdr:spPr>
        <a:xfrm>
          <a:off x="0" y="0"/>
          <a:ext cx="17063356" cy="707571"/>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600" b="1">
              <a:ln>
                <a:solidFill>
                  <a:schemeClr val="tx1"/>
                </a:solidFill>
              </a:ln>
              <a:solidFill>
                <a:schemeClr val="tx1"/>
              </a:solidFill>
            </a:rPr>
            <a:t>COFFEE</a:t>
          </a:r>
          <a:r>
            <a:rPr lang="en-IN" sz="3600" b="1" baseline="0">
              <a:ln>
                <a:solidFill>
                  <a:schemeClr val="tx1"/>
                </a:solidFill>
              </a:ln>
              <a:solidFill>
                <a:schemeClr val="tx1"/>
              </a:solidFill>
            </a:rPr>
            <a:t> SALES DASHBOARD</a:t>
          </a:r>
          <a:endParaRPr lang="en-IN" sz="3600" b="1">
            <a:ln>
              <a:solidFill>
                <a:schemeClr val="tx1"/>
              </a:solidFill>
            </a:ln>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EETHAL" refreshedDate="45966.578372569442" createdVersion="7" refreshedVersion="7" minRefreshableVersion="3" recordCount="1000" xr:uid="{6FA85A01-F664-44E1-AFAC-373C2F989E98}">
  <cacheSource type="worksheet">
    <worksheetSource ref="A1:P1001" sheet="Orders"/>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base="1">
        <rangePr groupBy="months" startDate="2019-01-02T00:00:00" endDate="2022-08-20T00:00:00"/>
        <groupItems count="14">
          <s v="&lt;02-01-2019"/>
          <s v="Jan"/>
          <s v="Feb"/>
          <s v="Mar"/>
          <s v="Apr"/>
          <s v="May"/>
          <s v="Jun"/>
          <s v="Jul"/>
          <s v="Aug"/>
          <s v="Sep"/>
          <s v="Oct"/>
          <s v="Nov"/>
          <s v="Dec"/>
          <s v="&gt;20-08-2022"/>
        </groupItems>
      </fieldGroup>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C-email" numFmtId="0">
      <sharedItems containsMixedTypes="1" containsNumber="1" containsInteger="1" minValue="0" maxValue="0"/>
    </cacheField>
    <cacheField name="country" numFmtId="0">
      <sharedItems count="3">
        <s v="United States"/>
        <s v="Ireland"/>
        <s v="United Kingdom"/>
      </sharedItems>
    </cacheField>
    <cacheField name="Coffee type" numFmtId="0">
      <sharedItems count="4">
        <s v="Rob"/>
        <s v="Exc"/>
        <s v="Ara"/>
        <s v="Lib"/>
      </sharedItems>
    </cacheField>
    <cacheField name="Roast type" numFmtId="0">
      <sharedItems/>
    </cacheField>
    <cacheField name="Size " numFmtId="166">
      <sharedItems containsSemiMixedTypes="0" containsString="0" containsNumber="1" minValue="0.2" maxValue="2.5" count="4">
        <n v="1"/>
        <n v="0.5"/>
        <n v="2.5"/>
        <n v="0.2"/>
      </sharedItems>
    </cacheField>
    <cacheField name="Unit Price" numFmtId="165">
      <sharedItems containsSemiMixedTypes="0" containsString="0" containsNumber="1" minValue="2.6849999999999996" maxValue="36.454999999999998"/>
    </cacheField>
    <cacheField name="sale" numFmtId="44">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Coffee Type Name" numFmtId="0">
      <sharedItems count="4">
        <s v="Robusta"/>
        <s v="Excelsa"/>
        <s v="Arasbica"/>
        <s v="Liberica"/>
      </sharedItems>
    </cacheField>
    <cacheField name="Rost Type Name" numFmtId="0">
      <sharedItems count="3">
        <s v="Medium"/>
        <s v="Lite"/>
        <s v="Dark"/>
      </sharedItems>
    </cacheField>
    <cacheField name="Loyality Card" numFmtId="0">
      <sharedItems count="2">
        <s v="Yes"/>
        <s v="No"/>
      </sharedItems>
    </cacheField>
    <cacheField name="Quarters" numFmtId="0" databaseField="0">
      <fieldGroup base="1">
        <rangePr groupBy="quarters" startDate="2019-01-02T00:00:00" endDate="2022-08-20T00:00:00"/>
        <groupItems count="6">
          <s v="&lt;02-01-2019"/>
          <s v="Qtr1"/>
          <s v="Qtr2"/>
          <s v="Qtr3"/>
          <s v="Qtr4"/>
          <s v="&gt;20-08-2022"/>
        </groupItems>
      </fieldGroup>
    </cacheField>
    <cacheField name="Years"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6761430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x v="0"/>
    <s v="M"/>
    <x v="0"/>
    <n v="9.9499999999999993"/>
    <x v="0"/>
    <x v="0"/>
    <x v="0"/>
    <x v="0"/>
  </r>
  <r>
    <s v="QEV-37451-860"/>
    <x v="0"/>
    <x v="0"/>
    <s v="E-M-0.5"/>
    <n v="5"/>
    <x v="0"/>
    <s v="aallner0@lulu.com"/>
    <x v="0"/>
    <x v="1"/>
    <s v="M"/>
    <x v="1"/>
    <n v="8.25"/>
    <x v="1"/>
    <x v="1"/>
    <x v="0"/>
    <x v="0"/>
  </r>
  <r>
    <s v="FAA-43335-268"/>
    <x v="1"/>
    <x v="1"/>
    <s v="A-L-1"/>
    <n v="1"/>
    <x v="1"/>
    <s v="jredholes2@tmall.com"/>
    <x v="0"/>
    <x v="2"/>
    <s v="L"/>
    <x v="0"/>
    <n v="12.95"/>
    <x v="2"/>
    <x v="2"/>
    <x v="1"/>
    <x v="0"/>
  </r>
  <r>
    <s v="KAC-83089-793"/>
    <x v="2"/>
    <x v="2"/>
    <s v="E-M-1"/>
    <n v="2"/>
    <x v="2"/>
    <n v="0"/>
    <x v="1"/>
    <x v="1"/>
    <s v="M"/>
    <x v="0"/>
    <n v="13.75"/>
    <x v="3"/>
    <x v="1"/>
    <x v="0"/>
    <x v="1"/>
  </r>
  <r>
    <s v="KAC-83089-793"/>
    <x v="2"/>
    <x v="2"/>
    <s v="R-L-2.5"/>
    <n v="2"/>
    <x v="2"/>
    <n v="0"/>
    <x v="1"/>
    <x v="0"/>
    <s v="L"/>
    <x v="2"/>
    <n v="27.484999999999996"/>
    <x v="4"/>
    <x v="0"/>
    <x v="1"/>
    <x v="1"/>
  </r>
  <r>
    <s v="CVP-18956-553"/>
    <x v="3"/>
    <x v="3"/>
    <s v="L-D-1"/>
    <n v="3"/>
    <x v="3"/>
    <n v="0"/>
    <x v="0"/>
    <x v="3"/>
    <s v="D"/>
    <x v="0"/>
    <n v="12.95"/>
    <x v="5"/>
    <x v="3"/>
    <x v="2"/>
    <x v="1"/>
  </r>
  <r>
    <s v="IPP-31994-879"/>
    <x v="4"/>
    <x v="4"/>
    <s v="E-D-0.5"/>
    <n v="3"/>
    <x v="4"/>
    <s v="slobe6@nifty.com"/>
    <x v="0"/>
    <x v="1"/>
    <s v="D"/>
    <x v="1"/>
    <n v="7.29"/>
    <x v="6"/>
    <x v="1"/>
    <x v="2"/>
    <x v="0"/>
  </r>
  <r>
    <s v="SNZ-65340-705"/>
    <x v="5"/>
    <x v="5"/>
    <s v="L-L-0.2"/>
    <n v="1"/>
    <x v="5"/>
    <n v="0"/>
    <x v="1"/>
    <x v="3"/>
    <s v="L"/>
    <x v="3"/>
    <n v="4.7549999999999999"/>
    <x v="7"/>
    <x v="3"/>
    <x v="1"/>
    <x v="0"/>
  </r>
  <r>
    <s v="EZT-46571-659"/>
    <x v="6"/>
    <x v="6"/>
    <s v="R-M-0.5"/>
    <n v="3"/>
    <x v="6"/>
    <s v="gpetracci8@livejournal.com"/>
    <x v="0"/>
    <x v="0"/>
    <s v="M"/>
    <x v="1"/>
    <n v="5.97"/>
    <x v="8"/>
    <x v="0"/>
    <x v="0"/>
    <x v="1"/>
  </r>
  <r>
    <s v="NWQ-70061-912"/>
    <x v="0"/>
    <x v="7"/>
    <s v="R-M-0.5"/>
    <n v="1"/>
    <x v="7"/>
    <s v="rraven9@ed.gov"/>
    <x v="0"/>
    <x v="0"/>
    <s v="M"/>
    <x v="1"/>
    <n v="5.97"/>
    <x v="9"/>
    <x v="0"/>
    <x v="0"/>
    <x v="1"/>
  </r>
  <r>
    <s v="BKK-47233-845"/>
    <x v="7"/>
    <x v="8"/>
    <s v="A-D-1"/>
    <n v="4"/>
    <x v="8"/>
    <s v="fferbera@businesswire.com"/>
    <x v="0"/>
    <x v="2"/>
    <s v="D"/>
    <x v="0"/>
    <n v="9.9499999999999993"/>
    <x v="10"/>
    <x v="2"/>
    <x v="2"/>
    <x v="1"/>
  </r>
  <r>
    <s v="VQR-01002-970"/>
    <x v="8"/>
    <x v="9"/>
    <s v="E-L-2.5"/>
    <n v="5"/>
    <x v="9"/>
    <s v="dphizackerlyb@utexas.edu"/>
    <x v="0"/>
    <x v="1"/>
    <s v="L"/>
    <x v="2"/>
    <n v="34.154999999999994"/>
    <x v="11"/>
    <x v="1"/>
    <x v="1"/>
    <x v="0"/>
  </r>
  <r>
    <s v="SZW-48378-399"/>
    <x v="9"/>
    <x v="10"/>
    <s v="R-M-1"/>
    <n v="5"/>
    <x v="10"/>
    <s v="rscholarc@nyu.edu"/>
    <x v="0"/>
    <x v="0"/>
    <s v="M"/>
    <x v="0"/>
    <n v="9.9499999999999993"/>
    <x v="12"/>
    <x v="0"/>
    <x v="0"/>
    <x v="1"/>
  </r>
  <r>
    <s v="ITA-87418-783"/>
    <x v="10"/>
    <x v="11"/>
    <s v="R-D-2.5"/>
    <n v="2"/>
    <x v="11"/>
    <s v="tvanyutind@wix.com"/>
    <x v="0"/>
    <x v="0"/>
    <s v="D"/>
    <x v="2"/>
    <n v="20.584999999999997"/>
    <x v="13"/>
    <x v="0"/>
    <x v="2"/>
    <x v="1"/>
  </r>
  <r>
    <s v="GNZ-46006-527"/>
    <x v="11"/>
    <x v="12"/>
    <s v="L-D-0.2"/>
    <n v="3"/>
    <x v="12"/>
    <s v="ptrobee@wunderground.com"/>
    <x v="0"/>
    <x v="3"/>
    <s v="D"/>
    <x v="3"/>
    <n v="3.8849999999999998"/>
    <x v="14"/>
    <x v="3"/>
    <x v="2"/>
    <x v="0"/>
  </r>
  <r>
    <s v="FYQ-78248-319"/>
    <x v="12"/>
    <x v="13"/>
    <s v="R-M-2.5"/>
    <n v="5"/>
    <x v="13"/>
    <s v="loscroftf@ebay.co.uk"/>
    <x v="0"/>
    <x v="0"/>
    <s v="M"/>
    <x v="2"/>
    <n v="22.884999999999998"/>
    <x v="15"/>
    <x v="0"/>
    <x v="0"/>
    <x v="1"/>
  </r>
  <r>
    <s v="VAU-44387-624"/>
    <x v="13"/>
    <x v="14"/>
    <s v="A-M-0.2"/>
    <n v="6"/>
    <x v="14"/>
    <s v="malabasterg@hexun.com"/>
    <x v="0"/>
    <x v="2"/>
    <s v="M"/>
    <x v="3"/>
    <n v="3.375"/>
    <x v="16"/>
    <x v="2"/>
    <x v="0"/>
    <x v="1"/>
  </r>
  <r>
    <s v="RDW-33155-159"/>
    <x v="14"/>
    <x v="15"/>
    <s v="A-L-1"/>
    <n v="6"/>
    <x v="15"/>
    <s v="rbroxuph@jimdo.com"/>
    <x v="0"/>
    <x v="2"/>
    <s v="L"/>
    <x v="0"/>
    <n v="12.95"/>
    <x v="17"/>
    <x v="2"/>
    <x v="1"/>
    <x v="1"/>
  </r>
  <r>
    <s v="TDZ-59011-211"/>
    <x v="15"/>
    <x v="16"/>
    <s v="R-D-2.5"/>
    <n v="4"/>
    <x v="16"/>
    <s v="predfordi@ow.ly"/>
    <x v="1"/>
    <x v="0"/>
    <s v="D"/>
    <x v="2"/>
    <n v="20.584999999999997"/>
    <x v="18"/>
    <x v="0"/>
    <x v="2"/>
    <x v="0"/>
  </r>
  <r>
    <s v="IDU-25793-399"/>
    <x v="16"/>
    <x v="17"/>
    <s v="A-M-0.2"/>
    <n v="5"/>
    <x v="17"/>
    <s v="acorradinoj@harvard.edu"/>
    <x v="0"/>
    <x v="2"/>
    <s v="M"/>
    <x v="3"/>
    <n v="3.375"/>
    <x v="19"/>
    <x v="2"/>
    <x v="0"/>
    <x v="0"/>
  </r>
  <r>
    <s v="IDU-25793-399"/>
    <x v="16"/>
    <x v="17"/>
    <s v="E-D-0.2"/>
    <n v="4"/>
    <x v="17"/>
    <s v="acorradinoj@harvard.edu"/>
    <x v="0"/>
    <x v="1"/>
    <s v="D"/>
    <x v="3"/>
    <n v="3.645"/>
    <x v="20"/>
    <x v="1"/>
    <x v="2"/>
    <x v="0"/>
  </r>
  <r>
    <s v="NUO-20013-488"/>
    <x v="16"/>
    <x v="18"/>
    <s v="A-D-0.2"/>
    <n v="6"/>
    <x v="18"/>
    <s v="adavidowskyl@netvibes.com"/>
    <x v="0"/>
    <x v="2"/>
    <s v="D"/>
    <x v="3"/>
    <n v="2.9849999999999999"/>
    <x v="8"/>
    <x v="2"/>
    <x v="2"/>
    <x v="1"/>
  </r>
  <r>
    <s v="UQU-65630-479"/>
    <x v="17"/>
    <x v="19"/>
    <s v="R-M-2.5"/>
    <n v="4"/>
    <x v="19"/>
    <s v="aantukm@kickstarter.com"/>
    <x v="0"/>
    <x v="0"/>
    <s v="M"/>
    <x v="2"/>
    <n v="22.884999999999998"/>
    <x v="21"/>
    <x v="0"/>
    <x v="0"/>
    <x v="0"/>
  </r>
  <r>
    <s v="FEO-11834-332"/>
    <x v="18"/>
    <x v="20"/>
    <s v="A-D-0.2"/>
    <n v="4"/>
    <x v="20"/>
    <s v="ikleinertn@timesonline.co.uk"/>
    <x v="0"/>
    <x v="2"/>
    <s v="D"/>
    <x v="3"/>
    <n v="2.9849999999999999"/>
    <x v="22"/>
    <x v="2"/>
    <x v="2"/>
    <x v="0"/>
  </r>
  <r>
    <s v="TKY-71558-096"/>
    <x v="19"/>
    <x v="21"/>
    <s v="A-M-1"/>
    <n v="1"/>
    <x v="21"/>
    <s v="cblofeldo@amazon.co.uk"/>
    <x v="0"/>
    <x v="2"/>
    <s v="M"/>
    <x v="0"/>
    <n v="11.25"/>
    <x v="23"/>
    <x v="2"/>
    <x v="0"/>
    <x v="1"/>
  </r>
  <r>
    <s v="OXY-65322-253"/>
    <x v="20"/>
    <x v="22"/>
    <s v="E-M-0.2"/>
    <n v="3"/>
    <x v="22"/>
    <n v="0"/>
    <x v="0"/>
    <x v="1"/>
    <s v="M"/>
    <x v="3"/>
    <n v="4.125"/>
    <x v="24"/>
    <x v="1"/>
    <x v="0"/>
    <x v="0"/>
  </r>
  <r>
    <s v="EVP-43500-491"/>
    <x v="21"/>
    <x v="23"/>
    <s v="A-M-0.5"/>
    <n v="4"/>
    <x v="23"/>
    <s v="sshalesq@umich.edu"/>
    <x v="0"/>
    <x v="2"/>
    <s v="M"/>
    <x v="1"/>
    <n v="6.75"/>
    <x v="25"/>
    <x v="2"/>
    <x v="0"/>
    <x v="0"/>
  </r>
  <r>
    <s v="WAG-26945-689"/>
    <x v="22"/>
    <x v="24"/>
    <s v="A-M-0.2"/>
    <n v="5"/>
    <x v="24"/>
    <s v="vdanneilr@mtv.com"/>
    <x v="1"/>
    <x v="2"/>
    <s v="M"/>
    <x v="3"/>
    <n v="3.375"/>
    <x v="19"/>
    <x v="2"/>
    <x v="0"/>
    <x v="1"/>
  </r>
  <r>
    <s v="CHE-78995-767"/>
    <x v="23"/>
    <x v="25"/>
    <s v="A-D-0.5"/>
    <n v="3"/>
    <x v="25"/>
    <s v="tnewburys@usda.gov"/>
    <x v="1"/>
    <x v="2"/>
    <s v="D"/>
    <x v="1"/>
    <n v="5.97"/>
    <x v="8"/>
    <x v="2"/>
    <x v="2"/>
    <x v="1"/>
  </r>
  <r>
    <s v="RYZ-14633-602"/>
    <x v="21"/>
    <x v="26"/>
    <s v="A-D-1"/>
    <n v="4"/>
    <x v="26"/>
    <s v="mcalcuttt@baidu.com"/>
    <x v="1"/>
    <x v="2"/>
    <s v="D"/>
    <x v="0"/>
    <n v="9.9499999999999993"/>
    <x v="10"/>
    <x v="2"/>
    <x v="2"/>
    <x v="0"/>
  </r>
  <r>
    <s v="WOQ-36015-429"/>
    <x v="24"/>
    <x v="27"/>
    <s v="L-M-0.2"/>
    <n v="5"/>
    <x v="27"/>
    <n v="0"/>
    <x v="0"/>
    <x v="3"/>
    <s v="M"/>
    <x v="3"/>
    <n v="4.3650000000000002"/>
    <x v="26"/>
    <x v="3"/>
    <x v="0"/>
    <x v="1"/>
  </r>
  <r>
    <s v="WOQ-36015-429"/>
    <x v="24"/>
    <x v="27"/>
    <s v="A-D-0.5"/>
    <n v="6"/>
    <x v="27"/>
    <n v="0"/>
    <x v="0"/>
    <x v="2"/>
    <s v="D"/>
    <x v="1"/>
    <n v="5.97"/>
    <x v="27"/>
    <x v="2"/>
    <x v="2"/>
    <x v="1"/>
  </r>
  <r>
    <s v="WOQ-36015-429"/>
    <x v="24"/>
    <x v="27"/>
    <s v="L-M-0.5"/>
    <n v="6"/>
    <x v="27"/>
    <n v="0"/>
    <x v="0"/>
    <x v="3"/>
    <s v="M"/>
    <x v="1"/>
    <n v="8.73"/>
    <x v="28"/>
    <x v="3"/>
    <x v="0"/>
    <x v="1"/>
  </r>
  <r>
    <s v="SCT-60553-454"/>
    <x v="25"/>
    <x v="28"/>
    <s v="L-L-0.2"/>
    <n v="5"/>
    <x v="28"/>
    <s v="ggatheralx@123-reg.co.uk"/>
    <x v="0"/>
    <x v="3"/>
    <s v="L"/>
    <x v="3"/>
    <n v="4.7549999999999999"/>
    <x v="29"/>
    <x v="3"/>
    <x v="1"/>
    <x v="1"/>
  </r>
  <r>
    <s v="GFK-52063-244"/>
    <x v="26"/>
    <x v="29"/>
    <s v="L-L-0.5"/>
    <n v="6"/>
    <x v="29"/>
    <s v="uwelberryy@ebay.co.uk"/>
    <x v="2"/>
    <x v="3"/>
    <s v="L"/>
    <x v="1"/>
    <n v="9.51"/>
    <x v="30"/>
    <x v="3"/>
    <x v="1"/>
    <x v="0"/>
  </r>
  <r>
    <s v="AMM-79521-378"/>
    <x v="27"/>
    <x v="30"/>
    <s v="A-D-0.5"/>
    <n v="6"/>
    <x v="30"/>
    <s v="feilhartz@who.int"/>
    <x v="0"/>
    <x v="2"/>
    <s v="D"/>
    <x v="1"/>
    <n v="5.97"/>
    <x v="27"/>
    <x v="2"/>
    <x v="2"/>
    <x v="1"/>
  </r>
  <r>
    <s v="QUQ-90580-772"/>
    <x v="28"/>
    <x v="31"/>
    <s v="L-M-0.2"/>
    <n v="2"/>
    <x v="31"/>
    <s v="zponting10@altervista.org"/>
    <x v="0"/>
    <x v="3"/>
    <s v="M"/>
    <x v="3"/>
    <n v="4.3650000000000002"/>
    <x v="31"/>
    <x v="3"/>
    <x v="0"/>
    <x v="1"/>
  </r>
  <r>
    <s v="LGD-24408-274"/>
    <x v="29"/>
    <x v="32"/>
    <s v="L-L-0.5"/>
    <n v="3"/>
    <x v="32"/>
    <s v="sstrase11@booking.com"/>
    <x v="0"/>
    <x v="3"/>
    <s v="L"/>
    <x v="1"/>
    <n v="9.51"/>
    <x v="32"/>
    <x v="3"/>
    <x v="1"/>
    <x v="1"/>
  </r>
  <r>
    <s v="HCT-95608-959"/>
    <x v="30"/>
    <x v="33"/>
    <s v="R-M-2.5"/>
    <n v="5"/>
    <x v="33"/>
    <s v="dde12@unesco.org"/>
    <x v="0"/>
    <x v="0"/>
    <s v="M"/>
    <x v="2"/>
    <n v="22.884999999999998"/>
    <x v="15"/>
    <x v="0"/>
    <x v="0"/>
    <x v="1"/>
  </r>
  <r>
    <s v="OFX-99147-470"/>
    <x v="31"/>
    <x v="34"/>
    <s v="R-M-1"/>
    <n v="6"/>
    <x v="34"/>
    <n v="0"/>
    <x v="0"/>
    <x v="0"/>
    <s v="M"/>
    <x v="0"/>
    <n v="9.9499999999999993"/>
    <x v="33"/>
    <x v="0"/>
    <x v="0"/>
    <x v="0"/>
  </r>
  <r>
    <s v="LUO-37559-016"/>
    <x v="32"/>
    <x v="35"/>
    <s v="L-M-1"/>
    <n v="3"/>
    <x v="35"/>
    <n v="0"/>
    <x v="0"/>
    <x v="3"/>
    <s v="M"/>
    <x v="0"/>
    <n v="14.55"/>
    <x v="34"/>
    <x v="3"/>
    <x v="0"/>
    <x v="1"/>
  </r>
  <r>
    <s v="XWC-20610-167"/>
    <x v="33"/>
    <x v="36"/>
    <s v="E-D-0.2"/>
    <n v="2"/>
    <x v="36"/>
    <s v="lyeoland15@pbs.org"/>
    <x v="0"/>
    <x v="1"/>
    <s v="D"/>
    <x v="3"/>
    <n v="3.645"/>
    <x v="35"/>
    <x v="1"/>
    <x v="2"/>
    <x v="0"/>
  </r>
  <r>
    <s v="GPU-79113-136"/>
    <x v="34"/>
    <x v="37"/>
    <s v="R-D-0.2"/>
    <n v="3"/>
    <x v="37"/>
    <s v="atolworthy16@toplist.cz"/>
    <x v="0"/>
    <x v="0"/>
    <s v="D"/>
    <x v="3"/>
    <n v="2.6849999999999996"/>
    <x v="36"/>
    <x v="0"/>
    <x v="2"/>
    <x v="0"/>
  </r>
  <r>
    <s v="ULR-52653-960"/>
    <x v="35"/>
    <x v="38"/>
    <s v="L-L-2.5"/>
    <n v="2"/>
    <x v="38"/>
    <n v="0"/>
    <x v="0"/>
    <x v="3"/>
    <s v="L"/>
    <x v="2"/>
    <n v="36.454999999999998"/>
    <x v="37"/>
    <x v="3"/>
    <x v="1"/>
    <x v="1"/>
  </r>
  <r>
    <s v="HPI-42308-142"/>
    <x v="36"/>
    <x v="39"/>
    <s v="E-M-0.5"/>
    <n v="2"/>
    <x v="39"/>
    <s v="obaudassi18@seesaa.net"/>
    <x v="0"/>
    <x v="1"/>
    <s v="M"/>
    <x v="1"/>
    <n v="8.25"/>
    <x v="38"/>
    <x v="1"/>
    <x v="0"/>
    <x v="0"/>
  </r>
  <r>
    <s v="XHI-30227-581"/>
    <x v="37"/>
    <x v="40"/>
    <s v="L-D-2.5"/>
    <n v="6"/>
    <x v="40"/>
    <s v="pkingsbury19@comcast.net"/>
    <x v="0"/>
    <x v="3"/>
    <s v="D"/>
    <x v="2"/>
    <n v="29.784999999999997"/>
    <x v="39"/>
    <x v="3"/>
    <x v="2"/>
    <x v="1"/>
  </r>
  <r>
    <s v="DJH-05202-380"/>
    <x v="38"/>
    <x v="41"/>
    <s v="E-M-2.5"/>
    <n v="2"/>
    <x v="41"/>
    <n v="0"/>
    <x v="0"/>
    <x v="1"/>
    <s v="M"/>
    <x v="2"/>
    <n v="31.624999999999996"/>
    <x v="40"/>
    <x v="1"/>
    <x v="0"/>
    <x v="0"/>
  </r>
  <r>
    <s v="VMW-26889-781"/>
    <x v="39"/>
    <x v="42"/>
    <s v="A-L-0.2"/>
    <n v="2"/>
    <x v="42"/>
    <s v="acurley1b@hao123.com"/>
    <x v="0"/>
    <x v="2"/>
    <s v="L"/>
    <x v="3"/>
    <n v="3.8849999999999998"/>
    <x v="41"/>
    <x v="2"/>
    <x v="1"/>
    <x v="0"/>
  </r>
  <r>
    <s v="DBU-81099-586"/>
    <x v="40"/>
    <x v="43"/>
    <s v="A-D-2.5"/>
    <n v="4"/>
    <x v="43"/>
    <s v="rmcgilvary1c@tamu.edu"/>
    <x v="0"/>
    <x v="2"/>
    <s v="D"/>
    <x v="2"/>
    <n v="22.884999999999998"/>
    <x v="21"/>
    <x v="2"/>
    <x v="2"/>
    <x v="1"/>
  </r>
  <r>
    <s v="PQA-54820-810"/>
    <x v="41"/>
    <x v="44"/>
    <s v="A-L-1"/>
    <n v="3"/>
    <x v="44"/>
    <s v="ipikett1d@xinhuanet.com"/>
    <x v="0"/>
    <x v="2"/>
    <s v="L"/>
    <x v="0"/>
    <n v="12.95"/>
    <x v="5"/>
    <x v="2"/>
    <x v="1"/>
    <x v="1"/>
  </r>
  <r>
    <s v="XKB-41924-202"/>
    <x v="42"/>
    <x v="45"/>
    <s v="L-D-0.5"/>
    <n v="2"/>
    <x v="45"/>
    <s v="ibouldon1e@gizmodo.com"/>
    <x v="0"/>
    <x v="3"/>
    <s v="D"/>
    <x v="1"/>
    <n v="7.77"/>
    <x v="42"/>
    <x v="3"/>
    <x v="2"/>
    <x v="1"/>
  </r>
  <r>
    <s v="DWZ-69106-473"/>
    <x v="43"/>
    <x v="46"/>
    <s v="L-L-2.5"/>
    <n v="4"/>
    <x v="46"/>
    <s v="kflanders1f@over-blog.com"/>
    <x v="1"/>
    <x v="3"/>
    <s v="L"/>
    <x v="2"/>
    <n v="36.454999999999998"/>
    <x v="43"/>
    <x v="3"/>
    <x v="1"/>
    <x v="0"/>
  </r>
  <r>
    <s v="YHV-68700-050"/>
    <x v="44"/>
    <x v="47"/>
    <s v="R-M-0.5"/>
    <n v="5"/>
    <x v="47"/>
    <s v="hmattioli1g@webmd.com"/>
    <x v="2"/>
    <x v="0"/>
    <s v="M"/>
    <x v="1"/>
    <n v="5.97"/>
    <x v="44"/>
    <x v="0"/>
    <x v="0"/>
    <x v="1"/>
  </r>
  <r>
    <s v="YHV-68700-050"/>
    <x v="44"/>
    <x v="47"/>
    <s v="L-L-2.5"/>
    <n v="2"/>
    <x v="47"/>
    <s v="hmattioli1g@webmd.com"/>
    <x v="2"/>
    <x v="3"/>
    <s v="L"/>
    <x v="2"/>
    <n v="36.454999999999998"/>
    <x v="37"/>
    <x v="3"/>
    <x v="1"/>
    <x v="1"/>
  </r>
  <r>
    <s v="KRB-88066-642"/>
    <x v="45"/>
    <x v="48"/>
    <s v="L-M-1"/>
    <n v="5"/>
    <x v="48"/>
    <s v="agillard1i@issuu.com"/>
    <x v="0"/>
    <x v="3"/>
    <s v="M"/>
    <x v="0"/>
    <n v="14.55"/>
    <x v="45"/>
    <x v="3"/>
    <x v="0"/>
    <x v="1"/>
  </r>
  <r>
    <s v="LQU-08404-173"/>
    <x v="46"/>
    <x v="49"/>
    <s v="L-L-1"/>
    <n v="3"/>
    <x v="49"/>
    <n v="0"/>
    <x v="0"/>
    <x v="3"/>
    <s v="L"/>
    <x v="0"/>
    <n v="15.85"/>
    <x v="46"/>
    <x v="3"/>
    <x v="1"/>
    <x v="1"/>
  </r>
  <r>
    <s v="CWK-60159-881"/>
    <x v="47"/>
    <x v="50"/>
    <s v="E-D-0.2"/>
    <n v="3"/>
    <x v="50"/>
    <s v="tgrizard1k@odnoklassniki.ru"/>
    <x v="0"/>
    <x v="1"/>
    <s v="D"/>
    <x v="3"/>
    <n v="3.645"/>
    <x v="47"/>
    <x v="1"/>
    <x v="2"/>
    <x v="0"/>
  </r>
  <r>
    <s v="EEG-74197-843"/>
    <x v="48"/>
    <x v="51"/>
    <s v="E-L-1"/>
    <n v="4"/>
    <x v="51"/>
    <s v="rrelton1l@stanford.edu"/>
    <x v="0"/>
    <x v="1"/>
    <s v="L"/>
    <x v="0"/>
    <n v="14.85"/>
    <x v="48"/>
    <x v="1"/>
    <x v="1"/>
    <x v="1"/>
  </r>
  <r>
    <s v="UCZ-59708-525"/>
    <x v="49"/>
    <x v="52"/>
    <s v="L-D-2.5"/>
    <n v="3"/>
    <x v="52"/>
    <n v="0"/>
    <x v="0"/>
    <x v="3"/>
    <s v="D"/>
    <x v="2"/>
    <n v="29.784999999999997"/>
    <x v="49"/>
    <x v="3"/>
    <x v="2"/>
    <x v="0"/>
  </r>
  <r>
    <s v="HUB-47311-849"/>
    <x v="50"/>
    <x v="53"/>
    <s v="L-M-0.5"/>
    <n v="3"/>
    <x v="53"/>
    <s v="sgilroy1n@eepurl.com"/>
    <x v="0"/>
    <x v="3"/>
    <s v="M"/>
    <x v="1"/>
    <n v="8.73"/>
    <x v="50"/>
    <x v="3"/>
    <x v="0"/>
    <x v="0"/>
  </r>
  <r>
    <s v="WYM-17686-694"/>
    <x v="51"/>
    <x v="54"/>
    <s v="A-D-2.5"/>
    <n v="5"/>
    <x v="54"/>
    <s v="ccottingham1o@wikipedia.org"/>
    <x v="0"/>
    <x v="2"/>
    <s v="D"/>
    <x v="2"/>
    <n v="22.884999999999998"/>
    <x v="15"/>
    <x v="2"/>
    <x v="2"/>
    <x v="1"/>
  </r>
  <r>
    <s v="ZYQ-15797-695"/>
    <x v="52"/>
    <x v="55"/>
    <s v="R-D-0.5"/>
    <n v="5"/>
    <x v="55"/>
    <n v="0"/>
    <x v="2"/>
    <x v="0"/>
    <s v="D"/>
    <x v="1"/>
    <n v="5.3699999999999992"/>
    <x v="51"/>
    <x v="0"/>
    <x v="2"/>
    <x v="0"/>
  </r>
  <r>
    <s v="EEJ-16185-108"/>
    <x v="53"/>
    <x v="56"/>
    <s v="L-L-0.2"/>
    <n v="5"/>
    <x v="56"/>
    <n v="0"/>
    <x v="0"/>
    <x v="3"/>
    <s v="L"/>
    <x v="3"/>
    <n v="4.7549999999999999"/>
    <x v="29"/>
    <x v="3"/>
    <x v="1"/>
    <x v="0"/>
  </r>
  <r>
    <s v="RWR-77888-800"/>
    <x v="54"/>
    <x v="57"/>
    <s v="A-M-0.5"/>
    <n v="1"/>
    <x v="57"/>
    <s v="adykes1r@eventbrite.com"/>
    <x v="0"/>
    <x v="2"/>
    <s v="M"/>
    <x v="1"/>
    <n v="6.75"/>
    <x v="52"/>
    <x v="2"/>
    <x v="0"/>
    <x v="1"/>
  </r>
  <r>
    <s v="LHN-75209-742"/>
    <x v="55"/>
    <x v="58"/>
    <s v="R-M-0.5"/>
    <n v="6"/>
    <x v="58"/>
    <n v="0"/>
    <x v="0"/>
    <x v="0"/>
    <s v="M"/>
    <x v="1"/>
    <n v="5.97"/>
    <x v="27"/>
    <x v="0"/>
    <x v="0"/>
    <x v="0"/>
  </r>
  <r>
    <s v="TIR-71396-998"/>
    <x v="56"/>
    <x v="59"/>
    <s v="R-D-2.5"/>
    <n v="4"/>
    <x v="59"/>
    <s v="acockrem1t@engadget.com"/>
    <x v="0"/>
    <x v="0"/>
    <s v="D"/>
    <x v="2"/>
    <n v="20.584999999999997"/>
    <x v="18"/>
    <x v="0"/>
    <x v="2"/>
    <x v="0"/>
  </r>
  <r>
    <s v="RXF-37618-213"/>
    <x v="57"/>
    <x v="60"/>
    <s v="R-L-0.5"/>
    <n v="1"/>
    <x v="60"/>
    <s v="bumpleby1u@soundcloud.com"/>
    <x v="0"/>
    <x v="0"/>
    <s v="L"/>
    <x v="1"/>
    <n v="7.169999999999999"/>
    <x v="53"/>
    <x v="0"/>
    <x v="1"/>
    <x v="0"/>
  </r>
  <r>
    <s v="ANM-16388-634"/>
    <x v="58"/>
    <x v="61"/>
    <s v="L-L-0.2"/>
    <n v="2"/>
    <x v="61"/>
    <s v="nsaleway1v@dedecms.com"/>
    <x v="0"/>
    <x v="3"/>
    <s v="L"/>
    <x v="3"/>
    <n v="4.7549999999999999"/>
    <x v="54"/>
    <x v="3"/>
    <x v="1"/>
    <x v="1"/>
  </r>
  <r>
    <s v="WYL-29300-070"/>
    <x v="59"/>
    <x v="62"/>
    <s v="R-M-0.2"/>
    <n v="1"/>
    <x v="62"/>
    <s v="hgoulter1w@abc.net.au"/>
    <x v="0"/>
    <x v="0"/>
    <s v="M"/>
    <x v="3"/>
    <n v="2.9849999999999999"/>
    <x v="55"/>
    <x v="0"/>
    <x v="0"/>
    <x v="1"/>
  </r>
  <r>
    <s v="JHW-74554-805"/>
    <x v="60"/>
    <x v="63"/>
    <s v="R-M-1"/>
    <n v="6"/>
    <x v="63"/>
    <s v="grizzello1x@symantec.com"/>
    <x v="2"/>
    <x v="0"/>
    <s v="M"/>
    <x v="0"/>
    <n v="9.9499999999999993"/>
    <x v="33"/>
    <x v="0"/>
    <x v="0"/>
    <x v="0"/>
  </r>
  <r>
    <s v="KYS-27063-603"/>
    <x v="61"/>
    <x v="64"/>
    <s v="E-L-2.5"/>
    <n v="4"/>
    <x v="64"/>
    <s v="slist1y@mapquest.com"/>
    <x v="0"/>
    <x v="1"/>
    <s v="L"/>
    <x v="2"/>
    <n v="34.154999999999994"/>
    <x v="56"/>
    <x v="1"/>
    <x v="1"/>
    <x v="1"/>
  </r>
  <r>
    <s v="GAZ-58626-277"/>
    <x v="62"/>
    <x v="65"/>
    <s v="L-L-0.2"/>
    <n v="2"/>
    <x v="65"/>
    <s v="sedmondson1z@theguardian.com"/>
    <x v="1"/>
    <x v="3"/>
    <s v="L"/>
    <x v="3"/>
    <n v="4.7549999999999999"/>
    <x v="54"/>
    <x v="3"/>
    <x v="1"/>
    <x v="1"/>
  </r>
  <r>
    <s v="RPJ-37787-335"/>
    <x v="63"/>
    <x v="66"/>
    <s v="A-M-2.5"/>
    <n v="3"/>
    <x v="66"/>
    <n v="0"/>
    <x v="0"/>
    <x v="2"/>
    <s v="M"/>
    <x v="2"/>
    <n v="25.874999999999996"/>
    <x v="57"/>
    <x v="2"/>
    <x v="0"/>
    <x v="1"/>
  </r>
  <r>
    <s v="LEF-83057-763"/>
    <x v="64"/>
    <x v="67"/>
    <s v="L-M-0.2"/>
    <n v="5"/>
    <x v="67"/>
    <n v="0"/>
    <x v="0"/>
    <x v="3"/>
    <s v="M"/>
    <x v="3"/>
    <n v="4.3650000000000002"/>
    <x v="26"/>
    <x v="3"/>
    <x v="0"/>
    <x v="0"/>
  </r>
  <r>
    <s v="RPW-36123-215"/>
    <x v="65"/>
    <x v="68"/>
    <s v="E-L-0.5"/>
    <n v="2"/>
    <x v="68"/>
    <s v="jrangall22@newsvine.com"/>
    <x v="0"/>
    <x v="1"/>
    <s v="L"/>
    <x v="1"/>
    <n v="8.91"/>
    <x v="58"/>
    <x v="1"/>
    <x v="1"/>
    <x v="0"/>
  </r>
  <r>
    <s v="WLL-59044-117"/>
    <x v="66"/>
    <x v="69"/>
    <s v="R-D-1"/>
    <n v="6"/>
    <x v="69"/>
    <s v="kboorn23@ezinearticles.com"/>
    <x v="1"/>
    <x v="0"/>
    <s v="D"/>
    <x v="0"/>
    <n v="8.9499999999999993"/>
    <x v="59"/>
    <x v="0"/>
    <x v="2"/>
    <x v="0"/>
  </r>
  <r>
    <s v="AWT-22827-563"/>
    <x v="67"/>
    <x v="70"/>
    <s v="R-L-0.2"/>
    <n v="1"/>
    <x v="70"/>
    <n v="0"/>
    <x v="1"/>
    <x v="0"/>
    <s v="L"/>
    <x v="3"/>
    <n v="3.5849999999999995"/>
    <x v="60"/>
    <x v="0"/>
    <x v="1"/>
    <x v="0"/>
  </r>
  <r>
    <s v="QLM-07145-668"/>
    <x v="68"/>
    <x v="71"/>
    <s v="E-D-0.2"/>
    <n v="2"/>
    <x v="71"/>
    <s v="celgey25@webs.com"/>
    <x v="0"/>
    <x v="1"/>
    <s v="D"/>
    <x v="3"/>
    <n v="3.645"/>
    <x v="35"/>
    <x v="1"/>
    <x v="2"/>
    <x v="1"/>
  </r>
  <r>
    <s v="HVQ-64398-930"/>
    <x v="69"/>
    <x v="72"/>
    <s v="A-M-0.5"/>
    <n v="6"/>
    <x v="72"/>
    <s v="lmizzi26@rakuten.co.jp"/>
    <x v="0"/>
    <x v="2"/>
    <s v="M"/>
    <x v="1"/>
    <n v="6.75"/>
    <x v="61"/>
    <x v="2"/>
    <x v="0"/>
    <x v="0"/>
  </r>
  <r>
    <s v="WRT-40778-247"/>
    <x v="70"/>
    <x v="73"/>
    <s v="R-L-1"/>
    <n v="4"/>
    <x v="73"/>
    <s v="cgiacomazzo27@jigsy.com"/>
    <x v="0"/>
    <x v="0"/>
    <s v="L"/>
    <x v="0"/>
    <n v="11.95"/>
    <x v="62"/>
    <x v="0"/>
    <x v="1"/>
    <x v="1"/>
  </r>
  <r>
    <s v="SUB-13006-125"/>
    <x v="71"/>
    <x v="74"/>
    <s v="A-L-0.5"/>
    <n v="5"/>
    <x v="74"/>
    <s v="aarnow28@arizona.edu"/>
    <x v="0"/>
    <x v="2"/>
    <s v="L"/>
    <x v="1"/>
    <n v="7.77"/>
    <x v="5"/>
    <x v="2"/>
    <x v="1"/>
    <x v="0"/>
  </r>
  <r>
    <s v="CQM-49696-263"/>
    <x v="72"/>
    <x v="75"/>
    <s v="L-L-2.5"/>
    <n v="3"/>
    <x v="75"/>
    <s v="syann29@senate.gov"/>
    <x v="0"/>
    <x v="3"/>
    <s v="L"/>
    <x v="2"/>
    <n v="36.454999999999998"/>
    <x v="63"/>
    <x v="3"/>
    <x v="1"/>
    <x v="0"/>
  </r>
  <r>
    <s v="KXN-85094-246"/>
    <x v="73"/>
    <x v="76"/>
    <s v="L-M-2.5"/>
    <n v="3"/>
    <x v="76"/>
    <s v="bnaulls2a@tiny.cc"/>
    <x v="1"/>
    <x v="3"/>
    <s v="M"/>
    <x v="2"/>
    <n v="33.464999999999996"/>
    <x v="64"/>
    <x v="3"/>
    <x v="0"/>
    <x v="0"/>
  </r>
  <r>
    <s v="XOQ-12405-419"/>
    <x v="74"/>
    <x v="77"/>
    <s v="R-D-2.5"/>
    <n v="4"/>
    <x v="77"/>
    <n v="0"/>
    <x v="0"/>
    <x v="0"/>
    <s v="D"/>
    <x v="2"/>
    <n v="20.584999999999997"/>
    <x v="18"/>
    <x v="0"/>
    <x v="2"/>
    <x v="0"/>
  </r>
  <r>
    <s v="HYF-10254-369"/>
    <x v="75"/>
    <x v="78"/>
    <s v="L-L-0.5"/>
    <n v="1"/>
    <x v="78"/>
    <s v="zsherewood2c@apache.org"/>
    <x v="0"/>
    <x v="3"/>
    <s v="L"/>
    <x v="1"/>
    <n v="9.51"/>
    <x v="54"/>
    <x v="3"/>
    <x v="1"/>
    <x v="1"/>
  </r>
  <r>
    <s v="XXJ-47000-307"/>
    <x v="76"/>
    <x v="79"/>
    <s v="A-L-2.5"/>
    <n v="3"/>
    <x v="79"/>
    <s v="jdufaire2d@fc2.com"/>
    <x v="0"/>
    <x v="2"/>
    <s v="L"/>
    <x v="2"/>
    <n v="29.784999999999997"/>
    <x v="49"/>
    <x v="2"/>
    <x v="1"/>
    <x v="1"/>
  </r>
  <r>
    <s v="XXJ-47000-307"/>
    <x v="76"/>
    <x v="79"/>
    <s v="A-D-0.2"/>
    <n v="4"/>
    <x v="79"/>
    <s v="jdufaire2d@fc2.com"/>
    <x v="0"/>
    <x v="2"/>
    <s v="D"/>
    <x v="3"/>
    <n v="2.9849999999999999"/>
    <x v="22"/>
    <x v="2"/>
    <x v="2"/>
    <x v="1"/>
  </r>
  <r>
    <s v="ZDK-82166-357"/>
    <x v="77"/>
    <x v="80"/>
    <s v="A-M-1"/>
    <n v="3"/>
    <x v="80"/>
    <s v="bkeaveney2f@netlog.com"/>
    <x v="0"/>
    <x v="2"/>
    <s v="M"/>
    <x v="0"/>
    <n v="11.25"/>
    <x v="65"/>
    <x v="2"/>
    <x v="0"/>
    <x v="1"/>
  </r>
  <r>
    <s v="IHN-19982-362"/>
    <x v="78"/>
    <x v="81"/>
    <s v="R-L-1"/>
    <n v="3"/>
    <x v="81"/>
    <s v="egrise2g@cargocollective.com"/>
    <x v="0"/>
    <x v="0"/>
    <s v="L"/>
    <x v="0"/>
    <n v="11.95"/>
    <x v="66"/>
    <x v="0"/>
    <x v="1"/>
    <x v="1"/>
  </r>
  <r>
    <s v="VMT-10030-889"/>
    <x v="79"/>
    <x v="82"/>
    <s v="A-L-1"/>
    <n v="6"/>
    <x v="82"/>
    <s v="tgottelier2h@vistaprint.com"/>
    <x v="0"/>
    <x v="2"/>
    <s v="L"/>
    <x v="0"/>
    <n v="12.95"/>
    <x v="17"/>
    <x v="2"/>
    <x v="1"/>
    <x v="1"/>
  </r>
  <r>
    <s v="NHL-11063-100"/>
    <x v="80"/>
    <x v="83"/>
    <s v="A-L-1"/>
    <n v="4"/>
    <x v="83"/>
    <n v="0"/>
    <x v="1"/>
    <x v="2"/>
    <s v="L"/>
    <x v="0"/>
    <n v="12.95"/>
    <x v="67"/>
    <x v="2"/>
    <x v="1"/>
    <x v="0"/>
  </r>
  <r>
    <s v="ROV-87448-086"/>
    <x v="81"/>
    <x v="84"/>
    <s v="A-M-2.5"/>
    <n v="4"/>
    <x v="84"/>
    <s v="agreenhead2j@dailymail.co.uk"/>
    <x v="0"/>
    <x v="2"/>
    <s v="M"/>
    <x v="2"/>
    <n v="25.874999999999996"/>
    <x v="68"/>
    <x v="2"/>
    <x v="0"/>
    <x v="1"/>
  </r>
  <r>
    <s v="DGY-35773-612"/>
    <x v="82"/>
    <x v="85"/>
    <s v="E-L-1"/>
    <n v="3"/>
    <x v="85"/>
    <n v="0"/>
    <x v="0"/>
    <x v="1"/>
    <s v="L"/>
    <x v="0"/>
    <n v="14.85"/>
    <x v="69"/>
    <x v="1"/>
    <x v="1"/>
    <x v="0"/>
  </r>
  <r>
    <s v="YWH-50638-556"/>
    <x v="83"/>
    <x v="86"/>
    <s v="E-L-0.5"/>
    <n v="4"/>
    <x v="86"/>
    <s v="elangcaster2l@spotify.com"/>
    <x v="2"/>
    <x v="1"/>
    <s v="L"/>
    <x v="1"/>
    <n v="8.91"/>
    <x v="70"/>
    <x v="1"/>
    <x v="1"/>
    <x v="0"/>
  </r>
  <r>
    <s v="ISL-11200-600"/>
    <x v="84"/>
    <x v="87"/>
    <s v="A-D-0.2"/>
    <n v="6"/>
    <x v="87"/>
    <n v="0"/>
    <x v="1"/>
    <x v="2"/>
    <s v="D"/>
    <x v="3"/>
    <n v="2.9849999999999999"/>
    <x v="8"/>
    <x v="2"/>
    <x v="2"/>
    <x v="0"/>
  </r>
  <r>
    <s v="LBZ-75997-047"/>
    <x v="85"/>
    <x v="88"/>
    <s v="A-M-2.5"/>
    <n v="6"/>
    <x v="88"/>
    <s v="nmagauran2n@51.la"/>
    <x v="0"/>
    <x v="2"/>
    <s v="M"/>
    <x v="2"/>
    <n v="25.874999999999996"/>
    <x v="71"/>
    <x v="2"/>
    <x v="0"/>
    <x v="1"/>
  </r>
  <r>
    <s v="EUH-08089-954"/>
    <x v="86"/>
    <x v="89"/>
    <s v="A-D-0.2"/>
    <n v="2"/>
    <x v="89"/>
    <s v="vkirdsch2o@google.fr"/>
    <x v="0"/>
    <x v="2"/>
    <s v="D"/>
    <x v="3"/>
    <n v="2.9849999999999999"/>
    <x v="9"/>
    <x v="2"/>
    <x v="2"/>
    <x v="1"/>
  </r>
  <r>
    <s v="BLD-12227-251"/>
    <x v="87"/>
    <x v="90"/>
    <s v="A-M-0.5"/>
    <n v="2"/>
    <x v="90"/>
    <s v="iwhapple2p@com.com"/>
    <x v="0"/>
    <x v="2"/>
    <s v="M"/>
    <x v="1"/>
    <n v="6.75"/>
    <x v="72"/>
    <x v="2"/>
    <x v="0"/>
    <x v="1"/>
  </r>
  <r>
    <s v="OPY-30711-853"/>
    <x v="25"/>
    <x v="91"/>
    <s v="A-D-0.2"/>
    <n v="1"/>
    <x v="91"/>
    <n v="0"/>
    <x v="1"/>
    <x v="2"/>
    <s v="D"/>
    <x v="3"/>
    <n v="2.9849999999999999"/>
    <x v="55"/>
    <x v="2"/>
    <x v="2"/>
    <x v="1"/>
  </r>
  <r>
    <s v="DBC-44122-300"/>
    <x v="88"/>
    <x v="92"/>
    <s v="L-M-0.2"/>
    <n v="3"/>
    <x v="92"/>
    <n v="0"/>
    <x v="0"/>
    <x v="3"/>
    <s v="M"/>
    <x v="3"/>
    <n v="4.3650000000000002"/>
    <x v="73"/>
    <x v="3"/>
    <x v="0"/>
    <x v="0"/>
  </r>
  <r>
    <s v="FJQ-60035-234"/>
    <x v="89"/>
    <x v="93"/>
    <s v="A-L-0.2"/>
    <n v="2"/>
    <x v="93"/>
    <n v="0"/>
    <x v="0"/>
    <x v="2"/>
    <s v="L"/>
    <x v="3"/>
    <n v="3.8849999999999998"/>
    <x v="41"/>
    <x v="2"/>
    <x v="1"/>
    <x v="0"/>
  </r>
  <r>
    <s v="HSF-66926-425"/>
    <x v="90"/>
    <x v="94"/>
    <s v="L-D-2.5"/>
    <n v="5"/>
    <x v="94"/>
    <s v="nyoules2t@reference.com"/>
    <x v="1"/>
    <x v="3"/>
    <s v="D"/>
    <x v="2"/>
    <n v="29.784999999999997"/>
    <x v="74"/>
    <x v="3"/>
    <x v="2"/>
    <x v="0"/>
  </r>
  <r>
    <s v="LQG-41416-375"/>
    <x v="91"/>
    <x v="95"/>
    <s v="L-D-1"/>
    <n v="3"/>
    <x v="95"/>
    <s v="daizikovitz2u@answers.com"/>
    <x v="1"/>
    <x v="3"/>
    <s v="D"/>
    <x v="0"/>
    <n v="12.95"/>
    <x v="5"/>
    <x v="3"/>
    <x v="2"/>
    <x v="0"/>
  </r>
  <r>
    <s v="VZO-97265-841"/>
    <x v="92"/>
    <x v="96"/>
    <s v="R-M-0.2"/>
    <n v="4"/>
    <x v="96"/>
    <s v="brevel2v@fastcompany.com"/>
    <x v="0"/>
    <x v="0"/>
    <s v="M"/>
    <x v="3"/>
    <n v="2.9849999999999999"/>
    <x v="22"/>
    <x v="0"/>
    <x v="0"/>
    <x v="1"/>
  </r>
  <r>
    <s v="MOR-12987-399"/>
    <x v="93"/>
    <x v="97"/>
    <s v="L-M-1"/>
    <n v="6"/>
    <x v="97"/>
    <s v="epriddis2w@nationalgeographic.com"/>
    <x v="0"/>
    <x v="3"/>
    <s v="M"/>
    <x v="0"/>
    <n v="14.55"/>
    <x v="75"/>
    <x v="3"/>
    <x v="0"/>
    <x v="1"/>
  </r>
  <r>
    <s v="UOA-23786-489"/>
    <x v="94"/>
    <x v="98"/>
    <s v="A-M-0.5"/>
    <n v="6"/>
    <x v="98"/>
    <s v="qveel2x@jugem.jp"/>
    <x v="0"/>
    <x v="2"/>
    <s v="M"/>
    <x v="1"/>
    <n v="6.75"/>
    <x v="61"/>
    <x v="2"/>
    <x v="0"/>
    <x v="0"/>
  </r>
  <r>
    <s v="AJL-52941-018"/>
    <x v="95"/>
    <x v="99"/>
    <s v="E-D-1"/>
    <n v="2"/>
    <x v="99"/>
    <s v="lconyers2y@twitter.com"/>
    <x v="0"/>
    <x v="1"/>
    <s v="D"/>
    <x v="0"/>
    <n v="12.15"/>
    <x v="76"/>
    <x v="1"/>
    <x v="2"/>
    <x v="1"/>
  </r>
  <r>
    <s v="XSZ-84273-421"/>
    <x v="96"/>
    <x v="100"/>
    <s v="R-M-0.5"/>
    <n v="3"/>
    <x v="100"/>
    <s v="pwye2z@dagondesign.com"/>
    <x v="0"/>
    <x v="0"/>
    <s v="M"/>
    <x v="1"/>
    <n v="5.97"/>
    <x v="8"/>
    <x v="0"/>
    <x v="0"/>
    <x v="0"/>
  </r>
  <r>
    <s v="NUN-48214-216"/>
    <x v="97"/>
    <x v="101"/>
    <s v="A-M-0.5"/>
    <n v="4"/>
    <x v="101"/>
    <n v="0"/>
    <x v="0"/>
    <x v="2"/>
    <s v="M"/>
    <x v="1"/>
    <n v="6.75"/>
    <x v="25"/>
    <x v="2"/>
    <x v="0"/>
    <x v="1"/>
  </r>
  <r>
    <s v="AKV-93064-769"/>
    <x v="98"/>
    <x v="102"/>
    <s v="L-D-0.5"/>
    <n v="1"/>
    <x v="102"/>
    <s v="tsheryn31@mtv.com"/>
    <x v="0"/>
    <x v="3"/>
    <s v="D"/>
    <x v="1"/>
    <n v="7.77"/>
    <x v="41"/>
    <x v="3"/>
    <x v="2"/>
    <x v="0"/>
  </r>
  <r>
    <s v="BRB-40903-533"/>
    <x v="99"/>
    <x v="103"/>
    <s v="E-L-0.2"/>
    <n v="3"/>
    <x v="103"/>
    <s v="mredgrave32@cargocollective.com"/>
    <x v="0"/>
    <x v="1"/>
    <s v="L"/>
    <x v="3"/>
    <n v="4.4550000000000001"/>
    <x v="77"/>
    <x v="1"/>
    <x v="1"/>
    <x v="0"/>
  </r>
  <r>
    <s v="GPR-19973-483"/>
    <x v="100"/>
    <x v="104"/>
    <s v="R-D-0.5"/>
    <n v="5"/>
    <x v="104"/>
    <s v="bfominov33@yale.edu"/>
    <x v="0"/>
    <x v="0"/>
    <s v="D"/>
    <x v="1"/>
    <n v="5.3699999999999992"/>
    <x v="51"/>
    <x v="0"/>
    <x v="2"/>
    <x v="1"/>
  </r>
  <r>
    <s v="XIY-43041-882"/>
    <x v="101"/>
    <x v="105"/>
    <s v="A-M-1"/>
    <n v="1"/>
    <x v="105"/>
    <s v="scritchlow34@un.org"/>
    <x v="0"/>
    <x v="2"/>
    <s v="M"/>
    <x v="0"/>
    <n v="11.25"/>
    <x v="23"/>
    <x v="2"/>
    <x v="0"/>
    <x v="1"/>
  </r>
  <r>
    <s v="YGY-98425-969"/>
    <x v="102"/>
    <x v="106"/>
    <s v="L-M-1"/>
    <n v="1"/>
    <x v="106"/>
    <s v="msteptow35@earthlink.net"/>
    <x v="1"/>
    <x v="3"/>
    <s v="M"/>
    <x v="0"/>
    <n v="14.55"/>
    <x v="78"/>
    <x v="3"/>
    <x v="0"/>
    <x v="1"/>
  </r>
  <r>
    <s v="MSB-08397-648"/>
    <x v="103"/>
    <x v="107"/>
    <s v="R-L-0.2"/>
    <n v="4"/>
    <x v="107"/>
    <n v="0"/>
    <x v="0"/>
    <x v="0"/>
    <s v="L"/>
    <x v="3"/>
    <n v="3.5849999999999995"/>
    <x v="79"/>
    <x v="0"/>
    <x v="1"/>
    <x v="1"/>
  </r>
  <r>
    <s v="WDR-06028-345"/>
    <x v="104"/>
    <x v="108"/>
    <s v="L-L-1"/>
    <n v="1"/>
    <x v="108"/>
    <s v="imulliner37@pinterest.com"/>
    <x v="2"/>
    <x v="3"/>
    <s v="L"/>
    <x v="0"/>
    <n v="15.85"/>
    <x v="80"/>
    <x v="3"/>
    <x v="1"/>
    <x v="1"/>
  </r>
  <r>
    <s v="MXM-42948-061"/>
    <x v="105"/>
    <x v="109"/>
    <s v="L-L-0.2"/>
    <n v="4"/>
    <x v="109"/>
    <s v="gstandley38@dion.ne.jp"/>
    <x v="1"/>
    <x v="3"/>
    <s v="L"/>
    <x v="3"/>
    <n v="4.7549999999999999"/>
    <x v="81"/>
    <x v="3"/>
    <x v="1"/>
    <x v="0"/>
  </r>
  <r>
    <s v="MGQ-98961-173"/>
    <x v="11"/>
    <x v="110"/>
    <s v="L-L-0.5"/>
    <n v="4"/>
    <x v="110"/>
    <s v="bdrage39@youku.com"/>
    <x v="0"/>
    <x v="3"/>
    <s v="L"/>
    <x v="1"/>
    <n v="9.51"/>
    <x v="82"/>
    <x v="3"/>
    <x v="1"/>
    <x v="1"/>
  </r>
  <r>
    <s v="RFH-64349-897"/>
    <x v="106"/>
    <x v="111"/>
    <s v="E-D-0.5"/>
    <n v="3"/>
    <x v="111"/>
    <s v="myallop3a@fema.gov"/>
    <x v="0"/>
    <x v="1"/>
    <s v="D"/>
    <x v="1"/>
    <n v="7.29"/>
    <x v="6"/>
    <x v="1"/>
    <x v="2"/>
    <x v="0"/>
  </r>
  <r>
    <s v="TKL-20738-660"/>
    <x v="107"/>
    <x v="112"/>
    <s v="E-M-0.2"/>
    <n v="1"/>
    <x v="112"/>
    <s v="cswitsur3b@chronoengine.com"/>
    <x v="0"/>
    <x v="1"/>
    <s v="M"/>
    <x v="3"/>
    <n v="4.125"/>
    <x v="83"/>
    <x v="1"/>
    <x v="0"/>
    <x v="1"/>
  </r>
  <r>
    <s v="TKL-20738-660"/>
    <x v="107"/>
    <x v="112"/>
    <s v="A-L-0.2"/>
    <n v="1"/>
    <x v="112"/>
    <s v="cswitsur3b@chronoengine.com"/>
    <x v="0"/>
    <x v="2"/>
    <s v="L"/>
    <x v="3"/>
    <n v="3.8849999999999998"/>
    <x v="84"/>
    <x v="2"/>
    <x v="1"/>
    <x v="1"/>
  </r>
  <r>
    <s v="TKL-20738-660"/>
    <x v="107"/>
    <x v="112"/>
    <s v="E-M-1"/>
    <n v="5"/>
    <x v="112"/>
    <s v="cswitsur3b@chronoengine.com"/>
    <x v="0"/>
    <x v="1"/>
    <s v="M"/>
    <x v="0"/>
    <n v="13.75"/>
    <x v="85"/>
    <x v="1"/>
    <x v="0"/>
    <x v="1"/>
  </r>
  <r>
    <s v="GOW-03198-575"/>
    <x v="108"/>
    <x v="113"/>
    <s v="A-D-0.5"/>
    <n v="4"/>
    <x v="113"/>
    <s v="mludwell3e@blogger.com"/>
    <x v="0"/>
    <x v="2"/>
    <s v="D"/>
    <x v="1"/>
    <n v="5.97"/>
    <x v="86"/>
    <x v="2"/>
    <x v="2"/>
    <x v="0"/>
  </r>
  <r>
    <s v="QJB-90477-635"/>
    <x v="109"/>
    <x v="114"/>
    <s v="L-L-2.5"/>
    <n v="4"/>
    <x v="114"/>
    <s v="dbeauchamp3f@usda.gov"/>
    <x v="0"/>
    <x v="3"/>
    <s v="L"/>
    <x v="2"/>
    <n v="36.454999999999998"/>
    <x v="43"/>
    <x v="3"/>
    <x v="1"/>
    <x v="1"/>
  </r>
  <r>
    <s v="MWP-46239-785"/>
    <x v="110"/>
    <x v="115"/>
    <s v="L-M-0.2"/>
    <n v="5"/>
    <x v="115"/>
    <s v="srodliff3g@ted.com"/>
    <x v="0"/>
    <x v="3"/>
    <s v="M"/>
    <x v="3"/>
    <n v="4.3650000000000002"/>
    <x v="26"/>
    <x v="3"/>
    <x v="0"/>
    <x v="0"/>
  </r>
  <r>
    <s v="QDV-03406-248"/>
    <x v="111"/>
    <x v="116"/>
    <s v="L-M-0.5"/>
    <n v="3"/>
    <x v="116"/>
    <s v="swoodham3h@businesswire.com"/>
    <x v="1"/>
    <x v="3"/>
    <s v="M"/>
    <x v="1"/>
    <n v="8.73"/>
    <x v="50"/>
    <x v="3"/>
    <x v="0"/>
    <x v="0"/>
  </r>
  <r>
    <s v="GPH-40635-105"/>
    <x v="112"/>
    <x v="117"/>
    <s v="A-M-1"/>
    <n v="1"/>
    <x v="117"/>
    <s v="hsynnot3i@about.com"/>
    <x v="0"/>
    <x v="2"/>
    <s v="M"/>
    <x v="0"/>
    <n v="11.25"/>
    <x v="23"/>
    <x v="2"/>
    <x v="0"/>
    <x v="1"/>
  </r>
  <r>
    <s v="JOM-80930-071"/>
    <x v="113"/>
    <x v="118"/>
    <s v="L-D-1"/>
    <n v="6"/>
    <x v="118"/>
    <s v="rlepere3j@shop-pro.jp"/>
    <x v="1"/>
    <x v="3"/>
    <s v="D"/>
    <x v="0"/>
    <n v="12.95"/>
    <x v="17"/>
    <x v="3"/>
    <x v="2"/>
    <x v="1"/>
  </r>
  <r>
    <s v="OIL-26493-755"/>
    <x v="114"/>
    <x v="119"/>
    <s v="A-M-0.5"/>
    <n v="1"/>
    <x v="119"/>
    <s v="twoofinden3k@businesswire.com"/>
    <x v="0"/>
    <x v="2"/>
    <s v="M"/>
    <x v="1"/>
    <n v="6.75"/>
    <x v="52"/>
    <x v="2"/>
    <x v="0"/>
    <x v="1"/>
  </r>
  <r>
    <s v="CYV-13426-645"/>
    <x v="115"/>
    <x v="120"/>
    <s v="E-D-1"/>
    <n v="1"/>
    <x v="120"/>
    <s v="edacca3l@google.pl"/>
    <x v="0"/>
    <x v="1"/>
    <s v="D"/>
    <x v="0"/>
    <n v="12.15"/>
    <x v="87"/>
    <x v="1"/>
    <x v="2"/>
    <x v="0"/>
  </r>
  <r>
    <s v="WRP-39846-614"/>
    <x v="49"/>
    <x v="121"/>
    <s v="A-L-2.5"/>
    <n v="5"/>
    <x v="121"/>
    <n v="0"/>
    <x v="1"/>
    <x v="2"/>
    <s v="L"/>
    <x v="2"/>
    <n v="29.784999999999997"/>
    <x v="74"/>
    <x v="2"/>
    <x v="1"/>
    <x v="0"/>
  </r>
  <r>
    <s v="VDZ-76673-968"/>
    <x v="116"/>
    <x v="122"/>
    <s v="E-D-0.5"/>
    <n v="2"/>
    <x v="122"/>
    <s v="bhindsberg3n@blogs.com"/>
    <x v="0"/>
    <x v="1"/>
    <s v="D"/>
    <x v="1"/>
    <n v="7.29"/>
    <x v="20"/>
    <x v="1"/>
    <x v="2"/>
    <x v="0"/>
  </r>
  <r>
    <s v="VTV-03546-175"/>
    <x v="117"/>
    <x v="123"/>
    <s v="A-L-2.5"/>
    <n v="5"/>
    <x v="123"/>
    <s v="orobins3o@salon.com"/>
    <x v="0"/>
    <x v="2"/>
    <s v="L"/>
    <x v="2"/>
    <n v="29.784999999999997"/>
    <x v="74"/>
    <x v="2"/>
    <x v="1"/>
    <x v="0"/>
  </r>
  <r>
    <s v="GHR-72274-715"/>
    <x v="118"/>
    <x v="124"/>
    <s v="L-D-1"/>
    <n v="1"/>
    <x v="124"/>
    <s v="osyseland3p@independent.co.uk"/>
    <x v="0"/>
    <x v="3"/>
    <s v="D"/>
    <x v="0"/>
    <n v="12.95"/>
    <x v="2"/>
    <x v="3"/>
    <x v="2"/>
    <x v="1"/>
  </r>
  <r>
    <s v="ZGK-97262-313"/>
    <x v="119"/>
    <x v="125"/>
    <s v="E-M-2.5"/>
    <n v="3"/>
    <x v="125"/>
    <n v="0"/>
    <x v="0"/>
    <x v="1"/>
    <s v="M"/>
    <x v="2"/>
    <n v="31.624999999999996"/>
    <x v="88"/>
    <x v="1"/>
    <x v="0"/>
    <x v="0"/>
  </r>
  <r>
    <s v="ZFS-30776-804"/>
    <x v="120"/>
    <x v="126"/>
    <s v="A-L-0.5"/>
    <n v="5"/>
    <x v="126"/>
    <s v="bmcamish2e@tripadvisor.com"/>
    <x v="0"/>
    <x v="2"/>
    <s v="L"/>
    <x v="1"/>
    <n v="7.77"/>
    <x v="5"/>
    <x v="2"/>
    <x v="1"/>
    <x v="0"/>
  </r>
  <r>
    <s v="QUU-91729-492"/>
    <x v="121"/>
    <x v="127"/>
    <s v="A-D-0.2"/>
    <n v="4"/>
    <x v="127"/>
    <s v="lkeenleyside3s@topsy.com"/>
    <x v="0"/>
    <x v="2"/>
    <s v="D"/>
    <x v="3"/>
    <n v="2.9849999999999999"/>
    <x v="22"/>
    <x v="2"/>
    <x v="2"/>
    <x v="1"/>
  </r>
  <r>
    <s v="PVI-72795-960"/>
    <x v="122"/>
    <x v="128"/>
    <s v="E-L-2.5"/>
    <n v="3"/>
    <x v="128"/>
    <n v="0"/>
    <x v="1"/>
    <x v="1"/>
    <s v="L"/>
    <x v="2"/>
    <n v="34.154999999999994"/>
    <x v="89"/>
    <x v="1"/>
    <x v="1"/>
    <x v="1"/>
  </r>
  <r>
    <s v="PPP-78935-365"/>
    <x v="123"/>
    <x v="129"/>
    <s v="E-D-1"/>
    <n v="4"/>
    <x v="129"/>
    <n v="0"/>
    <x v="0"/>
    <x v="1"/>
    <s v="D"/>
    <x v="0"/>
    <n v="12.15"/>
    <x v="90"/>
    <x v="1"/>
    <x v="2"/>
    <x v="1"/>
  </r>
  <r>
    <s v="JUO-34131-517"/>
    <x v="124"/>
    <x v="130"/>
    <s v="L-D-1"/>
    <n v="6"/>
    <x v="130"/>
    <n v="0"/>
    <x v="0"/>
    <x v="3"/>
    <s v="D"/>
    <x v="0"/>
    <n v="12.95"/>
    <x v="17"/>
    <x v="3"/>
    <x v="2"/>
    <x v="0"/>
  </r>
  <r>
    <s v="ZJE-89333-489"/>
    <x v="125"/>
    <x v="131"/>
    <s v="L-D-2.5"/>
    <n v="1"/>
    <x v="131"/>
    <s v="vkundt3w@bigcartel.com"/>
    <x v="1"/>
    <x v="3"/>
    <s v="D"/>
    <x v="2"/>
    <n v="29.784999999999997"/>
    <x v="91"/>
    <x v="3"/>
    <x v="2"/>
    <x v="0"/>
  </r>
  <r>
    <s v="LOO-35324-159"/>
    <x v="126"/>
    <x v="132"/>
    <s v="A-L-0.2"/>
    <n v="4"/>
    <x v="132"/>
    <s v="bbett3x@google.de"/>
    <x v="0"/>
    <x v="2"/>
    <s v="L"/>
    <x v="3"/>
    <n v="3.8849999999999998"/>
    <x v="42"/>
    <x v="2"/>
    <x v="1"/>
    <x v="0"/>
  </r>
  <r>
    <s v="JBQ-93412-846"/>
    <x v="127"/>
    <x v="133"/>
    <s v="E-L-2.5"/>
    <n v="4"/>
    <x v="133"/>
    <n v="0"/>
    <x v="1"/>
    <x v="1"/>
    <s v="L"/>
    <x v="2"/>
    <n v="34.154999999999994"/>
    <x v="56"/>
    <x v="1"/>
    <x v="1"/>
    <x v="0"/>
  </r>
  <r>
    <s v="EHX-66333-637"/>
    <x v="128"/>
    <x v="134"/>
    <s v="L-M-0.5"/>
    <n v="2"/>
    <x v="134"/>
    <s v="dstaite3z@scientificamerican.com"/>
    <x v="0"/>
    <x v="3"/>
    <s v="M"/>
    <x v="1"/>
    <n v="8.73"/>
    <x v="92"/>
    <x v="3"/>
    <x v="0"/>
    <x v="1"/>
  </r>
  <r>
    <s v="WXG-25759-236"/>
    <x v="103"/>
    <x v="135"/>
    <s v="E-L-2.5"/>
    <n v="2"/>
    <x v="135"/>
    <s v="wkeyse40@apple.com"/>
    <x v="0"/>
    <x v="1"/>
    <s v="L"/>
    <x v="2"/>
    <n v="34.154999999999994"/>
    <x v="93"/>
    <x v="1"/>
    <x v="1"/>
    <x v="0"/>
  </r>
  <r>
    <s v="QNA-31113-984"/>
    <x v="129"/>
    <x v="136"/>
    <s v="L-M-0.2"/>
    <n v="4"/>
    <x v="136"/>
    <s v="oclausenthue41@marriott.com"/>
    <x v="0"/>
    <x v="3"/>
    <s v="M"/>
    <x v="3"/>
    <n v="4.3650000000000002"/>
    <x v="92"/>
    <x v="3"/>
    <x v="0"/>
    <x v="1"/>
  </r>
  <r>
    <s v="ZWI-52029-159"/>
    <x v="130"/>
    <x v="137"/>
    <s v="L-M-1"/>
    <n v="3"/>
    <x v="137"/>
    <s v="lfrancisco42@fema.gov"/>
    <x v="0"/>
    <x v="3"/>
    <s v="M"/>
    <x v="0"/>
    <n v="14.55"/>
    <x v="34"/>
    <x v="3"/>
    <x v="0"/>
    <x v="1"/>
  </r>
  <r>
    <s v="ZWI-52029-159"/>
    <x v="130"/>
    <x v="137"/>
    <s v="E-M-1"/>
    <n v="2"/>
    <x v="137"/>
    <s v="lfrancisco42@fema.gov"/>
    <x v="0"/>
    <x v="1"/>
    <s v="M"/>
    <x v="0"/>
    <n v="13.75"/>
    <x v="3"/>
    <x v="1"/>
    <x v="0"/>
    <x v="1"/>
  </r>
  <r>
    <s v="DFS-49954-707"/>
    <x v="131"/>
    <x v="138"/>
    <s v="E-D-0.2"/>
    <n v="5"/>
    <x v="138"/>
    <s v="gskingle44@clickbank.net"/>
    <x v="0"/>
    <x v="1"/>
    <s v="D"/>
    <x v="3"/>
    <n v="3.645"/>
    <x v="94"/>
    <x v="1"/>
    <x v="2"/>
    <x v="0"/>
  </r>
  <r>
    <s v="VYP-89830-878"/>
    <x v="132"/>
    <x v="139"/>
    <s v="A-M-2.5"/>
    <n v="2"/>
    <x v="139"/>
    <n v="0"/>
    <x v="0"/>
    <x v="2"/>
    <s v="M"/>
    <x v="2"/>
    <n v="25.874999999999996"/>
    <x v="95"/>
    <x v="2"/>
    <x v="0"/>
    <x v="0"/>
  </r>
  <r>
    <s v="AMT-40418-362"/>
    <x v="133"/>
    <x v="140"/>
    <s v="L-D-1"/>
    <n v="1"/>
    <x v="140"/>
    <s v="jbalsillie46@princeton.edu"/>
    <x v="0"/>
    <x v="3"/>
    <s v="D"/>
    <x v="0"/>
    <n v="12.95"/>
    <x v="2"/>
    <x v="3"/>
    <x v="2"/>
    <x v="0"/>
  </r>
  <r>
    <s v="NFQ-23241-793"/>
    <x v="134"/>
    <x v="141"/>
    <s v="A-M-1"/>
    <n v="3"/>
    <x v="141"/>
    <n v="0"/>
    <x v="0"/>
    <x v="2"/>
    <s v="M"/>
    <x v="0"/>
    <n v="11.25"/>
    <x v="65"/>
    <x v="2"/>
    <x v="0"/>
    <x v="0"/>
  </r>
  <r>
    <s v="JQK-64922-985"/>
    <x v="113"/>
    <x v="142"/>
    <s v="R-M-2.5"/>
    <n v="3"/>
    <x v="142"/>
    <s v="bleffek48@ning.com"/>
    <x v="0"/>
    <x v="0"/>
    <s v="M"/>
    <x v="2"/>
    <n v="22.884999999999998"/>
    <x v="96"/>
    <x v="0"/>
    <x v="0"/>
    <x v="0"/>
  </r>
  <r>
    <s v="YET-17732-678"/>
    <x v="135"/>
    <x v="143"/>
    <s v="R-D-0.2"/>
    <n v="1"/>
    <x v="143"/>
    <n v="0"/>
    <x v="0"/>
    <x v="0"/>
    <s v="D"/>
    <x v="3"/>
    <n v="2.6849999999999996"/>
    <x v="97"/>
    <x v="0"/>
    <x v="2"/>
    <x v="1"/>
  </r>
  <r>
    <s v="NKW-24945-846"/>
    <x v="35"/>
    <x v="144"/>
    <s v="A-D-2.5"/>
    <n v="5"/>
    <x v="144"/>
    <s v="jpray4a@youtube.com"/>
    <x v="0"/>
    <x v="2"/>
    <s v="D"/>
    <x v="2"/>
    <n v="22.884999999999998"/>
    <x v="15"/>
    <x v="2"/>
    <x v="2"/>
    <x v="1"/>
  </r>
  <r>
    <s v="VKA-82720-513"/>
    <x v="136"/>
    <x v="145"/>
    <s v="A-M-2.5"/>
    <n v="6"/>
    <x v="145"/>
    <s v="gholborn4b@ow.ly"/>
    <x v="0"/>
    <x v="2"/>
    <s v="M"/>
    <x v="2"/>
    <n v="25.874999999999996"/>
    <x v="71"/>
    <x v="2"/>
    <x v="0"/>
    <x v="0"/>
  </r>
  <r>
    <s v="THA-60599-417"/>
    <x v="137"/>
    <x v="146"/>
    <s v="A-M-2.5"/>
    <n v="3"/>
    <x v="146"/>
    <s v="fkeinrat4c@dailymail.co.uk"/>
    <x v="0"/>
    <x v="2"/>
    <s v="M"/>
    <x v="2"/>
    <n v="25.874999999999996"/>
    <x v="57"/>
    <x v="2"/>
    <x v="0"/>
    <x v="0"/>
  </r>
  <r>
    <s v="MEK-39769-035"/>
    <x v="138"/>
    <x v="147"/>
    <s v="R-D-2.5"/>
    <n v="3"/>
    <x v="147"/>
    <s v="pyea4d@aol.com"/>
    <x v="1"/>
    <x v="0"/>
    <s v="D"/>
    <x v="2"/>
    <n v="20.584999999999997"/>
    <x v="98"/>
    <x v="0"/>
    <x v="2"/>
    <x v="1"/>
  </r>
  <r>
    <s v="JAF-18294-750"/>
    <x v="139"/>
    <x v="148"/>
    <s v="R-D-2.5"/>
    <n v="6"/>
    <x v="148"/>
    <n v="0"/>
    <x v="0"/>
    <x v="0"/>
    <s v="D"/>
    <x v="2"/>
    <n v="20.584999999999997"/>
    <x v="99"/>
    <x v="0"/>
    <x v="2"/>
    <x v="0"/>
  </r>
  <r>
    <s v="TME-59627-221"/>
    <x v="140"/>
    <x v="149"/>
    <s v="L-L-2.5"/>
    <n v="6"/>
    <x v="149"/>
    <n v="0"/>
    <x v="0"/>
    <x v="3"/>
    <s v="L"/>
    <x v="2"/>
    <n v="36.454999999999998"/>
    <x v="100"/>
    <x v="3"/>
    <x v="1"/>
    <x v="1"/>
  </r>
  <r>
    <s v="UDG-65353-824"/>
    <x v="141"/>
    <x v="150"/>
    <s v="E-M-0.5"/>
    <n v="4"/>
    <x v="150"/>
    <s v="kswede4g@addthis.com"/>
    <x v="0"/>
    <x v="1"/>
    <s v="M"/>
    <x v="1"/>
    <n v="8.25"/>
    <x v="101"/>
    <x v="1"/>
    <x v="0"/>
    <x v="1"/>
  </r>
  <r>
    <s v="ENQ-42923-176"/>
    <x v="142"/>
    <x v="151"/>
    <s v="A-L-0.5"/>
    <n v="3"/>
    <x v="151"/>
    <s v="lrubrow4h@microsoft.com"/>
    <x v="0"/>
    <x v="2"/>
    <s v="L"/>
    <x v="1"/>
    <n v="7.77"/>
    <x v="102"/>
    <x v="2"/>
    <x v="1"/>
    <x v="1"/>
  </r>
  <r>
    <s v="CBT-55781-720"/>
    <x v="143"/>
    <x v="152"/>
    <s v="E-D-0.5"/>
    <n v="3"/>
    <x v="152"/>
    <s v="dtift4i@netvibes.com"/>
    <x v="0"/>
    <x v="1"/>
    <s v="D"/>
    <x v="1"/>
    <n v="7.29"/>
    <x v="6"/>
    <x v="1"/>
    <x v="2"/>
    <x v="0"/>
  </r>
  <r>
    <s v="NEU-86533-016"/>
    <x v="144"/>
    <x v="153"/>
    <s v="R-D-0.2"/>
    <n v="6"/>
    <x v="153"/>
    <s v="gschonfeld4j@oracle.com"/>
    <x v="0"/>
    <x v="0"/>
    <s v="D"/>
    <x v="3"/>
    <n v="2.6849999999999996"/>
    <x v="103"/>
    <x v="0"/>
    <x v="2"/>
    <x v="1"/>
  </r>
  <r>
    <s v="BYU-58154-603"/>
    <x v="145"/>
    <x v="154"/>
    <s v="E-D-0.5"/>
    <n v="4"/>
    <x v="154"/>
    <s v="cfeye4k@google.co.jp"/>
    <x v="1"/>
    <x v="1"/>
    <s v="D"/>
    <x v="1"/>
    <n v="7.29"/>
    <x v="104"/>
    <x v="1"/>
    <x v="2"/>
    <x v="1"/>
  </r>
  <r>
    <s v="EHJ-05910-257"/>
    <x v="146"/>
    <x v="155"/>
    <s v="R-D-1"/>
    <n v="6"/>
    <x v="155"/>
    <n v="0"/>
    <x v="0"/>
    <x v="0"/>
    <s v="D"/>
    <x v="0"/>
    <n v="8.9499999999999993"/>
    <x v="59"/>
    <x v="0"/>
    <x v="2"/>
    <x v="0"/>
  </r>
  <r>
    <s v="EIL-44855-309"/>
    <x v="147"/>
    <x v="156"/>
    <s v="R-D-0.5"/>
    <n v="5"/>
    <x v="156"/>
    <n v="0"/>
    <x v="0"/>
    <x v="0"/>
    <s v="D"/>
    <x v="1"/>
    <n v="5.3699999999999992"/>
    <x v="51"/>
    <x v="0"/>
    <x v="2"/>
    <x v="0"/>
  </r>
  <r>
    <s v="HCA-87224-420"/>
    <x v="148"/>
    <x v="157"/>
    <s v="E-M-0.5"/>
    <n v="5"/>
    <x v="157"/>
    <s v="tfero4n@comsenz.com"/>
    <x v="0"/>
    <x v="1"/>
    <s v="M"/>
    <x v="1"/>
    <n v="8.25"/>
    <x v="1"/>
    <x v="1"/>
    <x v="0"/>
    <x v="0"/>
  </r>
  <r>
    <s v="ABO-29054-365"/>
    <x v="149"/>
    <x v="158"/>
    <s v="A-M-0.5"/>
    <n v="6"/>
    <x v="158"/>
    <n v="0"/>
    <x v="1"/>
    <x v="2"/>
    <s v="M"/>
    <x v="1"/>
    <n v="6.75"/>
    <x v="61"/>
    <x v="2"/>
    <x v="0"/>
    <x v="1"/>
  </r>
  <r>
    <s v="TKN-58485-031"/>
    <x v="150"/>
    <x v="159"/>
    <s v="R-D-1"/>
    <n v="2"/>
    <x v="159"/>
    <s v="fdauney4p@sphinn.com"/>
    <x v="1"/>
    <x v="0"/>
    <s v="D"/>
    <x v="0"/>
    <n v="8.9499999999999993"/>
    <x v="105"/>
    <x v="0"/>
    <x v="2"/>
    <x v="1"/>
  </r>
  <r>
    <s v="RCK-04069-371"/>
    <x v="151"/>
    <x v="160"/>
    <s v="E-L-2.5"/>
    <n v="2"/>
    <x v="160"/>
    <s v="searley4q@youku.com"/>
    <x v="2"/>
    <x v="1"/>
    <s v="L"/>
    <x v="2"/>
    <n v="34.154999999999994"/>
    <x v="93"/>
    <x v="1"/>
    <x v="1"/>
    <x v="1"/>
  </r>
  <r>
    <s v="IRJ-67095-738"/>
    <x v="13"/>
    <x v="161"/>
    <s v="E-M-2.5"/>
    <n v="2"/>
    <x v="161"/>
    <s v="mchamberlayne4r@bigcartel.com"/>
    <x v="0"/>
    <x v="1"/>
    <s v="M"/>
    <x v="2"/>
    <n v="31.624999999999996"/>
    <x v="40"/>
    <x v="1"/>
    <x v="0"/>
    <x v="0"/>
  </r>
  <r>
    <s v="VEA-31961-977"/>
    <x v="79"/>
    <x v="162"/>
    <s v="E-D-0.5"/>
    <n v="3"/>
    <x v="162"/>
    <s v="bflaherty4s@moonfruit.com"/>
    <x v="1"/>
    <x v="1"/>
    <s v="D"/>
    <x v="1"/>
    <n v="7.29"/>
    <x v="6"/>
    <x v="1"/>
    <x v="2"/>
    <x v="1"/>
  </r>
  <r>
    <s v="BAF-42286-205"/>
    <x v="152"/>
    <x v="163"/>
    <s v="R-M-2.5"/>
    <n v="4"/>
    <x v="163"/>
    <s v="ocolbeck4t@sina.com.cn"/>
    <x v="0"/>
    <x v="0"/>
    <s v="M"/>
    <x v="2"/>
    <n v="22.884999999999998"/>
    <x v="21"/>
    <x v="0"/>
    <x v="0"/>
    <x v="1"/>
  </r>
  <r>
    <s v="WOR-52762-511"/>
    <x v="153"/>
    <x v="164"/>
    <s v="E-L-2.5"/>
    <n v="6"/>
    <x v="164"/>
    <n v="0"/>
    <x v="0"/>
    <x v="1"/>
    <s v="L"/>
    <x v="2"/>
    <n v="34.154999999999994"/>
    <x v="106"/>
    <x v="1"/>
    <x v="1"/>
    <x v="0"/>
  </r>
  <r>
    <s v="ZWK-03995-815"/>
    <x v="154"/>
    <x v="165"/>
    <s v="E-M-2.5"/>
    <n v="2"/>
    <x v="165"/>
    <s v="ehobbing4v@nsw.gov.au"/>
    <x v="0"/>
    <x v="1"/>
    <s v="M"/>
    <x v="2"/>
    <n v="31.624999999999996"/>
    <x v="40"/>
    <x v="1"/>
    <x v="0"/>
    <x v="0"/>
  </r>
  <r>
    <s v="CKF-43291-846"/>
    <x v="155"/>
    <x v="166"/>
    <s v="E-L-2.5"/>
    <n v="1"/>
    <x v="166"/>
    <s v="othynne4w@auda.org.au"/>
    <x v="0"/>
    <x v="1"/>
    <s v="L"/>
    <x v="2"/>
    <n v="34.154999999999994"/>
    <x v="107"/>
    <x v="1"/>
    <x v="1"/>
    <x v="0"/>
  </r>
  <r>
    <s v="RMW-74160-339"/>
    <x v="156"/>
    <x v="167"/>
    <s v="R-L-2.5"/>
    <n v="4"/>
    <x v="167"/>
    <s v="eheining4x@flickr.com"/>
    <x v="0"/>
    <x v="0"/>
    <s v="L"/>
    <x v="2"/>
    <n v="27.484999999999996"/>
    <x v="108"/>
    <x v="0"/>
    <x v="1"/>
    <x v="0"/>
  </r>
  <r>
    <s v="FMT-94584-786"/>
    <x v="22"/>
    <x v="168"/>
    <s v="A-L-1"/>
    <n v="2"/>
    <x v="168"/>
    <s v="kmelloi4y@imdb.com"/>
    <x v="0"/>
    <x v="2"/>
    <s v="L"/>
    <x v="0"/>
    <n v="12.95"/>
    <x v="109"/>
    <x v="2"/>
    <x v="1"/>
    <x v="1"/>
  </r>
  <r>
    <s v="NWT-78222-575"/>
    <x v="157"/>
    <x v="169"/>
    <s v="A-D-0.2"/>
    <n v="1"/>
    <x v="169"/>
    <n v="0"/>
    <x v="1"/>
    <x v="2"/>
    <s v="D"/>
    <x v="3"/>
    <n v="2.9849999999999999"/>
    <x v="55"/>
    <x v="2"/>
    <x v="2"/>
    <x v="1"/>
  </r>
  <r>
    <s v="EOI-02511-919"/>
    <x v="158"/>
    <x v="170"/>
    <s v="E-L-0.2"/>
    <n v="5"/>
    <x v="170"/>
    <s v="amussen50@51.la"/>
    <x v="0"/>
    <x v="1"/>
    <s v="L"/>
    <x v="3"/>
    <n v="4.4550000000000001"/>
    <x v="110"/>
    <x v="1"/>
    <x v="1"/>
    <x v="1"/>
  </r>
  <r>
    <s v="EOI-02511-919"/>
    <x v="158"/>
    <x v="170"/>
    <s v="A-D-0.5"/>
    <n v="5"/>
    <x v="170"/>
    <s v="amussen50@51.la"/>
    <x v="0"/>
    <x v="2"/>
    <s v="D"/>
    <x v="1"/>
    <n v="5.97"/>
    <x v="44"/>
    <x v="2"/>
    <x v="2"/>
    <x v="1"/>
  </r>
  <r>
    <s v="UCT-03935-589"/>
    <x v="78"/>
    <x v="171"/>
    <s v="R-D-0.5"/>
    <n v="6"/>
    <x v="171"/>
    <s v="amundford52@nbcnews.com"/>
    <x v="0"/>
    <x v="0"/>
    <s v="D"/>
    <x v="1"/>
    <n v="5.3699999999999992"/>
    <x v="111"/>
    <x v="0"/>
    <x v="2"/>
    <x v="1"/>
  </r>
  <r>
    <s v="SBI-60013-494"/>
    <x v="159"/>
    <x v="172"/>
    <s v="E-M-0.2"/>
    <n v="2"/>
    <x v="172"/>
    <s v="twalas53@google.ca"/>
    <x v="0"/>
    <x v="1"/>
    <s v="M"/>
    <x v="3"/>
    <n v="4.125"/>
    <x v="112"/>
    <x v="1"/>
    <x v="0"/>
    <x v="1"/>
  </r>
  <r>
    <s v="QRA-73277-814"/>
    <x v="160"/>
    <x v="173"/>
    <s v="A-L-0.5"/>
    <n v="4"/>
    <x v="173"/>
    <s v="iblazewicz54@thetimes.co.uk"/>
    <x v="0"/>
    <x v="2"/>
    <s v="L"/>
    <x v="1"/>
    <n v="7.77"/>
    <x v="113"/>
    <x v="2"/>
    <x v="1"/>
    <x v="1"/>
  </r>
  <r>
    <s v="EQE-31648-909"/>
    <x v="161"/>
    <x v="174"/>
    <s v="E-D-0.5"/>
    <n v="5"/>
    <x v="174"/>
    <s v="arizzetti55@naver.com"/>
    <x v="0"/>
    <x v="1"/>
    <s v="D"/>
    <x v="1"/>
    <n v="7.29"/>
    <x v="114"/>
    <x v="1"/>
    <x v="2"/>
    <x v="0"/>
  </r>
  <r>
    <s v="QOO-24615-950"/>
    <x v="162"/>
    <x v="175"/>
    <s v="R-M-2.5"/>
    <n v="3"/>
    <x v="175"/>
    <s v="mmeriet56@noaa.gov"/>
    <x v="0"/>
    <x v="0"/>
    <s v="M"/>
    <x v="2"/>
    <n v="22.884999999999998"/>
    <x v="96"/>
    <x v="0"/>
    <x v="0"/>
    <x v="1"/>
  </r>
  <r>
    <s v="WDV-73864-037"/>
    <x v="70"/>
    <x v="176"/>
    <s v="L-M-0.5"/>
    <n v="5"/>
    <x v="176"/>
    <s v="lpratt57@netvibes.com"/>
    <x v="0"/>
    <x v="3"/>
    <s v="M"/>
    <x v="1"/>
    <n v="8.73"/>
    <x v="34"/>
    <x v="3"/>
    <x v="0"/>
    <x v="0"/>
  </r>
  <r>
    <s v="PKR-88575-066"/>
    <x v="163"/>
    <x v="177"/>
    <s v="E-L-0.2"/>
    <n v="1"/>
    <x v="177"/>
    <s v="akitchingham58@com.com"/>
    <x v="0"/>
    <x v="1"/>
    <s v="L"/>
    <x v="3"/>
    <n v="4.4550000000000001"/>
    <x v="115"/>
    <x v="1"/>
    <x v="1"/>
    <x v="0"/>
  </r>
  <r>
    <s v="BWR-85735-955"/>
    <x v="153"/>
    <x v="178"/>
    <s v="L-M-1"/>
    <n v="3"/>
    <x v="178"/>
    <s v="bbartholin59@xinhuanet.com"/>
    <x v="0"/>
    <x v="3"/>
    <s v="M"/>
    <x v="0"/>
    <n v="14.55"/>
    <x v="34"/>
    <x v="3"/>
    <x v="0"/>
    <x v="0"/>
  </r>
  <r>
    <s v="YFX-64795-136"/>
    <x v="164"/>
    <x v="179"/>
    <s v="L-M-2.5"/>
    <n v="1"/>
    <x v="179"/>
    <s v="mprinn5a@usa.gov"/>
    <x v="0"/>
    <x v="3"/>
    <s v="M"/>
    <x v="2"/>
    <n v="33.464999999999996"/>
    <x v="116"/>
    <x v="3"/>
    <x v="0"/>
    <x v="0"/>
  </r>
  <r>
    <s v="DDO-71442-967"/>
    <x v="165"/>
    <x v="180"/>
    <s v="L-D-0.2"/>
    <n v="5"/>
    <x v="180"/>
    <s v="abaudino5b@netvibes.com"/>
    <x v="0"/>
    <x v="3"/>
    <s v="D"/>
    <x v="3"/>
    <n v="3.8849999999999998"/>
    <x v="117"/>
    <x v="3"/>
    <x v="2"/>
    <x v="0"/>
  </r>
  <r>
    <s v="ILQ-11027-588"/>
    <x v="166"/>
    <x v="181"/>
    <s v="E-D-1"/>
    <n v="6"/>
    <x v="181"/>
    <s v="ppetrushanko5c@blinklist.com"/>
    <x v="1"/>
    <x v="1"/>
    <s v="D"/>
    <x v="0"/>
    <n v="12.15"/>
    <x v="118"/>
    <x v="1"/>
    <x v="2"/>
    <x v="0"/>
  </r>
  <r>
    <s v="KRZ-13868-122"/>
    <x v="167"/>
    <x v="182"/>
    <s v="E-L-1"/>
    <n v="3"/>
    <x v="182"/>
    <n v="0"/>
    <x v="0"/>
    <x v="1"/>
    <s v="L"/>
    <x v="0"/>
    <n v="14.85"/>
    <x v="69"/>
    <x v="1"/>
    <x v="1"/>
    <x v="1"/>
  </r>
  <r>
    <s v="VRM-93594-914"/>
    <x v="168"/>
    <x v="183"/>
    <s v="E-D-0.5"/>
    <n v="5"/>
    <x v="183"/>
    <s v="elaird5e@bing.com"/>
    <x v="0"/>
    <x v="1"/>
    <s v="D"/>
    <x v="1"/>
    <n v="7.29"/>
    <x v="114"/>
    <x v="1"/>
    <x v="2"/>
    <x v="1"/>
  </r>
  <r>
    <s v="HXL-22497-359"/>
    <x v="169"/>
    <x v="184"/>
    <s v="A-L-1"/>
    <n v="3"/>
    <x v="184"/>
    <s v="mhowsden5f@infoseek.co.jp"/>
    <x v="0"/>
    <x v="2"/>
    <s v="L"/>
    <x v="0"/>
    <n v="12.95"/>
    <x v="5"/>
    <x v="2"/>
    <x v="1"/>
    <x v="1"/>
  </r>
  <r>
    <s v="NOP-21394-646"/>
    <x v="170"/>
    <x v="185"/>
    <s v="E-L-0.5"/>
    <n v="6"/>
    <x v="185"/>
    <s v="ncuttler5g@parallels.com"/>
    <x v="0"/>
    <x v="1"/>
    <s v="L"/>
    <x v="1"/>
    <n v="8.91"/>
    <x v="119"/>
    <x v="1"/>
    <x v="1"/>
    <x v="1"/>
  </r>
  <r>
    <s v="NOP-21394-646"/>
    <x v="170"/>
    <x v="185"/>
    <s v="L-D-2.5"/>
    <n v="2"/>
    <x v="185"/>
    <s v="ncuttler5g@parallels.com"/>
    <x v="0"/>
    <x v="3"/>
    <s v="D"/>
    <x v="2"/>
    <n v="29.784999999999997"/>
    <x v="120"/>
    <x v="3"/>
    <x v="2"/>
    <x v="1"/>
  </r>
  <r>
    <s v="NOP-21394-646"/>
    <x v="170"/>
    <x v="185"/>
    <s v="L-D-2.5"/>
    <n v="3"/>
    <x v="185"/>
    <s v="ncuttler5g@parallels.com"/>
    <x v="0"/>
    <x v="3"/>
    <s v="D"/>
    <x v="2"/>
    <n v="29.784999999999997"/>
    <x v="49"/>
    <x v="3"/>
    <x v="2"/>
    <x v="1"/>
  </r>
  <r>
    <s v="NOP-21394-646"/>
    <x v="170"/>
    <x v="185"/>
    <s v="L-L-0.5"/>
    <n v="4"/>
    <x v="185"/>
    <s v="ncuttler5g@parallels.com"/>
    <x v="0"/>
    <x v="3"/>
    <s v="L"/>
    <x v="1"/>
    <n v="9.51"/>
    <x v="82"/>
    <x v="3"/>
    <x v="1"/>
    <x v="1"/>
  </r>
  <r>
    <s v="NOP-21394-646"/>
    <x v="170"/>
    <x v="185"/>
    <s v="E-M-1"/>
    <n v="3"/>
    <x v="185"/>
    <s v="ncuttler5g@parallels.com"/>
    <x v="0"/>
    <x v="1"/>
    <s v="M"/>
    <x v="0"/>
    <n v="13.75"/>
    <x v="1"/>
    <x v="1"/>
    <x v="0"/>
    <x v="1"/>
  </r>
  <r>
    <s v="FTV-77095-168"/>
    <x v="171"/>
    <x v="186"/>
    <s v="L-L-0.5"/>
    <n v="6"/>
    <x v="186"/>
    <n v="0"/>
    <x v="0"/>
    <x v="3"/>
    <s v="L"/>
    <x v="1"/>
    <n v="9.51"/>
    <x v="30"/>
    <x v="3"/>
    <x v="1"/>
    <x v="1"/>
  </r>
  <r>
    <s v="BOR-02906-411"/>
    <x v="172"/>
    <x v="187"/>
    <s v="L-D-2.5"/>
    <n v="6"/>
    <x v="187"/>
    <s v="tfelip5m@typepad.com"/>
    <x v="0"/>
    <x v="3"/>
    <s v="D"/>
    <x v="2"/>
    <n v="29.784999999999997"/>
    <x v="39"/>
    <x v="3"/>
    <x v="2"/>
    <x v="0"/>
  </r>
  <r>
    <s v="WMP-68847-770"/>
    <x v="173"/>
    <x v="188"/>
    <s v="L-L-0.2"/>
    <n v="1"/>
    <x v="188"/>
    <s v="vle5n@disqus.com"/>
    <x v="0"/>
    <x v="3"/>
    <s v="L"/>
    <x v="3"/>
    <n v="4.7549999999999999"/>
    <x v="7"/>
    <x v="3"/>
    <x v="1"/>
    <x v="1"/>
  </r>
  <r>
    <s v="TMO-22785-872"/>
    <x v="174"/>
    <x v="189"/>
    <s v="E-M-1"/>
    <n v="6"/>
    <x v="189"/>
    <n v="0"/>
    <x v="0"/>
    <x v="1"/>
    <s v="M"/>
    <x v="0"/>
    <n v="13.75"/>
    <x v="121"/>
    <x v="1"/>
    <x v="0"/>
    <x v="1"/>
  </r>
  <r>
    <s v="TJG-73587-353"/>
    <x v="175"/>
    <x v="190"/>
    <s v="R-D-0.2"/>
    <n v="3"/>
    <x v="190"/>
    <n v="0"/>
    <x v="0"/>
    <x v="0"/>
    <s v="D"/>
    <x v="3"/>
    <n v="2.6849999999999996"/>
    <x v="36"/>
    <x v="0"/>
    <x v="2"/>
    <x v="0"/>
  </r>
  <r>
    <s v="OOU-61343-455"/>
    <x v="176"/>
    <x v="191"/>
    <s v="A-M-1"/>
    <n v="2"/>
    <x v="191"/>
    <s v="npoolman5q@howstuffworks.com"/>
    <x v="0"/>
    <x v="2"/>
    <s v="M"/>
    <x v="0"/>
    <n v="11.25"/>
    <x v="122"/>
    <x v="2"/>
    <x v="0"/>
    <x v="1"/>
  </r>
  <r>
    <s v="RMA-08327-369"/>
    <x v="142"/>
    <x v="192"/>
    <s v="A-M-0.5"/>
    <n v="6"/>
    <x v="192"/>
    <s v="oduny5r@constantcontact.com"/>
    <x v="0"/>
    <x v="2"/>
    <s v="M"/>
    <x v="1"/>
    <n v="6.75"/>
    <x v="61"/>
    <x v="2"/>
    <x v="0"/>
    <x v="0"/>
  </r>
  <r>
    <s v="SFB-97929-779"/>
    <x v="177"/>
    <x v="193"/>
    <s v="E-D-0.5"/>
    <n v="4"/>
    <x v="193"/>
    <s v="chalfhide5s@google.ru"/>
    <x v="1"/>
    <x v="1"/>
    <s v="D"/>
    <x v="1"/>
    <n v="7.29"/>
    <x v="104"/>
    <x v="1"/>
    <x v="2"/>
    <x v="0"/>
  </r>
  <r>
    <s v="AUP-10128-606"/>
    <x v="178"/>
    <x v="194"/>
    <s v="A-M-0.5"/>
    <n v="1"/>
    <x v="194"/>
    <s v="fmalecky5t@list-manage.com"/>
    <x v="2"/>
    <x v="2"/>
    <s v="M"/>
    <x v="1"/>
    <n v="6.75"/>
    <x v="52"/>
    <x v="2"/>
    <x v="0"/>
    <x v="1"/>
  </r>
  <r>
    <s v="YTW-40242-005"/>
    <x v="179"/>
    <x v="195"/>
    <s v="L-D-1"/>
    <n v="4"/>
    <x v="195"/>
    <s v="aattwater5u@wikia.com"/>
    <x v="0"/>
    <x v="3"/>
    <s v="D"/>
    <x v="0"/>
    <n v="12.95"/>
    <x v="67"/>
    <x v="3"/>
    <x v="2"/>
    <x v="0"/>
  </r>
  <r>
    <s v="PRP-53390-819"/>
    <x v="180"/>
    <x v="196"/>
    <s v="E-L-0.5"/>
    <n v="6"/>
    <x v="196"/>
    <s v="mwhellans5v@mapquest.com"/>
    <x v="0"/>
    <x v="1"/>
    <s v="L"/>
    <x v="1"/>
    <n v="8.91"/>
    <x v="119"/>
    <x v="1"/>
    <x v="1"/>
    <x v="1"/>
  </r>
  <r>
    <s v="GSJ-01065-125"/>
    <x v="181"/>
    <x v="197"/>
    <s v="E-D-0.2"/>
    <n v="4"/>
    <x v="197"/>
    <s v="dcamilletti5w@businesswire.com"/>
    <x v="0"/>
    <x v="1"/>
    <s v="D"/>
    <x v="3"/>
    <n v="3.645"/>
    <x v="20"/>
    <x v="1"/>
    <x v="2"/>
    <x v="0"/>
  </r>
  <r>
    <s v="YQU-65147-580"/>
    <x v="182"/>
    <x v="198"/>
    <s v="R-D-2.5"/>
    <n v="1"/>
    <x v="198"/>
    <s v="egalgey5x@wufoo.com"/>
    <x v="0"/>
    <x v="0"/>
    <s v="D"/>
    <x v="2"/>
    <n v="20.584999999999997"/>
    <x v="123"/>
    <x v="0"/>
    <x v="2"/>
    <x v="1"/>
  </r>
  <r>
    <s v="QPM-95832-683"/>
    <x v="183"/>
    <x v="199"/>
    <s v="L-L-1"/>
    <n v="2"/>
    <x v="199"/>
    <s v="mhame5y@newsvine.com"/>
    <x v="1"/>
    <x v="3"/>
    <s v="L"/>
    <x v="0"/>
    <n v="15.85"/>
    <x v="124"/>
    <x v="3"/>
    <x v="1"/>
    <x v="1"/>
  </r>
  <r>
    <s v="BNQ-88920-567"/>
    <x v="184"/>
    <x v="200"/>
    <s v="L-D-0.2"/>
    <n v="6"/>
    <x v="200"/>
    <s v="igurnee5z@usnews.com"/>
    <x v="0"/>
    <x v="3"/>
    <s v="D"/>
    <x v="3"/>
    <n v="3.8849999999999998"/>
    <x v="102"/>
    <x v="3"/>
    <x v="2"/>
    <x v="1"/>
  </r>
  <r>
    <s v="PUX-47906-110"/>
    <x v="185"/>
    <x v="201"/>
    <s v="L-M-1"/>
    <n v="4"/>
    <x v="201"/>
    <s v="asnowding60@comsenz.com"/>
    <x v="0"/>
    <x v="3"/>
    <s v="M"/>
    <x v="0"/>
    <n v="14.55"/>
    <x v="125"/>
    <x v="3"/>
    <x v="0"/>
    <x v="0"/>
  </r>
  <r>
    <s v="COL-72079-610"/>
    <x v="186"/>
    <x v="202"/>
    <s v="E-L-0.5"/>
    <n v="4"/>
    <x v="202"/>
    <s v="gpoinsett61@berkeley.edu"/>
    <x v="0"/>
    <x v="1"/>
    <s v="L"/>
    <x v="1"/>
    <n v="8.91"/>
    <x v="70"/>
    <x v="1"/>
    <x v="1"/>
    <x v="1"/>
  </r>
  <r>
    <s v="LBC-45686-819"/>
    <x v="187"/>
    <x v="203"/>
    <s v="A-M-1"/>
    <n v="5"/>
    <x v="203"/>
    <s v="rfurman62@t.co"/>
    <x v="1"/>
    <x v="2"/>
    <s v="M"/>
    <x v="0"/>
    <n v="11.25"/>
    <x v="126"/>
    <x v="2"/>
    <x v="0"/>
    <x v="0"/>
  </r>
  <r>
    <s v="BLQ-03709-265"/>
    <x v="148"/>
    <x v="204"/>
    <s v="R-L-0.2"/>
    <n v="3"/>
    <x v="204"/>
    <s v="ccrosier63@xrea.com"/>
    <x v="0"/>
    <x v="0"/>
    <s v="L"/>
    <x v="3"/>
    <n v="3.5849999999999995"/>
    <x v="127"/>
    <x v="0"/>
    <x v="1"/>
    <x v="1"/>
  </r>
  <r>
    <s v="BLQ-03709-265"/>
    <x v="148"/>
    <x v="204"/>
    <s v="R-M-0.2"/>
    <n v="5"/>
    <x v="204"/>
    <s v="ccrosier63@xrea.com"/>
    <x v="0"/>
    <x v="0"/>
    <s v="M"/>
    <x v="3"/>
    <n v="2.9849999999999999"/>
    <x v="128"/>
    <x v="0"/>
    <x v="0"/>
    <x v="1"/>
  </r>
  <r>
    <s v="VFZ-91673-181"/>
    <x v="188"/>
    <x v="205"/>
    <s v="A-L-1"/>
    <n v="6"/>
    <x v="205"/>
    <s v="lrushmer65@europa.eu"/>
    <x v="0"/>
    <x v="2"/>
    <s v="L"/>
    <x v="0"/>
    <n v="12.95"/>
    <x v="17"/>
    <x v="2"/>
    <x v="1"/>
    <x v="0"/>
  </r>
  <r>
    <s v="WKD-81956-870"/>
    <x v="189"/>
    <x v="206"/>
    <s v="L-D-0.5"/>
    <n v="3"/>
    <x v="206"/>
    <s v="wedinborough66@github.io"/>
    <x v="0"/>
    <x v="3"/>
    <s v="D"/>
    <x v="1"/>
    <n v="7.77"/>
    <x v="102"/>
    <x v="3"/>
    <x v="2"/>
    <x v="1"/>
  </r>
  <r>
    <s v="TNI-91067-006"/>
    <x v="190"/>
    <x v="207"/>
    <s v="E-L-1"/>
    <n v="4"/>
    <x v="207"/>
    <n v="0"/>
    <x v="0"/>
    <x v="1"/>
    <s v="L"/>
    <x v="0"/>
    <n v="14.85"/>
    <x v="48"/>
    <x v="1"/>
    <x v="1"/>
    <x v="0"/>
  </r>
  <r>
    <s v="IZA-61469-812"/>
    <x v="191"/>
    <x v="208"/>
    <s v="L-D-2.5"/>
    <n v="4"/>
    <x v="208"/>
    <s v="kbromehead68@un.org"/>
    <x v="0"/>
    <x v="3"/>
    <s v="D"/>
    <x v="2"/>
    <n v="29.784999999999997"/>
    <x v="129"/>
    <x v="3"/>
    <x v="2"/>
    <x v="0"/>
  </r>
  <r>
    <s v="PSS-22466-862"/>
    <x v="192"/>
    <x v="209"/>
    <s v="R-L-0.2"/>
    <n v="4"/>
    <x v="209"/>
    <s v="ewesterman69@si.edu"/>
    <x v="1"/>
    <x v="0"/>
    <s v="L"/>
    <x v="3"/>
    <n v="3.5849999999999995"/>
    <x v="79"/>
    <x v="0"/>
    <x v="1"/>
    <x v="1"/>
  </r>
  <r>
    <s v="REH-56504-397"/>
    <x v="193"/>
    <x v="210"/>
    <s v="A-M-2.5"/>
    <n v="5"/>
    <x v="210"/>
    <s v="ahutchens6a@amazonaws.com"/>
    <x v="0"/>
    <x v="2"/>
    <s v="M"/>
    <x v="2"/>
    <n v="25.874999999999996"/>
    <x v="130"/>
    <x v="2"/>
    <x v="0"/>
    <x v="1"/>
  </r>
  <r>
    <s v="ALA-62598-016"/>
    <x v="194"/>
    <x v="211"/>
    <s v="R-D-0.2"/>
    <n v="6"/>
    <x v="211"/>
    <s v="nwyvill6b@naver.com"/>
    <x v="2"/>
    <x v="0"/>
    <s v="D"/>
    <x v="3"/>
    <n v="2.6849999999999996"/>
    <x v="103"/>
    <x v="0"/>
    <x v="2"/>
    <x v="0"/>
  </r>
  <r>
    <s v="EYE-70374-835"/>
    <x v="195"/>
    <x v="212"/>
    <s v="R-L-0.2"/>
    <n v="5"/>
    <x v="212"/>
    <s v="bmathon6c@barnesandnoble.com"/>
    <x v="0"/>
    <x v="0"/>
    <s v="L"/>
    <x v="3"/>
    <n v="3.5849999999999995"/>
    <x v="131"/>
    <x v="0"/>
    <x v="1"/>
    <x v="1"/>
  </r>
  <r>
    <s v="CCZ-19589-212"/>
    <x v="196"/>
    <x v="213"/>
    <s v="L-M-0.2"/>
    <n v="2"/>
    <x v="213"/>
    <s v="kstreight6d@about.com"/>
    <x v="0"/>
    <x v="3"/>
    <s v="M"/>
    <x v="3"/>
    <n v="4.3650000000000002"/>
    <x v="31"/>
    <x v="3"/>
    <x v="0"/>
    <x v="1"/>
  </r>
  <r>
    <s v="BPT-83989-157"/>
    <x v="197"/>
    <x v="214"/>
    <s v="A-M-2.5"/>
    <n v="2"/>
    <x v="214"/>
    <s v="pcutchie6e@globo.com"/>
    <x v="0"/>
    <x v="2"/>
    <s v="M"/>
    <x v="2"/>
    <n v="25.874999999999996"/>
    <x v="95"/>
    <x v="2"/>
    <x v="0"/>
    <x v="1"/>
  </r>
  <r>
    <s v="YFH-87456-208"/>
    <x v="198"/>
    <x v="215"/>
    <s v="L-M-0.2"/>
    <n v="2"/>
    <x v="215"/>
    <n v="0"/>
    <x v="0"/>
    <x v="3"/>
    <s v="M"/>
    <x v="3"/>
    <n v="4.3650000000000002"/>
    <x v="31"/>
    <x v="3"/>
    <x v="0"/>
    <x v="0"/>
  </r>
  <r>
    <s v="JLN-14700-924"/>
    <x v="199"/>
    <x v="216"/>
    <s v="L-L-0.2"/>
    <n v="5"/>
    <x v="216"/>
    <s v="cgheraldi6g@opera.com"/>
    <x v="2"/>
    <x v="3"/>
    <s v="L"/>
    <x v="3"/>
    <n v="4.7549999999999999"/>
    <x v="29"/>
    <x v="3"/>
    <x v="1"/>
    <x v="1"/>
  </r>
  <r>
    <s v="JVW-22582-137"/>
    <x v="200"/>
    <x v="217"/>
    <s v="E-M-0.2"/>
    <n v="5"/>
    <x v="217"/>
    <s v="bkenwell6h@over-blog.com"/>
    <x v="0"/>
    <x v="1"/>
    <s v="M"/>
    <x v="3"/>
    <n v="4.125"/>
    <x v="132"/>
    <x v="1"/>
    <x v="0"/>
    <x v="1"/>
  </r>
  <r>
    <s v="LAA-41879-001"/>
    <x v="201"/>
    <x v="218"/>
    <s v="L-L-2.5"/>
    <n v="1"/>
    <x v="218"/>
    <s v="tsutty6i@google.es"/>
    <x v="0"/>
    <x v="3"/>
    <s v="L"/>
    <x v="2"/>
    <n v="36.454999999999998"/>
    <x v="133"/>
    <x v="3"/>
    <x v="1"/>
    <x v="1"/>
  </r>
  <r>
    <s v="BRV-64870-915"/>
    <x v="202"/>
    <x v="219"/>
    <s v="L-L-2.5"/>
    <n v="5"/>
    <x v="219"/>
    <n v="0"/>
    <x v="1"/>
    <x v="3"/>
    <s v="L"/>
    <x v="2"/>
    <n v="36.454999999999998"/>
    <x v="134"/>
    <x v="3"/>
    <x v="1"/>
    <x v="1"/>
  </r>
  <r>
    <s v="RGJ-12544-083"/>
    <x v="203"/>
    <x v="220"/>
    <s v="L-D-2.5"/>
    <n v="3"/>
    <x v="220"/>
    <s v="charce6k@cafepress.com"/>
    <x v="1"/>
    <x v="3"/>
    <s v="D"/>
    <x v="2"/>
    <n v="29.784999999999997"/>
    <x v="49"/>
    <x v="3"/>
    <x v="2"/>
    <x v="1"/>
  </r>
  <r>
    <s v="JJX-83339-346"/>
    <x v="204"/>
    <x v="221"/>
    <s v="R-L-0.2"/>
    <n v="1"/>
    <x v="221"/>
    <n v="0"/>
    <x v="0"/>
    <x v="0"/>
    <s v="L"/>
    <x v="3"/>
    <n v="3.5849999999999995"/>
    <x v="60"/>
    <x v="0"/>
    <x v="1"/>
    <x v="0"/>
  </r>
  <r>
    <s v="BIU-21970-705"/>
    <x v="205"/>
    <x v="222"/>
    <s v="R-M-2.5"/>
    <n v="2"/>
    <x v="222"/>
    <s v="fdrysdale6m@symantec.com"/>
    <x v="0"/>
    <x v="0"/>
    <s v="M"/>
    <x v="2"/>
    <n v="22.884999999999998"/>
    <x v="135"/>
    <x v="0"/>
    <x v="0"/>
    <x v="0"/>
  </r>
  <r>
    <s v="ELJ-87741-745"/>
    <x v="206"/>
    <x v="223"/>
    <s v="E-L-1"/>
    <n v="4"/>
    <x v="223"/>
    <s v="dmagowan6n@fc2.com"/>
    <x v="0"/>
    <x v="1"/>
    <s v="L"/>
    <x v="0"/>
    <n v="14.85"/>
    <x v="48"/>
    <x v="1"/>
    <x v="1"/>
    <x v="1"/>
  </r>
  <r>
    <s v="SGI-48226-857"/>
    <x v="207"/>
    <x v="224"/>
    <s v="A-M-2.5"/>
    <n v="6"/>
    <x v="224"/>
    <n v="0"/>
    <x v="0"/>
    <x v="2"/>
    <s v="M"/>
    <x v="2"/>
    <n v="25.874999999999996"/>
    <x v="71"/>
    <x v="2"/>
    <x v="0"/>
    <x v="0"/>
  </r>
  <r>
    <s v="AHV-66988-037"/>
    <x v="208"/>
    <x v="225"/>
    <s v="R-M-2.5"/>
    <n v="2"/>
    <x v="225"/>
    <n v="0"/>
    <x v="0"/>
    <x v="0"/>
    <s v="M"/>
    <x v="2"/>
    <n v="22.884999999999998"/>
    <x v="135"/>
    <x v="0"/>
    <x v="0"/>
    <x v="1"/>
  </r>
  <r>
    <s v="ISK-42066-094"/>
    <x v="209"/>
    <x v="226"/>
    <s v="E-D-1"/>
    <n v="3"/>
    <x v="226"/>
    <s v="srushbrooke6q@youku.com"/>
    <x v="0"/>
    <x v="1"/>
    <s v="D"/>
    <x v="0"/>
    <n v="12.15"/>
    <x v="114"/>
    <x v="1"/>
    <x v="2"/>
    <x v="0"/>
  </r>
  <r>
    <s v="FTC-35822-530"/>
    <x v="210"/>
    <x v="227"/>
    <s v="E-D-0.5"/>
    <n v="4"/>
    <x v="227"/>
    <s v="tdrynan6r@deviantart.com"/>
    <x v="0"/>
    <x v="1"/>
    <s v="D"/>
    <x v="1"/>
    <n v="7.29"/>
    <x v="104"/>
    <x v="1"/>
    <x v="2"/>
    <x v="0"/>
  </r>
  <r>
    <s v="VSS-56247-688"/>
    <x v="211"/>
    <x v="228"/>
    <s v="L-M-2.5"/>
    <n v="4"/>
    <x v="228"/>
    <s v="eyurkov6s@hud.gov"/>
    <x v="0"/>
    <x v="3"/>
    <s v="M"/>
    <x v="2"/>
    <n v="33.464999999999996"/>
    <x v="136"/>
    <x v="3"/>
    <x v="0"/>
    <x v="1"/>
  </r>
  <r>
    <s v="HVW-25584-144"/>
    <x v="212"/>
    <x v="229"/>
    <s v="L-L-0.2"/>
    <n v="5"/>
    <x v="229"/>
    <s v="lmallan6t@state.gov"/>
    <x v="0"/>
    <x v="3"/>
    <s v="L"/>
    <x v="3"/>
    <n v="4.7549999999999999"/>
    <x v="29"/>
    <x v="3"/>
    <x v="1"/>
    <x v="0"/>
  </r>
  <r>
    <s v="MUY-15309-209"/>
    <x v="213"/>
    <x v="230"/>
    <s v="L-D-1"/>
    <n v="3"/>
    <x v="230"/>
    <s v="gbentjens6u@netlog.com"/>
    <x v="2"/>
    <x v="3"/>
    <s v="D"/>
    <x v="0"/>
    <n v="12.95"/>
    <x v="5"/>
    <x v="3"/>
    <x v="2"/>
    <x v="1"/>
  </r>
  <r>
    <s v="VAJ-44572-469"/>
    <x v="63"/>
    <x v="231"/>
    <s v="R-L-0.2"/>
    <n v="6"/>
    <x v="231"/>
    <n v="0"/>
    <x v="1"/>
    <x v="0"/>
    <s v="L"/>
    <x v="3"/>
    <n v="3.5849999999999995"/>
    <x v="137"/>
    <x v="0"/>
    <x v="1"/>
    <x v="0"/>
  </r>
  <r>
    <s v="YJU-84377-606"/>
    <x v="214"/>
    <x v="232"/>
    <s v="A-D-1"/>
    <n v="1"/>
    <x v="232"/>
    <s v="lentwistle6w@omniture.com"/>
    <x v="0"/>
    <x v="2"/>
    <s v="D"/>
    <x v="0"/>
    <n v="9.9499999999999993"/>
    <x v="138"/>
    <x v="2"/>
    <x v="2"/>
    <x v="0"/>
  </r>
  <r>
    <s v="VNC-93921-469"/>
    <x v="215"/>
    <x v="233"/>
    <s v="L-L-1"/>
    <n v="1"/>
    <x v="233"/>
    <s v="zkiffe74@cyberchimps.com"/>
    <x v="0"/>
    <x v="3"/>
    <s v="L"/>
    <x v="0"/>
    <n v="15.85"/>
    <x v="80"/>
    <x v="3"/>
    <x v="1"/>
    <x v="0"/>
  </r>
  <r>
    <s v="OGB-91614-810"/>
    <x v="216"/>
    <x v="234"/>
    <s v="R-M-0.2"/>
    <n v="1"/>
    <x v="234"/>
    <s v="macott6y@pagesperso-orange.fr"/>
    <x v="0"/>
    <x v="0"/>
    <s v="M"/>
    <x v="3"/>
    <n v="2.9849999999999999"/>
    <x v="55"/>
    <x v="0"/>
    <x v="0"/>
    <x v="0"/>
  </r>
  <r>
    <s v="BQI-61647-496"/>
    <x v="217"/>
    <x v="235"/>
    <s v="E-M-1"/>
    <n v="5"/>
    <x v="235"/>
    <s v="cheaviside6z@rediff.com"/>
    <x v="0"/>
    <x v="1"/>
    <s v="M"/>
    <x v="0"/>
    <n v="13.75"/>
    <x v="85"/>
    <x v="1"/>
    <x v="0"/>
    <x v="0"/>
  </r>
  <r>
    <s v="IOM-51636-823"/>
    <x v="218"/>
    <x v="236"/>
    <s v="A-D-1"/>
    <n v="3"/>
    <x v="236"/>
    <n v="0"/>
    <x v="0"/>
    <x v="2"/>
    <s v="D"/>
    <x v="0"/>
    <n v="9.9499999999999993"/>
    <x v="44"/>
    <x v="2"/>
    <x v="2"/>
    <x v="1"/>
  </r>
  <r>
    <s v="GGD-38107-641"/>
    <x v="219"/>
    <x v="237"/>
    <s v="L-M-1"/>
    <n v="4"/>
    <x v="237"/>
    <s v="lkernan71@wsj.com"/>
    <x v="0"/>
    <x v="3"/>
    <s v="M"/>
    <x v="0"/>
    <n v="14.55"/>
    <x v="125"/>
    <x v="3"/>
    <x v="0"/>
    <x v="1"/>
  </r>
  <r>
    <s v="LTO-95975-728"/>
    <x v="220"/>
    <x v="238"/>
    <s v="R-L-0.5"/>
    <n v="4"/>
    <x v="238"/>
    <s v="rmclae72@dailymotion.com"/>
    <x v="2"/>
    <x v="0"/>
    <s v="L"/>
    <x v="1"/>
    <n v="7.169999999999999"/>
    <x v="139"/>
    <x v="0"/>
    <x v="1"/>
    <x v="1"/>
  </r>
  <r>
    <s v="IGM-84664-265"/>
    <x v="114"/>
    <x v="239"/>
    <s v="R-L-0.5"/>
    <n v="3"/>
    <x v="239"/>
    <s v="cblowfelde73@ustream.tv"/>
    <x v="0"/>
    <x v="0"/>
    <s v="L"/>
    <x v="1"/>
    <n v="7.169999999999999"/>
    <x v="137"/>
    <x v="0"/>
    <x v="1"/>
    <x v="1"/>
  </r>
  <r>
    <s v="SKO-45740-621"/>
    <x v="221"/>
    <x v="233"/>
    <s v="L-M-0.5"/>
    <n v="2"/>
    <x v="233"/>
    <s v="zkiffe74@cyberchimps.com"/>
    <x v="0"/>
    <x v="3"/>
    <s v="M"/>
    <x v="1"/>
    <n v="8.73"/>
    <x v="92"/>
    <x v="3"/>
    <x v="0"/>
    <x v="0"/>
  </r>
  <r>
    <s v="FOJ-02234-063"/>
    <x v="222"/>
    <x v="240"/>
    <s v="E-D-2.5"/>
    <n v="1"/>
    <x v="240"/>
    <s v="docalleran75@ucla.edu"/>
    <x v="0"/>
    <x v="1"/>
    <s v="D"/>
    <x v="2"/>
    <n v="27.945"/>
    <x v="140"/>
    <x v="1"/>
    <x v="2"/>
    <x v="0"/>
  </r>
  <r>
    <s v="MSJ-11909-468"/>
    <x v="188"/>
    <x v="241"/>
    <s v="E-D-2.5"/>
    <n v="5"/>
    <x v="241"/>
    <s v="ccromwell76@desdev.cn"/>
    <x v="0"/>
    <x v="1"/>
    <s v="D"/>
    <x v="2"/>
    <n v="27.945"/>
    <x v="141"/>
    <x v="1"/>
    <x v="2"/>
    <x v="1"/>
  </r>
  <r>
    <s v="DKB-78053-329"/>
    <x v="223"/>
    <x v="242"/>
    <s v="R-M-0.2"/>
    <n v="2"/>
    <x v="242"/>
    <s v="ihay77@lulu.com"/>
    <x v="2"/>
    <x v="0"/>
    <s v="M"/>
    <x v="3"/>
    <n v="2.9849999999999999"/>
    <x v="9"/>
    <x v="0"/>
    <x v="0"/>
    <x v="1"/>
  </r>
  <r>
    <s v="DFZ-45083-941"/>
    <x v="224"/>
    <x v="243"/>
    <s v="R-L-2.5"/>
    <n v="1"/>
    <x v="243"/>
    <s v="ttaffarello78@sciencedaily.com"/>
    <x v="0"/>
    <x v="0"/>
    <s v="L"/>
    <x v="2"/>
    <n v="27.484999999999996"/>
    <x v="142"/>
    <x v="0"/>
    <x v="1"/>
    <x v="0"/>
  </r>
  <r>
    <s v="OTA-40969-710"/>
    <x v="83"/>
    <x v="244"/>
    <s v="R-L-1"/>
    <n v="5"/>
    <x v="244"/>
    <s v="mcanty79@jigsy.com"/>
    <x v="0"/>
    <x v="0"/>
    <s v="L"/>
    <x v="0"/>
    <n v="11.95"/>
    <x v="143"/>
    <x v="0"/>
    <x v="1"/>
    <x v="0"/>
  </r>
  <r>
    <s v="GRH-45571-667"/>
    <x v="104"/>
    <x v="245"/>
    <s v="E-M-1"/>
    <n v="3"/>
    <x v="245"/>
    <s v="jkopke7a@auda.org.au"/>
    <x v="0"/>
    <x v="1"/>
    <s v="M"/>
    <x v="0"/>
    <n v="13.75"/>
    <x v="1"/>
    <x v="1"/>
    <x v="0"/>
    <x v="1"/>
  </r>
  <r>
    <s v="NXV-05302-067"/>
    <x v="225"/>
    <x v="246"/>
    <s v="L-M-2.5"/>
    <n v="4"/>
    <x v="246"/>
    <n v="0"/>
    <x v="0"/>
    <x v="3"/>
    <s v="M"/>
    <x v="2"/>
    <n v="33.464999999999996"/>
    <x v="136"/>
    <x v="3"/>
    <x v="0"/>
    <x v="1"/>
  </r>
  <r>
    <s v="VZH-86274-142"/>
    <x v="226"/>
    <x v="247"/>
    <s v="R-L-1"/>
    <n v="5"/>
    <x v="247"/>
    <n v="0"/>
    <x v="1"/>
    <x v="0"/>
    <s v="L"/>
    <x v="0"/>
    <n v="11.95"/>
    <x v="143"/>
    <x v="0"/>
    <x v="1"/>
    <x v="0"/>
  </r>
  <r>
    <s v="KIX-93248-135"/>
    <x v="227"/>
    <x v="248"/>
    <s v="A-D-0.5"/>
    <n v="1"/>
    <x v="248"/>
    <s v="vhellmore7d@bbc.co.uk"/>
    <x v="0"/>
    <x v="2"/>
    <s v="D"/>
    <x v="1"/>
    <n v="5.97"/>
    <x v="9"/>
    <x v="2"/>
    <x v="2"/>
    <x v="0"/>
  </r>
  <r>
    <s v="AXR-10962-010"/>
    <x v="180"/>
    <x v="249"/>
    <s v="E-D-1"/>
    <n v="2"/>
    <x v="249"/>
    <s v="mseawright7e@nbcnews.com"/>
    <x v="2"/>
    <x v="1"/>
    <s v="D"/>
    <x v="0"/>
    <n v="12.15"/>
    <x v="76"/>
    <x v="1"/>
    <x v="2"/>
    <x v="1"/>
  </r>
  <r>
    <s v="IHS-71573-008"/>
    <x v="228"/>
    <x v="250"/>
    <s v="E-D-0.2"/>
    <n v="6"/>
    <x v="250"/>
    <s v="snortheast7f@mashable.com"/>
    <x v="0"/>
    <x v="1"/>
    <s v="D"/>
    <x v="3"/>
    <n v="3.645"/>
    <x v="6"/>
    <x v="1"/>
    <x v="2"/>
    <x v="0"/>
  </r>
  <r>
    <s v="QTR-19001-114"/>
    <x v="229"/>
    <x v="195"/>
    <s v="A-D-1"/>
    <n v="2"/>
    <x v="195"/>
    <s v="aattwater5u@wikia.com"/>
    <x v="0"/>
    <x v="2"/>
    <s v="D"/>
    <x v="0"/>
    <n v="9.9499999999999993"/>
    <x v="0"/>
    <x v="2"/>
    <x v="2"/>
    <x v="0"/>
  </r>
  <r>
    <s v="WBK-62297-910"/>
    <x v="230"/>
    <x v="251"/>
    <s v="A-D-0.2"/>
    <n v="2"/>
    <x v="251"/>
    <s v="mfearon7h@reverbnation.com"/>
    <x v="0"/>
    <x v="2"/>
    <s v="D"/>
    <x v="3"/>
    <n v="2.9849999999999999"/>
    <x v="9"/>
    <x v="2"/>
    <x v="2"/>
    <x v="1"/>
  </r>
  <r>
    <s v="OGY-19377-175"/>
    <x v="231"/>
    <x v="252"/>
    <s v="E-D-0.5"/>
    <n v="1"/>
    <x v="252"/>
    <n v="0"/>
    <x v="1"/>
    <x v="1"/>
    <s v="D"/>
    <x v="1"/>
    <n v="7.29"/>
    <x v="35"/>
    <x v="1"/>
    <x v="2"/>
    <x v="0"/>
  </r>
  <r>
    <s v="ESR-66651-814"/>
    <x v="80"/>
    <x v="253"/>
    <s v="A-D-0.2"/>
    <n v="4"/>
    <x v="253"/>
    <s v="jsisneros7j@a8.net"/>
    <x v="0"/>
    <x v="2"/>
    <s v="D"/>
    <x v="3"/>
    <n v="2.9849999999999999"/>
    <x v="22"/>
    <x v="2"/>
    <x v="2"/>
    <x v="0"/>
  </r>
  <r>
    <s v="CPX-46916-770"/>
    <x v="232"/>
    <x v="254"/>
    <s v="R-L-1"/>
    <n v="6"/>
    <x v="254"/>
    <s v="zcarlson7k@bigcartel.com"/>
    <x v="1"/>
    <x v="0"/>
    <s v="L"/>
    <x v="0"/>
    <n v="11.95"/>
    <x v="144"/>
    <x v="0"/>
    <x v="1"/>
    <x v="0"/>
  </r>
  <r>
    <s v="MDC-03318-645"/>
    <x v="233"/>
    <x v="255"/>
    <s v="A-L-0.2"/>
    <n v="2"/>
    <x v="255"/>
    <s v="wmaddox7l@timesonline.co.uk"/>
    <x v="0"/>
    <x v="2"/>
    <s v="L"/>
    <x v="3"/>
    <n v="3.8849999999999998"/>
    <x v="41"/>
    <x v="2"/>
    <x v="1"/>
    <x v="1"/>
  </r>
  <r>
    <s v="SFF-86059-407"/>
    <x v="234"/>
    <x v="256"/>
    <s v="A-M-2.5"/>
    <n v="1"/>
    <x v="256"/>
    <s v="dhedlestone7m@craigslist.org"/>
    <x v="0"/>
    <x v="2"/>
    <s v="M"/>
    <x v="2"/>
    <n v="25.874999999999996"/>
    <x v="145"/>
    <x v="2"/>
    <x v="0"/>
    <x v="1"/>
  </r>
  <r>
    <s v="SCL-94540-788"/>
    <x v="235"/>
    <x v="257"/>
    <s v="E-L-2.5"/>
    <n v="6"/>
    <x v="257"/>
    <s v="tcrowthe7n@europa.eu"/>
    <x v="0"/>
    <x v="1"/>
    <s v="L"/>
    <x v="2"/>
    <n v="34.154999999999994"/>
    <x v="106"/>
    <x v="1"/>
    <x v="1"/>
    <x v="1"/>
  </r>
  <r>
    <s v="HVU-21634-076"/>
    <x v="236"/>
    <x v="258"/>
    <s v="R-L-2.5"/>
    <n v="4"/>
    <x v="258"/>
    <s v="dbury7o@tinyurl.com"/>
    <x v="1"/>
    <x v="0"/>
    <s v="L"/>
    <x v="2"/>
    <n v="27.484999999999996"/>
    <x v="108"/>
    <x v="0"/>
    <x v="1"/>
    <x v="0"/>
  </r>
  <r>
    <s v="XUS-73326-418"/>
    <x v="237"/>
    <x v="259"/>
    <s v="E-L-1"/>
    <n v="6"/>
    <x v="259"/>
    <s v="gbroadbear7p@omniture.com"/>
    <x v="0"/>
    <x v="1"/>
    <s v="L"/>
    <x v="0"/>
    <n v="14.85"/>
    <x v="146"/>
    <x v="1"/>
    <x v="1"/>
    <x v="1"/>
  </r>
  <r>
    <s v="XWD-18933-006"/>
    <x v="238"/>
    <x v="260"/>
    <s v="A-L-0.2"/>
    <n v="2"/>
    <x v="260"/>
    <s v="epalfrey7q@devhub.com"/>
    <x v="0"/>
    <x v="2"/>
    <s v="L"/>
    <x v="3"/>
    <n v="3.8849999999999998"/>
    <x v="41"/>
    <x v="2"/>
    <x v="1"/>
    <x v="0"/>
  </r>
  <r>
    <s v="HPD-65272-772"/>
    <x v="52"/>
    <x v="261"/>
    <s v="L-M-2.5"/>
    <n v="1"/>
    <x v="261"/>
    <s v="pmetrick7r@rakuten.co.jp"/>
    <x v="0"/>
    <x v="3"/>
    <s v="M"/>
    <x v="2"/>
    <n v="33.464999999999996"/>
    <x v="116"/>
    <x v="3"/>
    <x v="0"/>
    <x v="0"/>
  </r>
  <r>
    <s v="JEG-93140-224"/>
    <x v="146"/>
    <x v="262"/>
    <s v="E-M-0.5"/>
    <n v="5"/>
    <x v="262"/>
    <n v="0"/>
    <x v="0"/>
    <x v="1"/>
    <s v="M"/>
    <x v="1"/>
    <n v="8.25"/>
    <x v="1"/>
    <x v="1"/>
    <x v="0"/>
    <x v="0"/>
  </r>
  <r>
    <s v="NNH-62058-950"/>
    <x v="239"/>
    <x v="263"/>
    <s v="E-L-1"/>
    <n v="4"/>
    <x v="263"/>
    <s v="kkarby7t@sbwire.com"/>
    <x v="0"/>
    <x v="1"/>
    <s v="L"/>
    <x v="0"/>
    <n v="14.85"/>
    <x v="48"/>
    <x v="1"/>
    <x v="1"/>
    <x v="0"/>
  </r>
  <r>
    <s v="LTD-71429-845"/>
    <x v="240"/>
    <x v="264"/>
    <s v="A-L-0.5"/>
    <n v="1"/>
    <x v="264"/>
    <s v="fcrumpe7u@ftc.gov"/>
    <x v="2"/>
    <x v="2"/>
    <s v="L"/>
    <x v="1"/>
    <n v="7.77"/>
    <x v="41"/>
    <x v="2"/>
    <x v="1"/>
    <x v="1"/>
  </r>
  <r>
    <s v="MPV-26985-215"/>
    <x v="241"/>
    <x v="265"/>
    <s v="R-D-0.5"/>
    <n v="1"/>
    <x v="265"/>
    <s v="achatto7v@sakura.ne.jp"/>
    <x v="2"/>
    <x v="0"/>
    <s v="D"/>
    <x v="1"/>
    <n v="5.3699999999999992"/>
    <x v="147"/>
    <x v="0"/>
    <x v="2"/>
    <x v="0"/>
  </r>
  <r>
    <s v="IYO-10245-081"/>
    <x v="242"/>
    <x v="266"/>
    <s v="E-M-2.5"/>
    <n v="3"/>
    <x v="266"/>
    <n v="0"/>
    <x v="0"/>
    <x v="1"/>
    <s v="M"/>
    <x v="2"/>
    <n v="31.624999999999996"/>
    <x v="88"/>
    <x v="1"/>
    <x v="0"/>
    <x v="1"/>
  </r>
  <r>
    <s v="BYZ-39669-954"/>
    <x v="243"/>
    <x v="267"/>
    <s v="L-L-2.5"/>
    <n v="1"/>
    <x v="267"/>
    <n v="0"/>
    <x v="0"/>
    <x v="3"/>
    <s v="L"/>
    <x v="2"/>
    <n v="36.454999999999998"/>
    <x v="133"/>
    <x v="3"/>
    <x v="1"/>
    <x v="1"/>
  </r>
  <r>
    <s v="EFB-72860-209"/>
    <x v="244"/>
    <x v="268"/>
    <s v="A-M-0.2"/>
    <n v="4"/>
    <x v="268"/>
    <s v="bmergue7y@umn.edu"/>
    <x v="0"/>
    <x v="2"/>
    <s v="M"/>
    <x v="3"/>
    <n v="3.375"/>
    <x v="72"/>
    <x v="2"/>
    <x v="0"/>
    <x v="0"/>
  </r>
  <r>
    <s v="GMM-72397-378"/>
    <x v="245"/>
    <x v="269"/>
    <s v="R-L-0.2"/>
    <n v="4"/>
    <x v="269"/>
    <s v="kpatise7z@jigsy.com"/>
    <x v="0"/>
    <x v="0"/>
    <s v="L"/>
    <x v="3"/>
    <n v="3.5849999999999995"/>
    <x v="79"/>
    <x v="0"/>
    <x v="1"/>
    <x v="1"/>
  </r>
  <r>
    <s v="LYP-52345-883"/>
    <x v="246"/>
    <x v="270"/>
    <s v="E-M-0.5"/>
    <n v="1"/>
    <x v="270"/>
    <n v="0"/>
    <x v="1"/>
    <x v="1"/>
    <s v="M"/>
    <x v="1"/>
    <n v="8.25"/>
    <x v="112"/>
    <x v="1"/>
    <x v="0"/>
    <x v="0"/>
  </r>
  <r>
    <s v="DFK-35846-692"/>
    <x v="247"/>
    <x v="271"/>
    <s v="R-D-0.2"/>
    <n v="5"/>
    <x v="271"/>
    <n v="0"/>
    <x v="0"/>
    <x v="0"/>
    <s v="D"/>
    <x v="3"/>
    <n v="2.6849999999999996"/>
    <x v="148"/>
    <x v="0"/>
    <x v="2"/>
    <x v="0"/>
  </r>
  <r>
    <s v="XAH-93337-609"/>
    <x v="248"/>
    <x v="272"/>
    <s v="A-D-1"/>
    <n v="5"/>
    <x v="272"/>
    <s v="dduke82@vkontakte.ru"/>
    <x v="0"/>
    <x v="2"/>
    <s v="D"/>
    <x v="0"/>
    <n v="9.9499999999999993"/>
    <x v="12"/>
    <x v="2"/>
    <x v="2"/>
    <x v="1"/>
  </r>
  <r>
    <s v="QKA-72582-644"/>
    <x v="249"/>
    <x v="273"/>
    <s v="E-M-0.5"/>
    <n v="2"/>
    <x v="273"/>
    <n v="0"/>
    <x v="1"/>
    <x v="1"/>
    <s v="M"/>
    <x v="1"/>
    <n v="8.25"/>
    <x v="38"/>
    <x v="1"/>
    <x v="0"/>
    <x v="1"/>
  </r>
  <r>
    <s v="ZDK-84567-102"/>
    <x v="250"/>
    <x v="274"/>
    <s v="A-D-0.5"/>
    <n v="3"/>
    <x v="274"/>
    <s v="ihussey84@mapy.cz"/>
    <x v="0"/>
    <x v="2"/>
    <s v="D"/>
    <x v="1"/>
    <n v="5.97"/>
    <x v="8"/>
    <x v="2"/>
    <x v="2"/>
    <x v="1"/>
  </r>
  <r>
    <s v="WAV-38301-984"/>
    <x v="251"/>
    <x v="275"/>
    <s v="A-D-0.5"/>
    <n v="5"/>
    <x v="275"/>
    <s v="cpinkerton85@upenn.edu"/>
    <x v="0"/>
    <x v="2"/>
    <s v="D"/>
    <x v="1"/>
    <n v="5.97"/>
    <x v="44"/>
    <x v="2"/>
    <x v="2"/>
    <x v="1"/>
  </r>
  <r>
    <s v="KZR-33023-209"/>
    <x v="177"/>
    <x v="276"/>
    <s v="E-L-1"/>
    <n v="3"/>
    <x v="276"/>
    <n v="0"/>
    <x v="0"/>
    <x v="1"/>
    <s v="L"/>
    <x v="0"/>
    <n v="14.85"/>
    <x v="69"/>
    <x v="1"/>
    <x v="1"/>
    <x v="1"/>
  </r>
  <r>
    <s v="ULM-49433-003"/>
    <x v="252"/>
    <x v="277"/>
    <s v="E-M-1"/>
    <n v="2"/>
    <x v="277"/>
    <n v="0"/>
    <x v="0"/>
    <x v="1"/>
    <s v="M"/>
    <x v="0"/>
    <n v="13.75"/>
    <x v="3"/>
    <x v="1"/>
    <x v="0"/>
    <x v="1"/>
  </r>
  <r>
    <s v="SIB-83254-136"/>
    <x v="253"/>
    <x v="278"/>
    <s v="R-M-0.5"/>
    <n v="6"/>
    <x v="278"/>
    <s v="dvizor88@furl.net"/>
    <x v="0"/>
    <x v="0"/>
    <s v="M"/>
    <x v="1"/>
    <n v="5.97"/>
    <x v="27"/>
    <x v="0"/>
    <x v="0"/>
    <x v="0"/>
  </r>
  <r>
    <s v="NOK-50349-551"/>
    <x v="254"/>
    <x v="279"/>
    <s v="R-D-0.5"/>
    <n v="3"/>
    <x v="279"/>
    <s v="esedgebeer89@oaic.gov.au"/>
    <x v="0"/>
    <x v="0"/>
    <s v="D"/>
    <x v="1"/>
    <n v="5.3699999999999992"/>
    <x v="103"/>
    <x v="0"/>
    <x v="2"/>
    <x v="0"/>
  </r>
  <r>
    <s v="YIS-96268-844"/>
    <x v="227"/>
    <x v="280"/>
    <s v="E-L-0.2"/>
    <n v="6"/>
    <x v="280"/>
    <s v="klestrange8a@lulu.com"/>
    <x v="0"/>
    <x v="1"/>
    <s v="L"/>
    <x v="3"/>
    <n v="4.4550000000000001"/>
    <x v="149"/>
    <x v="1"/>
    <x v="1"/>
    <x v="0"/>
  </r>
  <r>
    <s v="CXI-04933-855"/>
    <x v="110"/>
    <x v="281"/>
    <s v="E-L-2.5"/>
    <n v="6"/>
    <x v="281"/>
    <s v="ltanti8b@techcrunch.com"/>
    <x v="0"/>
    <x v="1"/>
    <s v="L"/>
    <x v="2"/>
    <n v="34.154999999999994"/>
    <x v="106"/>
    <x v="1"/>
    <x v="1"/>
    <x v="0"/>
  </r>
  <r>
    <s v="IZU-90429-382"/>
    <x v="182"/>
    <x v="282"/>
    <s v="A-L-1"/>
    <n v="3"/>
    <x v="282"/>
    <s v="ade8c@1und1.de"/>
    <x v="0"/>
    <x v="2"/>
    <s v="L"/>
    <x v="0"/>
    <n v="12.95"/>
    <x v="5"/>
    <x v="2"/>
    <x v="1"/>
    <x v="0"/>
  </r>
  <r>
    <s v="WIT-40912-783"/>
    <x v="255"/>
    <x v="283"/>
    <s v="L-D-0.2"/>
    <n v="4"/>
    <x v="283"/>
    <s v="tjedrachowicz8d@acquirethisname.com"/>
    <x v="0"/>
    <x v="3"/>
    <s v="D"/>
    <x v="3"/>
    <n v="3.8849999999999998"/>
    <x v="42"/>
    <x v="3"/>
    <x v="2"/>
    <x v="0"/>
  </r>
  <r>
    <s v="PSD-57291-590"/>
    <x v="256"/>
    <x v="284"/>
    <s v="A-M-0.5"/>
    <n v="1"/>
    <x v="284"/>
    <s v="pstonner8e@moonfruit.com"/>
    <x v="0"/>
    <x v="2"/>
    <s v="M"/>
    <x v="1"/>
    <n v="6.75"/>
    <x v="52"/>
    <x v="2"/>
    <x v="0"/>
    <x v="1"/>
  </r>
  <r>
    <s v="GOI-41472-677"/>
    <x v="3"/>
    <x v="285"/>
    <s v="E-D-2.5"/>
    <n v="4"/>
    <x v="285"/>
    <s v="dtingly8f@goo.ne.jp"/>
    <x v="0"/>
    <x v="1"/>
    <s v="D"/>
    <x v="2"/>
    <n v="27.945"/>
    <x v="150"/>
    <x v="1"/>
    <x v="2"/>
    <x v="0"/>
  </r>
  <r>
    <s v="KTX-17944-494"/>
    <x v="257"/>
    <x v="286"/>
    <s v="A-L-0.2"/>
    <n v="1"/>
    <x v="286"/>
    <s v="crushe8n@about.me"/>
    <x v="0"/>
    <x v="2"/>
    <s v="L"/>
    <x v="3"/>
    <n v="3.8849999999999998"/>
    <x v="84"/>
    <x v="2"/>
    <x v="1"/>
    <x v="0"/>
  </r>
  <r>
    <s v="RDM-99811-230"/>
    <x v="258"/>
    <x v="287"/>
    <s v="L-M-0.2"/>
    <n v="5"/>
    <x v="287"/>
    <s v="bchecci8h@usa.gov"/>
    <x v="2"/>
    <x v="3"/>
    <s v="M"/>
    <x v="3"/>
    <n v="4.3650000000000002"/>
    <x v="26"/>
    <x v="3"/>
    <x v="0"/>
    <x v="1"/>
  </r>
  <r>
    <s v="JTU-55897-581"/>
    <x v="259"/>
    <x v="288"/>
    <s v="R-M-0.2"/>
    <n v="5"/>
    <x v="288"/>
    <s v="jbagot8i@mac.com"/>
    <x v="0"/>
    <x v="0"/>
    <s v="M"/>
    <x v="3"/>
    <n v="2.9849999999999999"/>
    <x v="128"/>
    <x v="0"/>
    <x v="0"/>
    <x v="1"/>
  </r>
  <r>
    <s v="CRK-07584-240"/>
    <x v="260"/>
    <x v="289"/>
    <s v="A-M-1"/>
    <n v="3"/>
    <x v="289"/>
    <s v="ebeeble8j@soundcloud.com"/>
    <x v="0"/>
    <x v="2"/>
    <s v="M"/>
    <x v="0"/>
    <n v="11.25"/>
    <x v="65"/>
    <x v="2"/>
    <x v="0"/>
    <x v="0"/>
  </r>
  <r>
    <s v="MKE-75518-399"/>
    <x v="261"/>
    <x v="290"/>
    <s v="A-M-1"/>
    <n v="3"/>
    <x v="290"/>
    <s v="cfluin8k@flickr.com"/>
    <x v="2"/>
    <x v="2"/>
    <s v="M"/>
    <x v="0"/>
    <n v="11.25"/>
    <x v="65"/>
    <x v="2"/>
    <x v="0"/>
    <x v="1"/>
  </r>
  <r>
    <s v="AEL-51169-725"/>
    <x v="262"/>
    <x v="291"/>
    <s v="L-M-0.2"/>
    <n v="6"/>
    <x v="291"/>
    <s v="ebletsor8l@vinaora.com"/>
    <x v="0"/>
    <x v="3"/>
    <s v="M"/>
    <x v="3"/>
    <n v="4.3650000000000002"/>
    <x v="50"/>
    <x v="3"/>
    <x v="0"/>
    <x v="0"/>
  </r>
  <r>
    <s v="ZGM-83108-823"/>
    <x v="263"/>
    <x v="292"/>
    <s v="E-L-1"/>
    <n v="1"/>
    <x v="292"/>
    <s v="pbrydell8m@bloglovin.com"/>
    <x v="1"/>
    <x v="1"/>
    <s v="L"/>
    <x v="0"/>
    <n v="14.85"/>
    <x v="151"/>
    <x v="1"/>
    <x v="1"/>
    <x v="1"/>
  </r>
  <r>
    <s v="JBP-78754-392"/>
    <x v="212"/>
    <x v="286"/>
    <s v="E-M-2.5"/>
    <n v="6"/>
    <x v="286"/>
    <s v="crushe8n@about.me"/>
    <x v="0"/>
    <x v="1"/>
    <s v="M"/>
    <x v="2"/>
    <n v="31.624999999999996"/>
    <x v="152"/>
    <x v="1"/>
    <x v="0"/>
    <x v="0"/>
  </r>
  <r>
    <s v="RNH-54912-747"/>
    <x v="187"/>
    <x v="293"/>
    <s v="R-M-0.5"/>
    <n v="1"/>
    <x v="293"/>
    <s v="nleethem8o@mac.com"/>
    <x v="0"/>
    <x v="0"/>
    <s v="M"/>
    <x v="1"/>
    <n v="5.97"/>
    <x v="9"/>
    <x v="0"/>
    <x v="0"/>
    <x v="0"/>
  </r>
  <r>
    <s v="JDS-33440-914"/>
    <x v="248"/>
    <x v="294"/>
    <s v="R-M-1"/>
    <n v="3"/>
    <x v="294"/>
    <s v="anesfield8p@people.com.cn"/>
    <x v="2"/>
    <x v="0"/>
    <s v="M"/>
    <x v="0"/>
    <n v="9.9499999999999993"/>
    <x v="44"/>
    <x v="0"/>
    <x v="0"/>
    <x v="0"/>
  </r>
  <r>
    <s v="SYX-48878-182"/>
    <x v="264"/>
    <x v="295"/>
    <s v="R-D-1"/>
    <n v="5"/>
    <x v="295"/>
    <n v="0"/>
    <x v="0"/>
    <x v="0"/>
    <s v="D"/>
    <x v="0"/>
    <n v="8.9499999999999993"/>
    <x v="153"/>
    <x v="0"/>
    <x v="2"/>
    <x v="1"/>
  </r>
  <r>
    <s v="ZGD-94763-868"/>
    <x v="265"/>
    <x v="296"/>
    <s v="E-L-2.5"/>
    <n v="1"/>
    <x v="296"/>
    <s v="mbrockway8r@ibm.com"/>
    <x v="0"/>
    <x v="1"/>
    <s v="L"/>
    <x v="2"/>
    <n v="34.154999999999994"/>
    <x v="107"/>
    <x v="1"/>
    <x v="1"/>
    <x v="0"/>
  </r>
  <r>
    <s v="CZY-70361-485"/>
    <x v="266"/>
    <x v="297"/>
    <s v="E-L-2.5"/>
    <n v="6"/>
    <x v="297"/>
    <s v="nlush8s@dedecms.com"/>
    <x v="1"/>
    <x v="1"/>
    <s v="L"/>
    <x v="2"/>
    <n v="34.154999999999994"/>
    <x v="106"/>
    <x v="1"/>
    <x v="1"/>
    <x v="1"/>
  </r>
  <r>
    <s v="RJR-12175-899"/>
    <x v="267"/>
    <x v="298"/>
    <s v="E-D-0.5"/>
    <n v="3"/>
    <x v="298"/>
    <s v="smcmillian8t@csmonitor.com"/>
    <x v="0"/>
    <x v="1"/>
    <s v="D"/>
    <x v="1"/>
    <n v="7.29"/>
    <x v="6"/>
    <x v="1"/>
    <x v="2"/>
    <x v="1"/>
  </r>
  <r>
    <s v="ELB-07929-407"/>
    <x v="204"/>
    <x v="299"/>
    <s v="A-M-2.5"/>
    <n v="2"/>
    <x v="299"/>
    <s v="tbennison8u@google.cn"/>
    <x v="0"/>
    <x v="2"/>
    <s v="M"/>
    <x v="2"/>
    <n v="25.874999999999996"/>
    <x v="95"/>
    <x v="2"/>
    <x v="0"/>
    <x v="0"/>
  </r>
  <r>
    <s v="UJQ-54441-340"/>
    <x v="268"/>
    <x v="300"/>
    <s v="E-M-0.2"/>
    <n v="2"/>
    <x v="300"/>
    <s v="gtweed8v@yolasite.com"/>
    <x v="0"/>
    <x v="1"/>
    <s v="M"/>
    <x v="3"/>
    <n v="4.125"/>
    <x v="112"/>
    <x v="1"/>
    <x v="0"/>
    <x v="0"/>
  </r>
  <r>
    <s v="UJQ-54441-340"/>
    <x v="268"/>
    <x v="300"/>
    <s v="A-L-0.2"/>
    <n v="5"/>
    <x v="300"/>
    <s v="gtweed8v@yolasite.com"/>
    <x v="0"/>
    <x v="2"/>
    <s v="L"/>
    <x v="3"/>
    <n v="3.8849999999999998"/>
    <x v="117"/>
    <x v="2"/>
    <x v="1"/>
    <x v="0"/>
  </r>
  <r>
    <s v="OWY-43108-475"/>
    <x v="269"/>
    <x v="301"/>
    <s v="A-M-0.2"/>
    <n v="6"/>
    <x v="301"/>
    <s v="ggoggin8x@wix.com"/>
    <x v="1"/>
    <x v="2"/>
    <s v="M"/>
    <x v="3"/>
    <n v="3.375"/>
    <x v="16"/>
    <x v="2"/>
    <x v="0"/>
    <x v="0"/>
  </r>
  <r>
    <s v="GNO-91911-159"/>
    <x v="145"/>
    <x v="302"/>
    <s v="L-D-0.5"/>
    <n v="3"/>
    <x v="302"/>
    <s v="sjeyness8y@biglobe.ne.jp"/>
    <x v="1"/>
    <x v="3"/>
    <s v="D"/>
    <x v="1"/>
    <n v="7.77"/>
    <x v="102"/>
    <x v="3"/>
    <x v="2"/>
    <x v="1"/>
  </r>
  <r>
    <s v="CNY-06284-066"/>
    <x v="270"/>
    <x v="303"/>
    <s v="E-D-0.2"/>
    <n v="5"/>
    <x v="303"/>
    <s v="dbonhome8z@shinystat.com"/>
    <x v="0"/>
    <x v="1"/>
    <s v="D"/>
    <x v="3"/>
    <n v="3.645"/>
    <x v="94"/>
    <x v="1"/>
    <x v="2"/>
    <x v="0"/>
  </r>
  <r>
    <s v="OQS-46321-904"/>
    <x v="271"/>
    <x v="304"/>
    <s v="E-M-1"/>
    <n v="1"/>
    <x v="304"/>
    <n v="0"/>
    <x v="0"/>
    <x v="1"/>
    <s v="M"/>
    <x v="0"/>
    <n v="13.75"/>
    <x v="154"/>
    <x v="1"/>
    <x v="0"/>
    <x v="1"/>
  </r>
  <r>
    <s v="IBW-87442-480"/>
    <x v="272"/>
    <x v="305"/>
    <s v="A-L-2.5"/>
    <n v="1"/>
    <x v="305"/>
    <s v="tle91@epa.gov"/>
    <x v="0"/>
    <x v="2"/>
    <s v="L"/>
    <x v="2"/>
    <n v="29.784999999999997"/>
    <x v="91"/>
    <x v="2"/>
    <x v="1"/>
    <x v="0"/>
  </r>
  <r>
    <s v="DGZ-82537-477"/>
    <x v="252"/>
    <x v="306"/>
    <s v="R-D-1"/>
    <n v="5"/>
    <x v="306"/>
    <n v="0"/>
    <x v="0"/>
    <x v="0"/>
    <s v="D"/>
    <x v="0"/>
    <n v="8.9499999999999993"/>
    <x v="153"/>
    <x v="0"/>
    <x v="2"/>
    <x v="1"/>
  </r>
  <r>
    <s v="LPS-39089-432"/>
    <x v="273"/>
    <x v="307"/>
    <s v="R-D-1"/>
    <n v="5"/>
    <x v="307"/>
    <s v="balldridge93@yandex.ru"/>
    <x v="0"/>
    <x v="0"/>
    <s v="D"/>
    <x v="0"/>
    <n v="8.9499999999999993"/>
    <x v="153"/>
    <x v="0"/>
    <x v="2"/>
    <x v="0"/>
  </r>
  <r>
    <s v="MQU-86100-929"/>
    <x v="274"/>
    <x v="308"/>
    <s v="L-L-0.5"/>
    <n v="4"/>
    <x v="308"/>
    <n v="0"/>
    <x v="0"/>
    <x v="3"/>
    <s v="L"/>
    <x v="1"/>
    <n v="9.51"/>
    <x v="82"/>
    <x v="3"/>
    <x v="1"/>
    <x v="0"/>
  </r>
  <r>
    <s v="XUR-14132-391"/>
    <x v="275"/>
    <x v="309"/>
    <s v="R-D-0.5"/>
    <n v="4"/>
    <x v="309"/>
    <s v="lgoodger95@guardian.co.uk"/>
    <x v="0"/>
    <x v="0"/>
    <s v="D"/>
    <x v="1"/>
    <n v="5.3699999999999992"/>
    <x v="155"/>
    <x v="0"/>
    <x v="2"/>
    <x v="0"/>
  </r>
  <r>
    <s v="OVI-27064-381"/>
    <x v="276"/>
    <x v="298"/>
    <s v="R-D-0.5"/>
    <n v="3"/>
    <x v="298"/>
    <s v="smcmillian8t@csmonitor.com"/>
    <x v="0"/>
    <x v="0"/>
    <s v="D"/>
    <x v="1"/>
    <n v="5.3699999999999992"/>
    <x v="103"/>
    <x v="0"/>
    <x v="2"/>
    <x v="1"/>
  </r>
  <r>
    <s v="SHP-17012-870"/>
    <x v="277"/>
    <x v="310"/>
    <s v="R-M-2.5"/>
    <n v="1"/>
    <x v="310"/>
    <s v="cdrewett97@wikipedia.org"/>
    <x v="0"/>
    <x v="0"/>
    <s v="M"/>
    <x v="2"/>
    <n v="22.884999999999998"/>
    <x v="156"/>
    <x v="0"/>
    <x v="0"/>
    <x v="0"/>
  </r>
  <r>
    <s v="FDY-03414-903"/>
    <x v="278"/>
    <x v="311"/>
    <s v="A-D-0.5"/>
    <n v="3"/>
    <x v="311"/>
    <s v="qparsons98@blogtalkradio.com"/>
    <x v="0"/>
    <x v="2"/>
    <s v="D"/>
    <x v="1"/>
    <n v="5.97"/>
    <x v="8"/>
    <x v="2"/>
    <x v="2"/>
    <x v="0"/>
  </r>
  <r>
    <s v="WXT-85291-143"/>
    <x v="279"/>
    <x v="312"/>
    <s v="R-M-0.5"/>
    <n v="4"/>
    <x v="312"/>
    <s v="vceely99@auda.org.au"/>
    <x v="0"/>
    <x v="0"/>
    <s v="M"/>
    <x v="1"/>
    <n v="5.97"/>
    <x v="86"/>
    <x v="0"/>
    <x v="0"/>
    <x v="0"/>
  </r>
  <r>
    <s v="QNP-18893-547"/>
    <x v="280"/>
    <x v="313"/>
    <s v="R-L-1"/>
    <n v="5"/>
    <x v="313"/>
    <n v="0"/>
    <x v="0"/>
    <x v="0"/>
    <s v="L"/>
    <x v="0"/>
    <n v="11.95"/>
    <x v="143"/>
    <x v="0"/>
    <x v="1"/>
    <x v="1"/>
  </r>
  <r>
    <s v="DOH-92927-530"/>
    <x v="281"/>
    <x v="314"/>
    <s v="L-L-0.2"/>
    <n v="6"/>
    <x v="314"/>
    <s v="cvasiliev9b@discuz.net"/>
    <x v="0"/>
    <x v="3"/>
    <s v="L"/>
    <x v="3"/>
    <n v="4.7549999999999999"/>
    <x v="32"/>
    <x v="3"/>
    <x v="1"/>
    <x v="0"/>
  </r>
  <r>
    <s v="HGJ-82768-173"/>
    <x v="282"/>
    <x v="315"/>
    <s v="A-M-1"/>
    <n v="4"/>
    <x v="315"/>
    <s v="tomoylan9c@liveinternet.ru"/>
    <x v="2"/>
    <x v="2"/>
    <s v="M"/>
    <x v="0"/>
    <n v="11.25"/>
    <x v="157"/>
    <x v="2"/>
    <x v="0"/>
    <x v="1"/>
  </r>
  <r>
    <s v="YPT-95383-088"/>
    <x v="283"/>
    <x v="306"/>
    <s v="E-D-2.5"/>
    <n v="2"/>
    <x v="306"/>
    <n v="0"/>
    <x v="0"/>
    <x v="1"/>
    <s v="D"/>
    <x v="2"/>
    <n v="27.945"/>
    <x v="158"/>
    <x v="1"/>
    <x v="2"/>
    <x v="1"/>
  </r>
  <r>
    <s v="OYH-16533-767"/>
    <x v="284"/>
    <x v="316"/>
    <s v="E-L-1"/>
    <n v="4"/>
    <x v="316"/>
    <s v="wfetherston9e@constantcontact.com"/>
    <x v="0"/>
    <x v="1"/>
    <s v="L"/>
    <x v="0"/>
    <n v="14.85"/>
    <x v="48"/>
    <x v="1"/>
    <x v="1"/>
    <x v="1"/>
  </r>
  <r>
    <s v="DWW-28642-549"/>
    <x v="285"/>
    <x v="317"/>
    <s v="E-D-0.2"/>
    <n v="2"/>
    <x v="317"/>
    <s v="erasmus9f@techcrunch.com"/>
    <x v="0"/>
    <x v="1"/>
    <s v="D"/>
    <x v="3"/>
    <n v="3.645"/>
    <x v="35"/>
    <x v="1"/>
    <x v="2"/>
    <x v="0"/>
  </r>
  <r>
    <s v="CGO-79583-871"/>
    <x v="286"/>
    <x v="318"/>
    <s v="E-D-0.5"/>
    <n v="1"/>
    <x v="318"/>
    <s v="wgiorgioni9g@wikipedia.org"/>
    <x v="0"/>
    <x v="1"/>
    <s v="D"/>
    <x v="1"/>
    <n v="7.29"/>
    <x v="35"/>
    <x v="1"/>
    <x v="2"/>
    <x v="0"/>
  </r>
  <r>
    <s v="TFY-52090-386"/>
    <x v="287"/>
    <x v="319"/>
    <s v="E-L-0.5"/>
    <n v="2"/>
    <x v="319"/>
    <s v="lscargle9h@myspace.com"/>
    <x v="0"/>
    <x v="1"/>
    <s v="L"/>
    <x v="1"/>
    <n v="8.91"/>
    <x v="58"/>
    <x v="1"/>
    <x v="1"/>
    <x v="1"/>
  </r>
  <r>
    <s v="TFY-52090-386"/>
    <x v="287"/>
    <x v="319"/>
    <s v="L-D-0.5"/>
    <n v="5"/>
    <x v="319"/>
    <s v="lscargle9h@myspace.com"/>
    <x v="0"/>
    <x v="3"/>
    <s v="D"/>
    <x v="1"/>
    <n v="7.77"/>
    <x v="5"/>
    <x v="3"/>
    <x v="2"/>
    <x v="1"/>
  </r>
  <r>
    <s v="NYY-73968-094"/>
    <x v="288"/>
    <x v="320"/>
    <s v="R-D-0.5"/>
    <n v="6"/>
    <x v="320"/>
    <s v="nclimance9j@europa.eu"/>
    <x v="0"/>
    <x v="0"/>
    <s v="D"/>
    <x v="1"/>
    <n v="5.3699999999999992"/>
    <x v="111"/>
    <x v="0"/>
    <x v="2"/>
    <x v="1"/>
  </r>
  <r>
    <s v="QEY-71761-460"/>
    <x v="250"/>
    <x v="321"/>
    <s v="R-M-1"/>
    <n v="2"/>
    <x v="321"/>
    <n v="0"/>
    <x v="1"/>
    <x v="0"/>
    <s v="M"/>
    <x v="0"/>
    <n v="9.9499999999999993"/>
    <x v="0"/>
    <x v="0"/>
    <x v="0"/>
    <x v="0"/>
  </r>
  <r>
    <s v="GKQ-82603-910"/>
    <x v="289"/>
    <x v="322"/>
    <s v="R-L-1"/>
    <n v="5"/>
    <x v="322"/>
    <s v="asnazle9l@oracle.com"/>
    <x v="0"/>
    <x v="0"/>
    <s v="L"/>
    <x v="0"/>
    <n v="11.95"/>
    <x v="143"/>
    <x v="0"/>
    <x v="1"/>
    <x v="1"/>
  </r>
  <r>
    <s v="IOB-32673-745"/>
    <x v="290"/>
    <x v="323"/>
    <s v="A-L-0.5"/>
    <n v="3"/>
    <x v="323"/>
    <s v="rworg9m@arstechnica.com"/>
    <x v="0"/>
    <x v="2"/>
    <s v="L"/>
    <x v="1"/>
    <n v="7.77"/>
    <x v="102"/>
    <x v="2"/>
    <x v="1"/>
    <x v="0"/>
  </r>
  <r>
    <s v="YAU-98893-150"/>
    <x v="291"/>
    <x v="324"/>
    <s v="L-M-1"/>
    <n v="3"/>
    <x v="324"/>
    <s v="ldanes9n@umn.edu"/>
    <x v="0"/>
    <x v="3"/>
    <s v="M"/>
    <x v="0"/>
    <n v="14.55"/>
    <x v="34"/>
    <x v="3"/>
    <x v="0"/>
    <x v="1"/>
  </r>
  <r>
    <s v="XNM-14163-951"/>
    <x v="292"/>
    <x v="325"/>
    <s v="E-L-2.5"/>
    <n v="6"/>
    <x v="325"/>
    <s v="skeynd9o@narod.ru"/>
    <x v="0"/>
    <x v="1"/>
    <s v="L"/>
    <x v="2"/>
    <n v="34.154999999999994"/>
    <x v="106"/>
    <x v="1"/>
    <x v="1"/>
    <x v="1"/>
  </r>
  <r>
    <s v="JPB-45297-000"/>
    <x v="293"/>
    <x v="326"/>
    <s v="R-L-0.2"/>
    <n v="4"/>
    <x v="326"/>
    <s v="ddaveridge9p@arstechnica.com"/>
    <x v="0"/>
    <x v="0"/>
    <s v="L"/>
    <x v="3"/>
    <n v="3.5849999999999995"/>
    <x v="79"/>
    <x v="0"/>
    <x v="1"/>
    <x v="1"/>
  </r>
  <r>
    <s v="MOU-74341-266"/>
    <x v="294"/>
    <x v="327"/>
    <s v="A-D-0.5"/>
    <n v="4"/>
    <x v="327"/>
    <s v="jawdry9q@utexas.edu"/>
    <x v="0"/>
    <x v="2"/>
    <s v="D"/>
    <x v="1"/>
    <n v="5.97"/>
    <x v="86"/>
    <x v="2"/>
    <x v="2"/>
    <x v="1"/>
  </r>
  <r>
    <s v="DHJ-87461-571"/>
    <x v="295"/>
    <x v="328"/>
    <s v="A-M-1"/>
    <n v="2"/>
    <x v="328"/>
    <s v="eryles9r@fastcompany.com"/>
    <x v="0"/>
    <x v="2"/>
    <s v="M"/>
    <x v="0"/>
    <n v="11.25"/>
    <x v="122"/>
    <x v="2"/>
    <x v="0"/>
    <x v="1"/>
  </r>
  <r>
    <s v="DKM-97676-850"/>
    <x v="296"/>
    <x v="306"/>
    <s v="E-D-0.5"/>
    <n v="5"/>
    <x v="306"/>
    <n v="0"/>
    <x v="0"/>
    <x v="1"/>
    <s v="D"/>
    <x v="1"/>
    <n v="7.29"/>
    <x v="114"/>
    <x v="1"/>
    <x v="2"/>
    <x v="1"/>
  </r>
  <r>
    <s v="UEB-09112-118"/>
    <x v="297"/>
    <x v="329"/>
    <s v="A-M-0.5"/>
    <n v="4"/>
    <x v="329"/>
    <n v="0"/>
    <x v="0"/>
    <x v="2"/>
    <s v="M"/>
    <x v="1"/>
    <n v="6.75"/>
    <x v="25"/>
    <x v="2"/>
    <x v="0"/>
    <x v="0"/>
  </r>
  <r>
    <s v="ORZ-67699-748"/>
    <x v="298"/>
    <x v="330"/>
    <s v="A-M-2.5"/>
    <n v="6"/>
    <x v="330"/>
    <s v="jcaldicott9u@usda.gov"/>
    <x v="0"/>
    <x v="2"/>
    <s v="M"/>
    <x v="2"/>
    <n v="25.874999999999996"/>
    <x v="71"/>
    <x v="2"/>
    <x v="0"/>
    <x v="1"/>
  </r>
  <r>
    <s v="JXP-28398-485"/>
    <x v="299"/>
    <x v="331"/>
    <s v="A-D-2.5"/>
    <n v="5"/>
    <x v="331"/>
    <s v="mvedmore9v@a8.net"/>
    <x v="0"/>
    <x v="2"/>
    <s v="D"/>
    <x v="2"/>
    <n v="22.884999999999998"/>
    <x v="15"/>
    <x v="2"/>
    <x v="2"/>
    <x v="0"/>
  </r>
  <r>
    <s v="WWH-92259-198"/>
    <x v="300"/>
    <x v="332"/>
    <s v="L-D-1"/>
    <n v="4"/>
    <x v="332"/>
    <s v="wromao9w@chronoengine.com"/>
    <x v="0"/>
    <x v="3"/>
    <s v="D"/>
    <x v="0"/>
    <n v="12.95"/>
    <x v="67"/>
    <x v="3"/>
    <x v="2"/>
    <x v="0"/>
  </r>
  <r>
    <s v="FLR-82914-153"/>
    <x v="301"/>
    <x v="333"/>
    <s v="A-M-2.5"/>
    <n v="6"/>
    <x v="333"/>
    <n v="0"/>
    <x v="0"/>
    <x v="2"/>
    <s v="M"/>
    <x v="2"/>
    <n v="25.874999999999996"/>
    <x v="71"/>
    <x v="2"/>
    <x v="0"/>
    <x v="1"/>
  </r>
  <r>
    <s v="AMB-93600-000"/>
    <x v="302"/>
    <x v="334"/>
    <s v="A-L-2.5"/>
    <n v="1"/>
    <x v="334"/>
    <s v="tcotmore9y@amazonaws.com"/>
    <x v="0"/>
    <x v="2"/>
    <s v="L"/>
    <x v="2"/>
    <n v="29.784999999999997"/>
    <x v="91"/>
    <x v="2"/>
    <x v="1"/>
    <x v="1"/>
  </r>
  <r>
    <s v="FEP-36895-658"/>
    <x v="303"/>
    <x v="335"/>
    <s v="R-L-0.2"/>
    <n v="6"/>
    <x v="335"/>
    <s v="yskipsey9z@spotify.com"/>
    <x v="2"/>
    <x v="0"/>
    <s v="L"/>
    <x v="3"/>
    <n v="3.5849999999999995"/>
    <x v="137"/>
    <x v="0"/>
    <x v="1"/>
    <x v="1"/>
  </r>
  <r>
    <s v="RXW-91413-276"/>
    <x v="304"/>
    <x v="336"/>
    <s v="R-D-2.5"/>
    <n v="2"/>
    <x v="336"/>
    <s v="ncorpsa0@gmpg.org"/>
    <x v="0"/>
    <x v="0"/>
    <s v="D"/>
    <x v="2"/>
    <n v="20.584999999999997"/>
    <x v="13"/>
    <x v="0"/>
    <x v="2"/>
    <x v="1"/>
  </r>
  <r>
    <s v="RXW-91413-276"/>
    <x v="304"/>
    <x v="336"/>
    <s v="R-M-0.5"/>
    <n v="1"/>
    <x v="336"/>
    <s v="ncorpsa0@gmpg.org"/>
    <x v="0"/>
    <x v="0"/>
    <s v="M"/>
    <x v="1"/>
    <n v="5.97"/>
    <x v="9"/>
    <x v="0"/>
    <x v="0"/>
    <x v="1"/>
  </r>
  <r>
    <s v="SDB-77492-188"/>
    <x v="305"/>
    <x v="337"/>
    <s v="E-L-1"/>
    <n v="5"/>
    <x v="337"/>
    <s v="fbabbera2@stanford.edu"/>
    <x v="0"/>
    <x v="1"/>
    <s v="L"/>
    <x v="0"/>
    <n v="14.85"/>
    <x v="159"/>
    <x v="1"/>
    <x v="1"/>
    <x v="0"/>
  </r>
  <r>
    <s v="RZN-65182-395"/>
    <x v="196"/>
    <x v="338"/>
    <s v="L-M-1"/>
    <n v="6"/>
    <x v="338"/>
    <s v="kloxtona3@opensource.org"/>
    <x v="0"/>
    <x v="3"/>
    <s v="M"/>
    <x v="0"/>
    <n v="14.55"/>
    <x v="75"/>
    <x v="3"/>
    <x v="0"/>
    <x v="1"/>
  </r>
  <r>
    <s v="HDQ-86094-507"/>
    <x v="110"/>
    <x v="339"/>
    <s v="E-D-1"/>
    <n v="6"/>
    <x v="339"/>
    <s v="ptoffula4@posterous.com"/>
    <x v="0"/>
    <x v="1"/>
    <s v="D"/>
    <x v="0"/>
    <n v="12.15"/>
    <x v="118"/>
    <x v="1"/>
    <x v="2"/>
    <x v="0"/>
  </r>
  <r>
    <s v="YXO-79631-417"/>
    <x v="24"/>
    <x v="340"/>
    <s v="L-D-0.5"/>
    <n v="1"/>
    <x v="340"/>
    <s v="cgwinnetta5@behance.net"/>
    <x v="0"/>
    <x v="3"/>
    <s v="D"/>
    <x v="1"/>
    <n v="7.77"/>
    <x v="41"/>
    <x v="3"/>
    <x v="2"/>
    <x v="1"/>
  </r>
  <r>
    <s v="SNF-57032-096"/>
    <x v="306"/>
    <x v="341"/>
    <s v="E-D-0.5"/>
    <n v="6"/>
    <x v="341"/>
    <n v="0"/>
    <x v="0"/>
    <x v="1"/>
    <s v="D"/>
    <x v="1"/>
    <n v="7.29"/>
    <x v="160"/>
    <x v="1"/>
    <x v="2"/>
    <x v="1"/>
  </r>
  <r>
    <s v="DGL-29648-995"/>
    <x v="307"/>
    <x v="342"/>
    <s v="L-M-0.2"/>
    <n v="2"/>
    <x v="342"/>
    <n v="0"/>
    <x v="0"/>
    <x v="3"/>
    <s v="M"/>
    <x v="3"/>
    <n v="4.3650000000000002"/>
    <x v="31"/>
    <x v="3"/>
    <x v="0"/>
    <x v="0"/>
  </r>
  <r>
    <s v="GPU-65651-504"/>
    <x v="308"/>
    <x v="343"/>
    <s v="E-M-2.5"/>
    <n v="2"/>
    <x v="343"/>
    <s v="lflaoniera8@wordpress.org"/>
    <x v="0"/>
    <x v="1"/>
    <s v="M"/>
    <x v="2"/>
    <n v="31.624999999999996"/>
    <x v="40"/>
    <x v="1"/>
    <x v="0"/>
    <x v="1"/>
  </r>
  <r>
    <s v="OJU-34452-896"/>
    <x v="309"/>
    <x v="344"/>
    <s v="E-L-0.5"/>
    <n v="1"/>
    <x v="344"/>
    <n v="0"/>
    <x v="0"/>
    <x v="1"/>
    <s v="L"/>
    <x v="1"/>
    <n v="8.91"/>
    <x v="161"/>
    <x v="1"/>
    <x v="1"/>
    <x v="0"/>
  </r>
  <r>
    <s v="GZS-50547-887"/>
    <x v="310"/>
    <x v="345"/>
    <s v="E-D-1"/>
    <n v="2"/>
    <x v="345"/>
    <s v="ccatchesideaa@macromedia.com"/>
    <x v="0"/>
    <x v="1"/>
    <s v="D"/>
    <x v="0"/>
    <n v="12.15"/>
    <x v="76"/>
    <x v="1"/>
    <x v="2"/>
    <x v="0"/>
  </r>
  <r>
    <s v="ESR-54041-053"/>
    <x v="311"/>
    <x v="346"/>
    <s v="A-L-0.5"/>
    <n v="6"/>
    <x v="346"/>
    <s v="cgibbonsonab@accuweather.com"/>
    <x v="0"/>
    <x v="2"/>
    <s v="L"/>
    <x v="1"/>
    <n v="7.77"/>
    <x v="162"/>
    <x v="2"/>
    <x v="1"/>
    <x v="0"/>
  </r>
  <r>
    <s v="OGD-10781-526"/>
    <x v="132"/>
    <x v="347"/>
    <s v="R-L-0.5"/>
    <n v="6"/>
    <x v="347"/>
    <s v="tfarraac@behance.net"/>
    <x v="0"/>
    <x v="0"/>
    <s v="L"/>
    <x v="1"/>
    <n v="7.169999999999999"/>
    <x v="163"/>
    <x v="0"/>
    <x v="1"/>
    <x v="1"/>
  </r>
  <r>
    <s v="FVH-29271-315"/>
    <x v="312"/>
    <x v="348"/>
    <s v="A-D-0.5"/>
    <n v="3"/>
    <x v="348"/>
    <n v="0"/>
    <x v="1"/>
    <x v="2"/>
    <s v="D"/>
    <x v="1"/>
    <n v="5.97"/>
    <x v="8"/>
    <x v="2"/>
    <x v="2"/>
    <x v="0"/>
  </r>
  <r>
    <s v="BNZ-20544-633"/>
    <x v="313"/>
    <x v="349"/>
    <s v="L-L-0.5"/>
    <n v="4"/>
    <x v="349"/>
    <s v="gbamfieldae@yellowpages.com"/>
    <x v="0"/>
    <x v="3"/>
    <s v="L"/>
    <x v="1"/>
    <n v="9.51"/>
    <x v="82"/>
    <x v="3"/>
    <x v="1"/>
    <x v="0"/>
  </r>
  <r>
    <s v="FUX-85791-078"/>
    <x v="156"/>
    <x v="350"/>
    <s v="A-M-0.2"/>
    <n v="2"/>
    <x v="350"/>
    <s v="whollingdaleaf@about.me"/>
    <x v="0"/>
    <x v="2"/>
    <s v="M"/>
    <x v="3"/>
    <n v="3.375"/>
    <x v="52"/>
    <x v="2"/>
    <x v="0"/>
    <x v="0"/>
  </r>
  <r>
    <s v="YXP-20078-116"/>
    <x v="314"/>
    <x v="351"/>
    <s v="R-M-0.5"/>
    <n v="1"/>
    <x v="351"/>
    <s v="jdeag@xrea.com"/>
    <x v="0"/>
    <x v="0"/>
    <s v="M"/>
    <x v="1"/>
    <n v="5.97"/>
    <x v="9"/>
    <x v="0"/>
    <x v="0"/>
    <x v="0"/>
  </r>
  <r>
    <s v="VQV-59984-866"/>
    <x v="315"/>
    <x v="352"/>
    <s v="R-D-0.2"/>
    <n v="3"/>
    <x v="352"/>
    <s v="vskulletah@tinyurl.com"/>
    <x v="1"/>
    <x v="0"/>
    <s v="D"/>
    <x v="3"/>
    <n v="2.6849999999999996"/>
    <x v="36"/>
    <x v="0"/>
    <x v="2"/>
    <x v="1"/>
  </r>
  <r>
    <s v="JEH-37276-048"/>
    <x v="316"/>
    <x v="353"/>
    <s v="A-L-0.5"/>
    <n v="3"/>
    <x v="353"/>
    <s v="jrudeforthai@wunderground.com"/>
    <x v="1"/>
    <x v="2"/>
    <s v="L"/>
    <x v="1"/>
    <n v="7.77"/>
    <x v="102"/>
    <x v="2"/>
    <x v="1"/>
    <x v="0"/>
  </r>
  <r>
    <s v="VYD-28555-589"/>
    <x v="317"/>
    <x v="354"/>
    <s v="R-L-0.5"/>
    <n v="6"/>
    <x v="354"/>
    <s v="atomaszewskiaj@answers.com"/>
    <x v="2"/>
    <x v="0"/>
    <s v="L"/>
    <x v="1"/>
    <n v="7.169999999999999"/>
    <x v="163"/>
    <x v="0"/>
    <x v="1"/>
    <x v="0"/>
  </r>
  <r>
    <s v="WUG-76466-650"/>
    <x v="318"/>
    <x v="306"/>
    <s v="L-D-0.5"/>
    <n v="3"/>
    <x v="306"/>
    <n v="0"/>
    <x v="0"/>
    <x v="3"/>
    <s v="D"/>
    <x v="1"/>
    <n v="7.77"/>
    <x v="102"/>
    <x v="3"/>
    <x v="2"/>
    <x v="1"/>
  </r>
  <r>
    <s v="RJV-08261-583"/>
    <x v="182"/>
    <x v="355"/>
    <s v="A-D-0.2"/>
    <n v="5"/>
    <x v="355"/>
    <s v="pbessal@qq.com"/>
    <x v="0"/>
    <x v="2"/>
    <s v="D"/>
    <x v="3"/>
    <n v="2.9849999999999999"/>
    <x v="128"/>
    <x v="2"/>
    <x v="2"/>
    <x v="0"/>
  </r>
  <r>
    <s v="PMR-56062-609"/>
    <x v="319"/>
    <x v="356"/>
    <s v="E-D-0.5"/>
    <n v="3"/>
    <x v="356"/>
    <s v="ewindressam@marketwatch.com"/>
    <x v="0"/>
    <x v="1"/>
    <s v="D"/>
    <x v="1"/>
    <n v="7.29"/>
    <x v="6"/>
    <x v="1"/>
    <x v="2"/>
    <x v="1"/>
  </r>
  <r>
    <s v="XLD-12920-505"/>
    <x v="320"/>
    <x v="357"/>
    <s v="E-L-0.5"/>
    <n v="6"/>
    <x v="357"/>
    <n v="0"/>
    <x v="0"/>
    <x v="1"/>
    <s v="L"/>
    <x v="1"/>
    <n v="8.91"/>
    <x v="119"/>
    <x v="1"/>
    <x v="1"/>
    <x v="0"/>
  </r>
  <r>
    <s v="UBW-50312-037"/>
    <x v="321"/>
    <x v="358"/>
    <s v="A-L-2.5"/>
    <n v="4"/>
    <x v="358"/>
    <n v="0"/>
    <x v="0"/>
    <x v="2"/>
    <s v="L"/>
    <x v="2"/>
    <n v="29.784999999999997"/>
    <x v="129"/>
    <x v="2"/>
    <x v="1"/>
    <x v="1"/>
  </r>
  <r>
    <s v="QAW-05889-019"/>
    <x v="322"/>
    <x v="359"/>
    <s v="L-M-0.5"/>
    <n v="5"/>
    <x v="359"/>
    <s v="vbaumadierap@google.cn"/>
    <x v="0"/>
    <x v="3"/>
    <s v="M"/>
    <x v="1"/>
    <n v="8.73"/>
    <x v="34"/>
    <x v="3"/>
    <x v="0"/>
    <x v="0"/>
  </r>
  <r>
    <s v="EPT-12715-397"/>
    <x v="128"/>
    <x v="360"/>
    <s v="A-D-0.2"/>
    <n v="6"/>
    <x v="360"/>
    <n v="0"/>
    <x v="0"/>
    <x v="2"/>
    <s v="D"/>
    <x v="3"/>
    <n v="2.9849999999999999"/>
    <x v="8"/>
    <x v="2"/>
    <x v="2"/>
    <x v="0"/>
  </r>
  <r>
    <s v="DHT-93810-053"/>
    <x v="323"/>
    <x v="361"/>
    <s v="E-L-1"/>
    <n v="5"/>
    <x v="361"/>
    <s v="sweldsar@wired.com"/>
    <x v="0"/>
    <x v="1"/>
    <s v="L"/>
    <x v="0"/>
    <n v="14.85"/>
    <x v="159"/>
    <x v="1"/>
    <x v="1"/>
    <x v="0"/>
  </r>
  <r>
    <s v="DMY-96037-963"/>
    <x v="324"/>
    <x v="362"/>
    <s v="L-D-0.2"/>
    <n v="3"/>
    <x v="362"/>
    <s v="msarvaras@artisteer.com"/>
    <x v="0"/>
    <x v="3"/>
    <s v="D"/>
    <x v="3"/>
    <n v="3.8849999999999998"/>
    <x v="14"/>
    <x v="3"/>
    <x v="2"/>
    <x v="0"/>
  </r>
  <r>
    <s v="MBM-55936-917"/>
    <x v="325"/>
    <x v="363"/>
    <s v="L-D-0.5"/>
    <n v="3"/>
    <x v="363"/>
    <s v="ahavickat@nsw.gov.au"/>
    <x v="0"/>
    <x v="3"/>
    <s v="D"/>
    <x v="1"/>
    <n v="7.77"/>
    <x v="102"/>
    <x v="3"/>
    <x v="2"/>
    <x v="0"/>
  </r>
  <r>
    <s v="TPA-93614-840"/>
    <x v="326"/>
    <x v="364"/>
    <s v="E-D-0.5"/>
    <n v="2"/>
    <x v="364"/>
    <s v="sdivinyau@ask.com"/>
    <x v="0"/>
    <x v="1"/>
    <s v="D"/>
    <x v="1"/>
    <n v="7.29"/>
    <x v="20"/>
    <x v="1"/>
    <x v="2"/>
    <x v="0"/>
  </r>
  <r>
    <s v="WDM-77521-710"/>
    <x v="327"/>
    <x v="365"/>
    <s v="A-M-0.5"/>
    <n v="2"/>
    <x v="365"/>
    <s v="inorquoyav@businessweek.com"/>
    <x v="0"/>
    <x v="2"/>
    <s v="M"/>
    <x v="1"/>
    <n v="6.75"/>
    <x v="72"/>
    <x v="2"/>
    <x v="0"/>
    <x v="1"/>
  </r>
  <r>
    <s v="EIP-19142-462"/>
    <x v="328"/>
    <x v="366"/>
    <s v="E-L-1"/>
    <n v="6"/>
    <x v="366"/>
    <s v="aiddisonaw@usa.gov"/>
    <x v="0"/>
    <x v="1"/>
    <s v="L"/>
    <x v="0"/>
    <n v="14.85"/>
    <x v="146"/>
    <x v="1"/>
    <x v="1"/>
    <x v="1"/>
  </r>
  <r>
    <s v="EIP-19142-462"/>
    <x v="328"/>
    <x v="366"/>
    <s v="A-L-0.2"/>
    <n v="1"/>
    <x v="366"/>
    <s v="aiddisonaw@usa.gov"/>
    <x v="0"/>
    <x v="2"/>
    <s v="L"/>
    <x v="3"/>
    <n v="3.8849999999999998"/>
    <x v="84"/>
    <x v="2"/>
    <x v="1"/>
    <x v="1"/>
  </r>
  <r>
    <s v="ZZL-76364-387"/>
    <x v="128"/>
    <x v="367"/>
    <s v="R-L-2.5"/>
    <n v="4"/>
    <x v="367"/>
    <s v="rlongfielday@bluehost.com"/>
    <x v="0"/>
    <x v="0"/>
    <s v="L"/>
    <x v="2"/>
    <n v="27.484999999999996"/>
    <x v="108"/>
    <x v="0"/>
    <x v="1"/>
    <x v="1"/>
  </r>
  <r>
    <s v="GMF-18638-786"/>
    <x v="329"/>
    <x v="368"/>
    <s v="L-D-0.5"/>
    <n v="6"/>
    <x v="368"/>
    <s v="gkislingburyaz@samsung.com"/>
    <x v="0"/>
    <x v="3"/>
    <s v="D"/>
    <x v="1"/>
    <n v="7.77"/>
    <x v="162"/>
    <x v="3"/>
    <x v="2"/>
    <x v="0"/>
  </r>
  <r>
    <s v="TDJ-20844-787"/>
    <x v="330"/>
    <x v="369"/>
    <s v="A-L-0.5"/>
    <n v="5"/>
    <x v="369"/>
    <s v="xgibbonsb0@artisteer.com"/>
    <x v="0"/>
    <x v="2"/>
    <s v="L"/>
    <x v="1"/>
    <n v="7.77"/>
    <x v="5"/>
    <x v="2"/>
    <x v="1"/>
    <x v="1"/>
  </r>
  <r>
    <s v="BWK-39400-446"/>
    <x v="331"/>
    <x v="370"/>
    <s v="L-D-0.5"/>
    <n v="4"/>
    <x v="370"/>
    <s v="fparresb1@imageshack.us"/>
    <x v="0"/>
    <x v="3"/>
    <s v="D"/>
    <x v="1"/>
    <n v="7.77"/>
    <x v="113"/>
    <x v="3"/>
    <x v="2"/>
    <x v="0"/>
  </r>
  <r>
    <s v="LCB-02099-995"/>
    <x v="332"/>
    <x v="371"/>
    <s v="A-D-0.2"/>
    <n v="6"/>
    <x v="371"/>
    <s v="gsibrayb2@wsj.com"/>
    <x v="0"/>
    <x v="2"/>
    <s v="D"/>
    <x v="3"/>
    <n v="2.9849999999999999"/>
    <x v="8"/>
    <x v="2"/>
    <x v="2"/>
    <x v="0"/>
  </r>
  <r>
    <s v="UBA-43678-174"/>
    <x v="333"/>
    <x v="372"/>
    <s v="E-D-2.5"/>
    <n v="6"/>
    <x v="372"/>
    <s v="ihotchkinb3@mit.edu"/>
    <x v="2"/>
    <x v="1"/>
    <s v="D"/>
    <x v="2"/>
    <n v="27.945"/>
    <x v="164"/>
    <x v="1"/>
    <x v="2"/>
    <x v="1"/>
  </r>
  <r>
    <s v="UDH-24280-432"/>
    <x v="334"/>
    <x v="373"/>
    <s v="L-L-1"/>
    <n v="4"/>
    <x v="373"/>
    <s v="nbroadberrieb4@gnu.org"/>
    <x v="0"/>
    <x v="3"/>
    <s v="L"/>
    <x v="0"/>
    <n v="15.85"/>
    <x v="165"/>
    <x v="3"/>
    <x v="1"/>
    <x v="1"/>
  </r>
  <r>
    <s v="IDQ-20193-502"/>
    <x v="335"/>
    <x v="374"/>
    <s v="L-M-0.2"/>
    <n v="2"/>
    <x v="374"/>
    <s v="rpithcockb5@yellowbook.com"/>
    <x v="0"/>
    <x v="3"/>
    <s v="M"/>
    <x v="3"/>
    <n v="4.3650000000000002"/>
    <x v="31"/>
    <x v="3"/>
    <x v="0"/>
    <x v="0"/>
  </r>
  <r>
    <s v="DJG-14442-608"/>
    <x v="336"/>
    <x v="375"/>
    <s v="R-D-1"/>
    <n v="3"/>
    <x v="375"/>
    <s v="gcroysdaleb6@nih.gov"/>
    <x v="0"/>
    <x v="0"/>
    <s v="D"/>
    <x v="0"/>
    <n v="8.9499999999999993"/>
    <x v="166"/>
    <x v="0"/>
    <x v="2"/>
    <x v="0"/>
  </r>
  <r>
    <s v="DWB-61381-370"/>
    <x v="337"/>
    <x v="376"/>
    <s v="L-L-0.2"/>
    <n v="2"/>
    <x v="376"/>
    <s v="bgozzettb7@github.com"/>
    <x v="0"/>
    <x v="3"/>
    <s v="L"/>
    <x v="3"/>
    <n v="4.7549999999999999"/>
    <x v="54"/>
    <x v="3"/>
    <x v="1"/>
    <x v="1"/>
  </r>
  <r>
    <s v="FRD-17347-990"/>
    <x v="80"/>
    <x v="377"/>
    <s v="A-D-1"/>
    <n v="4"/>
    <x v="377"/>
    <s v="tcraggsb8@house.gov"/>
    <x v="1"/>
    <x v="2"/>
    <s v="D"/>
    <x v="0"/>
    <n v="9.9499999999999993"/>
    <x v="10"/>
    <x v="2"/>
    <x v="2"/>
    <x v="1"/>
  </r>
  <r>
    <s v="YPP-27450-525"/>
    <x v="338"/>
    <x v="378"/>
    <s v="E-M-0.5"/>
    <n v="3"/>
    <x v="378"/>
    <s v="lcullrfordb9@xing.com"/>
    <x v="0"/>
    <x v="1"/>
    <s v="M"/>
    <x v="1"/>
    <n v="8.25"/>
    <x v="167"/>
    <x v="1"/>
    <x v="0"/>
    <x v="0"/>
  </r>
  <r>
    <s v="EFC-39577-424"/>
    <x v="339"/>
    <x v="379"/>
    <s v="E-M-1"/>
    <n v="5"/>
    <x v="379"/>
    <s v="arizonba@xing.com"/>
    <x v="0"/>
    <x v="1"/>
    <s v="M"/>
    <x v="0"/>
    <n v="13.75"/>
    <x v="85"/>
    <x v="1"/>
    <x v="0"/>
    <x v="0"/>
  </r>
  <r>
    <s v="LAW-80062-016"/>
    <x v="340"/>
    <x v="380"/>
    <s v="E-M-0.5"/>
    <n v="6"/>
    <x v="380"/>
    <n v="0"/>
    <x v="1"/>
    <x v="1"/>
    <s v="M"/>
    <x v="1"/>
    <n v="8.25"/>
    <x v="168"/>
    <x v="1"/>
    <x v="0"/>
    <x v="1"/>
  </r>
  <r>
    <s v="WKL-27981-758"/>
    <x v="177"/>
    <x v="381"/>
    <s v="A-M-2.5"/>
    <n v="2"/>
    <x v="381"/>
    <s v="fmiellbc@spiegel.de"/>
    <x v="0"/>
    <x v="2"/>
    <s v="M"/>
    <x v="2"/>
    <n v="25.874999999999996"/>
    <x v="95"/>
    <x v="2"/>
    <x v="0"/>
    <x v="0"/>
  </r>
  <r>
    <s v="VRT-39834-265"/>
    <x v="341"/>
    <x v="382"/>
    <s v="L-L-1"/>
    <n v="3"/>
    <x v="382"/>
    <n v="0"/>
    <x v="1"/>
    <x v="3"/>
    <s v="L"/>
    <x v="0"/>
    <n v="15.85"/>
    <x v="46"/>
    <x v="3"/>
    <x v="1"/>
    <x v="0"/>
  </r>
  <r>
    <s v="QTC-71005-730"/>
    <x v="342"/>
    <x v="383"/>
    <s v="A-L-0.2"/>
    <n v="4"/>
    <x v="383"/>
    <n v="0"/>
    <x v="0"/>
    <x v="2"/>
    <s v="L"/>
    <x v="3"/>
    <n v="3.8849999999999998"/>
    <x v="42"/>
    <x v="2"/>
    <x v="1"/>
    <x v="1"/>
  </r>
  <r>
    <s v="TNX-09857-717"/>
    <x v="343"/>
    <x v="384"/>
    <s v="L-M-1"/>
    <n v="6"/>
    <x v="384"/>
    <n v="0"/>
    <x v="0"/>
    <x v="3"/>
    <s v="M"/>
    <x v="0"/>
    <n v="14.55"/>
    <x v="75"/>
    <x v="3"/>
    <x v="0"/>
    <x v="0"/>
  </r>
  <r>
    <s v="JZV-43874-185"/>
    <x v="344"/>
    <x v="385"/>
    <s v="A-M-1"/>
    <n v="5"/>
    <x v="385"/>
    <n v="0"/>
    <x v="0"/>
    <x v="2"/>
    <s v="M"/>
    <x v="0"/>
    <n v="11.25"/>
    <x v="126"/>
    <x v="2"/>
    <x v="0"/>
    <x v="0"/>
  </r>
  <r>
    <s v="ICF-17486-106"/>
    <x v="47"/>
    <x v="386"/>
    <s v="L-L-2.5"/>
    <n v="1"/>
    <x v="386"/>
    <s v="wspringallbh@jugem.jp"/>
    <x v="0"/>
    <x v="3"/>
    <s v="L"/>
    <x v="2"/>
    <n v="36.454999999999998"/>
    <x v="133"/>
    <x v="3"/>
    <x v="1"/>
    <x v="0"/>
  </r>
  <r>
    <s v="BMK-49520-383"/>
    <x v="345"/>
    <x v="387"/>
    <s v="R-L-0.2"/>
    <n v="3"/>
    <x v="387"/>
    <n v="0"/>
    <x v="0"/>
    <x v="0"/>
    <s v="L"/>
    <x v="3"/>
    <n v="3.5849999999999995"/>
    <x v="127"/>
    <x v="0"/>
    <x v="1"/>
    <x v="0"/>
  </r>
  <r>
    <s v="HTS-15020-632"/>
    <x v="169"/>
    <x v="388"/>
    <s v="R-M-0.2"/>
    <n v="3"/>
    <x v="388"/>
    <s v="ghawkyensbj@census.gov"/>
    <x v="0"/>
    <x v="0"/>
    <s v="M"/>
    <x v="3"/>
    <n v="2.9849999999999999"/>
    <x v="169"/>
    <x v="0"/>
    <x v="0"/>
    <x v="1"/>
  </r>
  <r>
    <s v="YLE-18247-749"/>
    <x v="346"/>
    <x v="389"/>
    <s v="A-L-0.5"/>
    <n v="3"/>
    <x v="389"/>
    <n v="0"/>
    <x v="0"/>
    <x v="2"/>
    <s v="L"/>
    <x v="1"/>
    <n v="7.77"/>
    <x v="102"/>
    <x v="2"/>
    <x v="1"/>
    <x v="0"/>
  </r>
  <r>
    <s v="KJJ-12573-591"/>
    <x v="347"/>
    <x v="390"/>
    <s v="A-L-2.5"/>
    <n v="1"/>
    <x v="390"/>
    <n v="0"/>
    <x v="0"/>
    <x v="2"/>
    <s v="L"/>
    <x v="2"/>
    <n v="29.784999999999997"/>
    <x v="91"/>
    <x v="2"/>
    <x v="1"/>
    <x v="0"/>
  </r>
  <r>
    <s v="RGU-43561-950"/>
    <x v="348"/>
    <x v="391"/>
    <s v="A-L-2.5"/>
    <n v="5"/>
    <x v="391"/>
    <s v="bmcgilvrabm@so-net.ne.jp"/>
    <x v="0"/>
    <x v="2"/>
    <s v="L"/>
    <x v="2"/>
    <n v="29.784999999999997"/>
    <x v="74"/>
    <x v="2"/>
    <x v="1"/>
    <x v="0"/>
  </r>
  <r>
    <s v="JSN-73975-443"/>
    <x v="349"/>
    <x v="392"/>
    <s v="L-M-0.5"/>
    <n v="1"/>
    <x v="392"/>
    <s v="adanzeybn@github.com"/>
    <x v="0"/>
    <x v="3"/>
    <s v="M"/>
    <x v="1"/>
    <n v="8.73"/>
    <x v="31"/>
    <x v="3"/>
    <x v="0"/>
    <x v="0"/>
  </r>
  <r>
    <s v="WNR-71736-993"/>
    <x v="350"/>
    <x v="347"/>
    <s v="L-D-0.5"/>
    <n v="4"/>
    <x v="347"/>
    <s v="tfarraac@behance.net"/>
    <x v="0"/>
    <x v="3"/>
    <s v="D"/>
    <x v="1"/>
    <n v="7.77"/>
    <x v="113"/>
    <x v="3"/>
    <x v="2"/>
    <x v="1"/>
  </r>
  <r>
    <s v="WNR-71736-993"/>
    <x v="350"/>
    <x v="347"/>
    <s v="A-D-2.5"/>
    <n v="6"/>
    <x v="347"/>
    <s v="tfarraac@behance.net"/>
    <x v="0"/>
    <x v="2"/>
    <s v="D"/>
    <x v="2"/>
    <n v="22.884999999999998"/>
    <x v="170"/>
    <x v="2"/>
    <x v="2"/>
    <x v="1"/>
  </r>
  <r>
    <s v="HNI-91338-546"/>
    <x v="54"/>
    <x v="393"/>
    <s v="A-D-0.5"/>
    <n v="5"/>
    <x v="393"/>
    <n v="0"/>
    <x v="0"/>
    <x v="2"/>
    <s v="D"/>
    <x v="1"/>
    <n v="5.97"/>
    <x v="44"/>
    <x v="2"/>
    <x v="2"/>
    <x v="1"/>
  </r>
  <r>
    <s v="CYH-53243-218"/>
    <x v="237"/>
    <x v="394"/>
    <s v="R-M-0.5"/>
    <n v="3"/>
    <x v="394"/>
    <n v="0"/>
    <x v="0"/>
    <x v="0"/>
    <s v="M"/>
    <x v="1"/>
    <n v="5.97"/>
    <x v="8"/>
    <x v="0"/>
    <x v="0"/>
    <x v="1"/>
  </r>
  <r>
    <s v="SVD-75407-177"/>
    <x v="351"/>
    <x v="395"/>
    <s v="E-L-0.5"/>
    <n v="3"/>
    <x v="395"/>
    <s v="ydombrellbs@dedecms.com"/>
    <x v="0"/>
    <x v="1"/>
    <s v="L"/>
    <x v="1"/>
    <n v="8.91"/>
    <x v="149"/>
    <x v="1"/>
    <x v="1"/>
    <x v="0"/>
  </r>
  <r>
    <s v="NVN-66443-451"/>
    <x v="352"/>
    <x v="396"/>
    <s v="R-D-1"/>
    <n v="2"/>
    <x v="396"/>
    <s v="adarthbt@t.co"/>
    <x v="0"/>
    <x v="0"/>
    <s v="D"/>
    <x v="0"/>
    <n v="8.9499999999999993"/>
    <x v="105"/>
    <x v="0"/>
    <x v="2"/>
    <x v="1"/>
  </r>
  <r>
    <s v="JUA-13580-095"/>
    <x v="102"/>
    <x v="397"/>
    <s v="R-L-0.2"/>
    <n v="4"/>
    <x v="397"/>
    <s v="mdarrigoebu@hud.gov"/>
    <x v="1"/>
    <x v="0"/>
    <s v="L"/>
    <x v="3"/>
    <n v="3.5849999999999995"/>
    <x v="79"/>
    <x v="0"/>
    <x v="1"/>
    <x v="0"/>
  </r>
  <r>
    <s v="ACY-56225-839"/>
    <x v="353"/>
    <x v="398"/>
    <s v="A-M-2.5"/>
    <n v="3"/>
    <x v="398"/>
    <n v="0"/>
    <x v="0"/>
    <x v="2"/>
    <s v="M"/>
    <x v="2"/>
    <n v="25.874999999999996"/>
    <x v="57"/>
    <x v="2"/>
    <x v="0"/>
    <x v="0"/>
  </r>
  <r>
    <s v="QBB-07903-622"/>
    <x v="354"/>
    <x v="399"/>
    <s v="R-L-1"/>
    <n v="5"/>
    <x v="399"/>
    <s v="mackrillbw@bandcamp.com"/>
    <x v="0"/>
    <x v="0"/>
    <s v="L"/>
    <x v="0"/>
    <n v="11.95"/>
    <x v="143"/>
    <x v="0"/>
    <x v="1"/>
    <x v="1"/>
  </r>
  <r>
    <s v="JLJ-81802-619"/>
    <x v="135"/>
    <x v="347"/>
    <s v="A-L-1"/>
    <n v="6"/>
    <x v="347"/>
    <s v="tfarraac@behance.net"/>
    <x v="0"/>
    <x v="2"/>
    <s v="L"/>
    <x v="0"/>
    <n v="12.95"/>
    <x v="17"/>
    <x v="2"/>
    <x v="1"/>
    <x v="1"/>
  </r>
  <r>
    <s v="HFT-77191-168"/>
    <x v="343"/>
    <x v="400"/>
    <s v="R-D-0.2"/>
    <n v="2"/>
    <x v="400"/>
    <s v="mkippenby@dion.ne.jp"/>
    <x v="0"/>
    <x v="0"/>
    <s v="D"/>
    <x v="3"/>
    <n v="2.6849999999999996"/>
    <x v="147"/>
    <x v="0"/>
    <x v="2"/>
    <x v="0"/>
  </r>
  <r>
    <s v="SZR-35951-530"/>
    <x v="89"/>
    <x v="401"/>
    <s v="E-D-2.5"/>
    <n v="3"/>
    <x v="401"/>
    <s v="wransonbz@ted.com"/>
    <x v="1"/>
    <x v="1"/>
    <s v="D"/>
    <x v="2"/>
    <n v="27.945"/>
    <x v="171"/>
    <x v="1"/>
    <x v="2"/>
    <x v="0"/>
  </r>
  <r>
    <s v="IKL-95976-565"/>
    <x v="355"/>
    <x v="402"/>
    <s v="A-M-1"/>
    <n v="2"/>
    <x v="402"/>
    <n v="0"/>
    <x v="0"/>
    <x v="2"/>
    <s v="M"/>
    <x v="0"/>
    <n v="11.25"/>
    <x v="122"/>
    <x v="2"/>
    <x v="0"/>
    <x v="1"/>
  </r>
  <r>
    <s v="XEY-48929-474"/>
    <x v="204"/>
    <x v="403"/>
    <s v="L-M-2.5"/>
    <n v="6"/>
    <x v="403"/>
    <s v="lrignoldc1@miibeian.gov.cn"/>
    <x v="0"/>
    <x v="3"/>
    <s v="M"/>
    <x v="2"/>
    <n v="33.464999999999996"/>
    <x v="172"/>
    <x v="3"/>
    <x v="0"/>
    <x v="0"/>
  </r>
  <r>
    <s v="SQT-07286-736"/>
    <x v="356"/>
    <x v="404"/>
    <s v="A-M-1"/>
    <n v="6"/>
    <x v="404"/>
    <n v="0"/>
    <x v="0"/>
    <x v="2"/>
    <s v="M"/>
    <x v="0"/>
    <n v="11.25"/>
    <x v="173"/>
    <x v="2"/>
    <x v="0"/>
    <x v="1"/>
  </r>
  <r>
    <s v="QDU-45390-361"/>
    <x v="357"/>
    <x v="405"/>
    <s v="E-M-0.5"/>
    <n v="1"/>
    <x v="405"/>
    <s v="crowthornc3@msn.com"/>
    <x v="0"/>
    <x v="1"/>
    <s v="M"/>
    <x v="1"/>
    <n v="8.25"/>
    <x v="112"/>
    <x v="1"/>
    <x v="0"/>
    <x v="1"/>
  </r>
  <r>
    <s v="RUJ-30649-712"/>
    <x v="300"/>
    <x v="406"/>
    <s v="L-L-0.2"/>
    <n v="2"/>
    <x v="406"/>
    <s v="orylandc4@deviantart.com"/>
    <x v="0"/>
    <x v="3"/>
    <s v="L"/>
    <x v="3"/>
    <n v="4.7549999999999999"/>
    <x v="54"/>
    <x v="3"/>
    <x v="1"/>
    <x v="0"/>
  </r>
  <r>
    <s v="WSV-49732-075"/>
    <x v="358"/>
    <x v="407"/>
    <s v="L-D-2.5"/>
    <n v="1"/>
    <x v="407"/>
    <n v="0"/>
    <x v="0"/>
    <x v="3"/>
    <s v="D"/>
    <x v="2"/>
    <n v="29.784999999999997"/>
    <x v="91"/>
    <x v="3"/>
    <x v="2"/>
    <x v="1"/>
  </r>
  <r>
    <s v="VJF-46305-323"/>
    <x v="161"/>
    <x v="408"/>
    <s v="L-D-0.5"/>
    <n v="2"/>
    <x v="408"/>
    <s v="msesonck@census.gov"/>
    <x v="0"/>
    <x v="3"/>
    <s v="D"/>
    <x v="1"/>
    <n v="7.77"/>
    <x v="42"/>
    <x v="3"/>
    <x v="2"/>
    <x v="1"/>
  </r>
  <r>
    <s v="CXD-74176-600"/>
    <x v="129"/>
    <x v="409"/>
    <s v="E-L-0.5"/>
    <n v="4"/>
    <x v="409"/>
    <s v="craglessc7@webmd.com"/>
    <x v="1"/>
    <x v="1"/>
    <s v="L"/>
    <x v="1"/>
    <n v="8.91"/>
    <x v="70"/>
    <x v="1"/>
    <x v="1"/>
    <x v="1"/>
  </r>
  <r>
    <s v="ADX-50674-975"/>
    <x v="359"/>
    <x v="410"/>
    <s v="A-M-2.5"/>
    <n v="4"/>
    <x v="410"/>
    <s v="fhollowsc8@blogtalkradio.com"/>
    <x v="0"/>
    <x v="2"/>
    <s v="M"/>
    <x v="2"/>
    <n v="25.874999999999996"/>
    <x v="68"/>
    <x v="2"/>
    <x v="0"/>
    <x v="0"/>
  </r>
  <r>
    <s v="RRP-51647-420"/>
    <x v="360"/>
    <x v="411"/>
    <s v="E-D-1"/>
    <n v="3"/>
    <x v="411"/>
    <s v="llathleiffc9@nationalgeographic.com"/>
    <x v="1"/>
    <x v="1"/>
    <s v="D"/>
    <x v="0"/>
    <n v="12.15"/>
    <x v="114"/>
    <x v="1"/>
    <x v="2"/>
    <x v="0"/>
  </r>
  <r>
    <s v="PKJ-99134-523"/>
    <x v="361"/>
    <x v="412"/>
    <s v="R-L-0.5"/>
    <n v="5"/>
    <x v="412"/>
    <s v="kheadsca@jalbum.net"/>
    <x v="0"/>
    <x v="0"/>
    <s v="L"/>
    <x v="1"/>
    <n v="7.169999999999999"/>
    <x v="66"/>
    <x v="0"/>
    <x v="1"/>
    <x v="1"/>
  </r>
  <r>
    <s v="FZQ-29439-457"/>
    <x v="362"/>
    <x v="413"/>
    <s v="E-L-0.2"/>
    <n v="5"/>
    <x v="413"/>
    <s v="tbownecb@unicef.org"/>
    <x v="1"/>
    <x v="1"/>
    <s v="L"/>
    <x v="3"/>
    <n v="4.4550000000000001"/>
    <x v="110"/>
    <x v="1"/>
    <x v="1"/>
    <x v="0"/>
  </r>
  <r>
    <s v="USN-68115-161"/>
    <x v="363"/>
    <x v="414"/>
    <s v="E-M-0.2"/>
    <n v="6"/>
    <x v="414"/>
    <s v="rjacquemardcc@acquirethisname.com"/>
    <x v="1"/>
    <x v="1"/>
    <s v="M"/>
    <x v="3"/>
    <n v="4.125"/>
    <x v="167"/>
    <x v="1"/>
    <x v="0"/>
    <x v="1"/>
  </r>
  <r>
    <s v="IXU-20263-532"/>
    <x v="364"/>
    <x v="415"/>
    <s v="L-M-2.5"/>
    <n v="2"/>
    <x v="415"/>
    <s v="kwarmancd@printfriendly.com"/>
    <x v="1"/>
    <x v="3"/>
    <s v="M"/>
    <x v="2"/>
    <n v="33.464999999999996"/>
    <x v="174"/>
    <x v="3"/>
    <x v="0"/>
    <x v="0"/>
  </r>
  <r>
    <s v="CBT-15092-420"/>
    <x v="85"/>
    <x v="416"/>
    <s v="L-M-0.5"/>
    <n v="1"/>
    <x v="416"/>
    <s v="wcholomince@about.com"/>
    <x v="2"/>
    <x v="3"/>
    <s v="M"/>
    <x v="1"/>
    <n v="8.73"/>
    <x v="31"/>
    <x v="3"/>
    <x v="0"/>
    <x v="0"/>
  </r>
  <r>
    <s v="PKQ-46841-696"/>
    <x v="365"/>
    <x v="417"/>
    <s v="R-M-0.5"/>
    <n v="3"/>
    <x v="417"/>
    <s v="abraidmancf@census.gov"/>
    <x v="0"/>
    <x v="0"/>
    <s v="M"/>
    <x v="1"/>
    <n v="5.97"/>
    <x v="8"/>
    <x v="0"/>
    <x v="0"/>
    <x v="1"/>
  </r>
  <r>
    <s v="XDU-05471-219"/>
    <x v="366"/>
    <x v="418"/>
    <s v="R-L-0.5"/>
    <n v="1"/>
    <x v="418"/>
    <s v="pdurbancg@symantec.com"/>
    <x v="1"/>
    <x v="0"/>
    <s v="L"/>
    <x v="1"/>
    <n v="7.169999999999999"/>
    <x v="53"/>
    <x v="0"/>
    <x v="1"/>
    <x v="1"/>
  </r>
  <r>
    <s v="NID-20149-329"/>
    <x v="367"/>
    <x v="419"/>
    <s v="R-D-0.2"/>
    <n v="2"/>
    <x v="419"/>
    <s v="aharroldch@miibeian.gov.cn"/>
    <x v="0"/>
    <x v="0"/>
    <s v="D"/>
    <x v="3"/>
    <n v="2.6849999999999996"/>
    <x v="147"/>
    <x v="0"/>
    <x v="2"/>
    <x v="1"/>
  </r>
  <r>
    <s v="SVU-27222-213"/>
    <x v="142"/>
    <x v="420"/>
    <s v="L-L-0.2"/>
    <n v="5"/>
    <x v="420"/>
    <s v="spamphilonci@mlb.com"/>
    <x v="1"/>
    <x v="3"/>
    <s v="L"/>
    <x v="3"/>
    <n v="4.7549999999999999"/>
    <x v="29"/>
    <x v="3"/>
    <x v="1"/>
    <x v="1"/>
  </r>
  <r>
    <s v="RWI-84131-848"/>
    <x v="368"/>
    <x v="421"/>
    <s v="R-D-2.5"/>
    <n v="2"/>
    <x v="421"/>
    <s v="mspurdencj@exblog.jp"/>
    <x v="0"/>
    <x v="0"/>
    <s v="D"/>
    <x v="2"/>
    <n v="20.584999999999997"/>
    <x v="13"/>
    <x v="0"/>
    <x v="2"/>
    <x v="0"/>
  </r>
  <r>
    <s v="GUU-40666-525"/>
    <x v="31"/>
    <x v="408"/>
    <s v="A-L-0.2"/>
    <n v="3"/>
    <x v="408"/>
    <s v="msesonck@census.gov"/>
    <x v="0"/>
    <x v="2"/>
    <s v="L"/>
    <x v="3"/>
    <n v="3.8849999999999998"/>
    <x v="14"/>
    <x v="2"/>
    <x v="1"/>
    <x v="1"/>
  </r>
  <r>
    <s v="SCN-51395-066"/>
    <x v="369"/>
    <x v="422"/>
    <s v="L-L-0.5"/>
    <n v="4"/>
    <x v="422"/>
    <s v="npirronecl@weibo.com"/>
    <x v="0"/>
    <x v="3"/>
    <s v="L"/>
    <x v="1"/>
    <n v="9.51"/>
    <x v="82"/>
    <x v="3"/>
    <x v="1"/>
    <x v="1"/>
  </r>
  <r>
    <s v="ULA-24644-321"/>
    <x v="370"/>
    <x v="423"/>
    <s v="R-D-2.5"/>
    <n v="4"/>
    <x v="423"/>
    <s v="rcawleycm@yellowbook.com"/>
    <x v="1"/>
    <x v="0"/>
    <s v="D"/>
    <x v="2"/>
    <n v="20.584999999999997"/>
    <x v="18"/>
    <x v="0"/>
    <x v="2"/>
    <x v="0"/>
  </r>
  <r>
    <s v="EOL-92666-762"/>
    <x v="371"/>
    <x v="424"/>
    <s v="L-L-0.2"/>
    <n v="2"/>
    <x v="424"/>
    <s v="sbarribalcn@microsoft.com"/>
    <x v="1"/>
    <x v="3"/>
    <s v="L"/>
    <x v="3"/>
    <n v="4.7549999999999999"/>
    <x v="54"/>
    <x v="3"/>
    <x v="1"/>
    <x v="0"/>
  </r>
  <r>
    <s v="AJV-18231-334"/>
    <x v="372"/>
    <x v="425"/>
    <s v="R-D-2.5"/>
    <n v="2"/>
    <x v="425"/>
    <s v="aadamidesco@bizjournals.com"/>
    <x v="2"/>
    <x v="0"/>
    <s v="D"/>
    <x v="2"/>
    <n v="20.584999999999997"/>
    <x v="13"/>
    <x v="0"/>
    <x v="2"/>
    <x v="1"/>
  </r>
  <r>
    <s v="ZQI-47236-301"/>
    <x v="373"/>
    <x v="426"/>
    <s v="L-L-0.5"/>
    <n v="5"/>
    <x v="426"/>
    <s v="cthowescp@craigslist.org"/>
    <x v="0"/>
    <x v="3"/>
    <s v="L"/>
    <x v="1"/>
    <n v="9.51"/>
    <x v="46"/>
    <x v="3"/>
    <x v="1"/>
    <x v="1"/>
  </r>
  <r>
    <s v="ZCR-15721-658"/>
    <x v="374"/>
    <x v="427"/>
    <s v="A-M-1"/>
    <n v="4"/>
    <x v="427"/>
    <s v="rwillowaycq@admin.ch"/>
    <x v="0"/>
    <x v="2"/>
    <s v="M"/>
    <x v="0"/>
    <n v="11.25"/>
    <x v="157"/>
    <x v="2"/>
    <x v="0"/>
    <x v="1"/>
  </r>
  <r>
    <s v="QEW-47945-682"/>
    <x v="319"/>
    <x v="428"/>
    <s v="L-L-0.2"/>
    <n v="5"/>
    <x v="428"/>
    <s v="aelwincr@privacy.gov.au"/>
    <x v="0"/>
    <x v="3"/>
    <s v="L"/>
    <x v="3"/>
    <n v="4.7549999999999999"/>
    <x v="29"/>
    <x v="3"/>
    <x v="1"/>
    <x v="1"/>
  </r>
  <r>
    <s v="PSY-45485-542"/>
    <x v="375"/>
    <x v="429"/>
    <s v="R-D-0.5"/>
    <n v="3"/>
    <x v="429"/>
    <s v="abilbrookcs@booking.com"/>
    <x v="1"/>
    <x v="0"/>
    <s v="D"/>
    <x v="1"/>
    <n v="5.3699999999999992"/>
    <x v="103"/>
    <x v="0"/>
    <x v="2"/>
    <x v="0"/>
  </r>
  <r>
    <s v="BAQ-74241-156"/>
    <x v="376"/>
    <x v="430"/>
    <s v="R-D-0.2"/>
    <n v="4"/>
    <x v="430"/>
    <s v="rmckallct@sakura.ne.jp"/>
    <x v="2"/>
    <x v="0"/>
    <s v="D"/>
    <x v="3"/>
    <n v="2.6849999999999996"/>
    <x v="175"/>
    <x v="0"/>
    <x v="2"/>
    <x v="0"/>
  </r>
  <r>
    <s v="BVU-77367-451"/>
    <x v="377"/>
    <x v="431"/>
    <s v="A-D-1"/>
    <n v="5"/>
    <x v="431"/>
    <s v="bdailecu@vistaprint.com"/>
    <x v="0"/>
    <x v="2"/>
    <s v="D"/>
    <x v="0"/>
    <n v="9.9499999999999993"/>
    <x v="12"/>
    <x v="2"/>
    <x v="2"/>
    <x v="0"/>
  </r>
  <r>
    <s v="TJE-91516-344"/>
    <x v="378"/>
    <x v="432"/>
    <s v="E-M-1"/>
    <n v="2"/>
    <x v="432"/>
    <s v="atrehernecv@state.tx.us"/>
    <x v="1"/>
    <x v="1"/>
    <s v="M"/>
    <x v="0"/>
    <n v="13.75"/>
    <x v="3"/>
    <x v="1"/>
    <x v="0"/>
    <x v="1"/>
  </r>
  <r>
    <s v="LIS-96202-702"/>
    <x v="277"/>
    <x v="433"/>
    <s v="L-D-2.5"/>
    <n v="4"/>
    <x v="433"/>
    <s v="abrentnallcw@biglobe.ne.jp"/>
    <x v="2"/>
    <x v="3"/>
    <s v="D"/>
    <x v="2"/>
    <n v="29.784999999999997"/>
    <x v="129"/>
    <x v="3"/>
    <x v="2"/>
    <x v="1"/>
  </r>
  <r>
    <s v="VIO-27668-766"/>
    <x v="379"/>
    <x v="434"/>
    <s v="R-D-2.5"/>
    <n v="1"/>
    <x v="434"/>
    <s v="ddrinkallcx@psu.edu"/>
    <x v="0"/>
    <x v="0"/>
    <s v="D"/>
    <x v="2"/>
    <n v="20.584999999999997"/>
    <x v="123"/>
    <x v="0"/>
    <x v="2"/>
    <x v="0"/>
  </r>
  <r>
    <s v="ZVG-20473-043"/>
    <x v="86"/>
    <x v="435"/>
    <s v="A-D-0.2"/>
    <n v="3"/>
    <x v="435"/>
    <s v="dkornelcy@cyberchimps.com"/>
    <x v="0"/>
    <x v="2"/>
    <s v="D"/>
    <x v="3"/>
    <n v="2.9849999999999999"/>
    <x v="169"/>
    <x v="2"/>
    <x v="2"/>
    <x v="0"/>
  </r>
  <r>
    <s v="KGZ-56395-231"/>
    <x v="380"/>
    <x v="436"/>
    <s v="A-D-0.5"/>
    <n v="1"/>
    <x v="436"/>
    <s v="rlequeuxcz@newyorker.com"/>
    <x v="0"/>
    <x v="2"/>
    <s v="D"/>
    <x v="1"/>
    <n v="5.97"/>
    <x v="9"/>
    <x v="2"/>
    <x v="2"/>
    <x v="1"/>
  </r>
  <r>
    <s v="CUU-92244-729"/>
    <x v="381"/>
    <x v="437"/>
    <s v="E-M-1"/>
    <n v="3"/>
    <x v="437"/>
    <s v="jmccaulld0@parallels.com"/>
    <x v="0"/>
    <x v="1"/>
    <s v="M"/>
    <x v="0"/>
    <n v="13.75"/>
    <x v="1"/>
    <x v="1"/>
    <x v="0"/>
    <x v="0"/>
  </r>
  <r>
    <s v="EHE-94714-312"/>
    <x v="382"/>
    <x v="438"/>
    <s v="E-L-0.2"/>
    <n v="5"/>
    <x v="438"/>
    <s v="abrashda@plala.or.jp"/>
    <x v="0"/>
    <x v="1"/>
    <s v="L"/>
    <x v="3"/>
    <n v="4.4550000000000001"/>
    <x v="110"/>
    <x v="1"/>
    <x v="1"/>
    <x v="0"/>
  </r>
  <r>
    <s v="RTL-16205-161"/>
    <x v="11"/>
    <x v="439"/>
    <s v="A-M-0.5"/>
    <n v="1"/>
    <x v="439"/>
    <s v="ahutchinsond2@imgur.com"/>
    <x v="0"/>
    <x v="2"/>
    <s v="M"/>
    <x v="1"/>
    <n v="6.75"/>
    <x v="52"/>
    <x v="2"/>
    <x v="0"/>
    <x v="0"/>
  </r>
  <r>
    <s v="GTS-22482-014"/>
    <x v="167"/>
    <x v="440"/>
    <s v="L-M-2.5"/>
    <n v="4"/>
    <x v="440"/>
    <n v="0"/>
    <x v="0"/>
    <x v="3"/>
    <s v="M"/>
    <x v="2"/>
    <n v="33.464999999999996"/>
    <x v="136"/>
    <x v="3"/>
    <x v="0"/>
    <x v="0"/>
  </r>
  <r>
    <s v="DYG-25473-881"/>
    <x v="383"/>
    <x v="441"/>
    <s v="A-D-0.2"/>
    <n v="2"/>
    <x v="441"/>
    <s v="rdriversd4@hexun.com"/>
    <x v="0"/>
    <x v="2"/>
    <s v="D"/>
    <x v="3"/>
    <n v="2.9849999999999999"/>
    <x v="9"/>
    <x v="2"/>
    <x v="2"/>
    <x v="1"/>
  </r>
  <r>
    <s v="HTR-21838-286"/>
    <x v="18"/>
    <x v="442"/>
    <s v="A-L-1"/>
    <n v="2"/>
    <x v="442"/>
    <s v="hzeald5@google.de"/>
    <x v="0"/>
    <x v="2"/>
    <s v="L"/>
    <x v="0"/>
    <n v="12.95"/>
    <x v="109"/>
    <x v="2"/>
    <x v="1"/>
    <x v="1"/>
  </r>
  <r>
    <s v="KYG-28296-920"/>
    <x v="84"/>
    <x v="443"/>
    <s v="E-M-2.5"/>
    <n v="1"/>
    <x v="443"/>
    <s v="gsmallcombed6@ucla.edu"/>
    <x v="1"/>
    <x v="1"/>
    <s v="M"/>
    <x v="2"/>
    <n v="31.624999999999996"/>
    <x v="176"/>
    <x v="1"/>
    <x v="0"/>
    <x v="0"/>
  </r>
  <r>
    <s v="NNB-20459-430"/>
    <x v="384"/>
    <x v="444"/>
    <s v="L-M-0.2"/>
    <n v="2"/>
    <x v="444"/>
    <s v="ddibleyd7@feedburner.com"/>
    <x v="0"/>
    <x v="3"/>
    <s v="M"/>
    <x v="3"/>
    <n v="4.3650000000000002"/>
    <x v="31"/>
    <x v="3"/>
    <x v="0"/>
    <x v="1"/>
  </r>
  <r>
    <s v="FEK-14025-351"/>
    <x v="385"/>
    <x v="445"/>
    <s v="E-L-0.2"/>
    <n v="6"/>
    <x v="445"/>
    <s v="gdimitrioud8@chronoengine.com"/>
    <x v="0"/>
    <x v="1"/>
    <s v="L"/>
    <x v="3"/>
    <n v="4.4550000000000001"/>
    <x v="149"/>
    <x v="1"/>
    <x v="1"/>
    <x v="0"/>
  </r>
  <r>
    <s v="AWH-16980-469"/>
    <x v="386"/>
    <x v="446"/>
    <s v="L-M-0.2"/>
    <n v="6"/>
    <x v="446"/>
    <s v="fflanagand9@woothemes.com"/>
    <x v="0"/>
    <x v="3"/>
    <s v="M"/>
    <x v="3"/>
    <n v="4.3650000000000002"/>
    <x v="50"/>
    <x v="3"/>
    <x v="0"/>
    <x v="1"/>
  </r>
  <r>
    <s v="ZPW-31329-741"/>
    <x v="387"/>
    <x v="438"/>
    <s v="R-D-1"/>
    <n v="6"/>
    <x v="438"/>
    <s v="abrashda@plala.or.jp"/>
    <x v="0"/>
    <x v="0"/>
    <s v="D"/>
    <x v="0"/>
    <n v="8.9499999999999993"/>
    <x v="59"/>
    <x v="0"/>
    <x v="2"/>
    <x v="0"/>
  </r>
  <r>
    <s v="ZPW-31329-741"/>
    <x v="387"/>
    <x v="438"/>
    <s v="E-M-2.5"/>
    <n v="4"/>
    <x v="438"/>
    <s v="abrashda@plala.or.jp"/>
    <x v="0"/>
    <x v="1"/>
    <s v="M"/>
    <x v="2"/>
    <n v="31.624999999999996"/>
    <x v="177"/>
    <x v="1"/>
    <x v="0"/>
    <x v="0"/>
  </r>
  <r>
    <s v="ZPW-31329-741"/>
    <x v="387"/>
    <x v="438"/>
    <s v="E-M-0.2"/>
    <n v="1"/>
    <x v="438"/>
    <s v="abrashda@plala.or.jp"/>
    <x v="0"/>
    <x v="1"/>
    <s v="M"/>
    <x v="3"/>
    <n v="4.125"/>
    <x v="83"/>
    <x v="1"/>
    <x v="0"/>
    <x v="0"/>
  </r>
  <r>
    <s v="UBI-83843-396"/>
    <x v="388"/>
    <x v="447"/>
    <s v="R-L-1"/>
    <n v="2"/>
    <x v="447"/>
    <s v="nizhakovdd@aol.com"/>
    <x v="2"/>
    <x v="0"/>
    <s v="L"/>
    <x v="0"/>
    <n v="11.95"/>
    <x v="178"/>
    <x v="0"/>
    <x v="1"/>
    <x v="1"/>
  </r>
  <r>
    <s v="VID-40587-569"/>
    <x v="389"/>
    <x v="448"/>
    <s v="E-D-2.5"/>
    <n v="5"/>
    <x v="448"/>
    <s v="skeetsde@answers.com"/>
    <x v="0"/>
    <x v="1"/>
    <s v="D"/>
    <x v="2"/>
    <n v="27.945"/>
    <x v="141"/>
    <x v="1"/>
    <x v="2"/>
    <x v="0"/>
  </r>
  <r>
    <s v="KBB-52530-416"/>
    <x v="229"/>
    <x v="449"/>
    <s v="L-D-2.5"/>
    <n v="2"/>
    <x v="449"/>
    <n v="0"/>
    <x v="0"/>
    <x v="3"/>
    <s v="D"/>
    <x v="2"/>
    <n v="29.784999999999997"/>
    <x v="120"/>
    <x v="3"/>
    <x v="2"/>
    <x v="0"/>
  </r>
  <r>
    <s v="ISJ-48676-420"/>
    <x v="390"/>
    <x v="450"/>
    <s v="L-L-0.5"/>
    <n v="6"/>
    <x v="450"/>
    <s v="kcakedg@huffingtonpost.com"/>
    <x v="0"/>
    <x v="3"/>
    <s v="L"/>
    <x v="1"/>
    <n v="9.51"/>
    <x v="30"/>
    <x v="3"/>
    <x v="1"/>
    <x v="1"/>
  </r>
  <r>
    <s v="MIF-17920-768"/>
    <x v="391"/>
    <x v="451"/>
    <s v="R-L-0.2"/>
    <n v="6"/>
    <x v="451"/>
    <s v="mhanseddh@instagram.com"/>
    <x v="1"/>
    <x v="0"/>
    <s v="L"/>
    <x v="3"/>
    <n v="3.5849999999999995"/>
    <x v="137"/>
    <x v="0"/>
    <x v="1"/>
    <x v="0"/>
  </r>
  <r>
    <s v="CPX-19312-088"/>
    <x v="117"/>
    <x v="452"/>
    <s v="L-M-0.5"/>
    <n v="6"/>
    <x v="452"/>
    <s v="fkienleindi@trellian.com"/>
    <x v="1"/>
    <x v="3"/>
    <s v="M"/>
    <x v="1"/>
    <n v="8.73"/>
    <x v="28"/>
    <x v="3"/>
    <x v="0"/>
    <x v="0"/>
  </r>
  <r>
    <s v="RXI-67978-260"/>
    <x v="392"/>
    <x v="453"/>
    <s v="E-D-1"/>
    <n v="6"/>
    <x v="453"/>
    <s v="kegglestonedj@sphinn.com"/>
    <x v="1"/>
    <x v="1"/>
    <s v="D"/>
    <x v="0"/>
    <n v="12.15"/>
    <x v="118"/>
    <x v="1"/>
    <x v="2"/>
    <x v="1"/>
  </r>
  <r>
    <s v="LKE-14821-285"/>
    <x v="393"/>
    <x v="454"/>
    <s v="R-M-0.2"/>
    <n v="5"/>
    <x v="454"/>
    <s v="bsemkinsdk@unc.edu"/>
    <x v="1"/>
    <x v="0"/>
    <s v="M"/>
    <x v="3"/>
    <n v="2.9849999999999999"/>
    <x v="128"/>
    <x v="0"/>
    <x v="0"/>
    <x v="0"/>
  </r>
  <r>
    <s v="LRK-97117-150"/>
    <x v="394"/>
    <x v="455"/>
    <s v="L-L-1"/>
    <n v="6"/>
    <x v="455"/>
    <s v="slorenzettidl@is.gd"/>
    <x v="0"/>
    <x v="3"/>
    <s v="L"/>
    <x v="0"/>
    <n v="15.85"/>
    <x v="179"/>
    <x v="3"/>
    <x v="1"/>
    <x v="1"/>
  </r>
  <r>
    <s v="IGK-51227-573"/>
    <x v="137"/>
    <x v="456"/>
    <s v="L-D-0.5"/>
    <n v="2"/>
    <x v="456"/>
    <s v="bgiannazzidm@apple.com"/>
    <x v="0"/>
    <x v="3"/>
    <s v="D"/>
    <x v="1"/>
    <n v="7.77"/>
    <x v="42"/>
    <x v="3"/>
    <x v="2"/>
    <x v="1"/>
  </r>
  <r>
    <s v="ZAY-43009-775"/>
    <x v="395"/>
    <x v="457"/>
    <s v="L-D-0.2"/>
    <n v="6"/>
    <x v="457"/>
    <n v="0"/>
    <x v="0"/>
    <x v="3"/>
    <s v="D"/>
    <x v="3"/>
    <n v="3.8849999999999998"/>
    <x v="102"/>
    <x v="3"/>
    <x v="2"/>
    <x v="1"/>
  </r>
  <r>
    <s v="EMA-63190-618"/>
    <x v="396"/>
    <x v="458"/>
    <s v="E-M-0.2"/>
    <n v="1"/>
    <x v="458"/>
    <s v="ulethbrigdo@hc360.com"/>
    <x v="0"/>
    <x v="1"/>
    <s v="M"/>
    <x v="3"/>
    <n v="4.125"/>
    <x v="83"/>
    <x v="1"/>
    <x v="0"/>
    <x v="0"/>
  </r>
  <r>
    <s v="FBI-35855-418"/>
    <x v="189"/>
    <x v="459"/>
    <s v="R-M-0.5"/>
    <n v="6"/>
    <x v="459"/>
    <s v="sfarnishdp@dmoz.org"/>
    <x v="2"/>
    <x v="0"/>
    <s v="M"/>
    <x v="1"/>
    <n v="5.97"/>
    <x v="27"/>
    <x v="0"/>
    <x v="0"/>
    <x v="1"/>
  </r>
  <r>
    <s v="TXB-80533-417"/>
    <x v="8"/>
    <x v="460"/>
    <s v="L-L-1"/>
    <n v="2"/>
    <x v="460"/>
    <s v="fjecockdq@unicef.org"/>
    <x v="0"/>
    <x v="3"/>
    <s v="L"/>
    <x v="0"/>
    <n v="15.85"/>
    <x v="124"/>
    <x v="3"/>
    <x v="1"/>
    <x v="1"/>
  </r>
  <r>
    <s v="MBM-00112-248"/>
    <x v="397"/>
    <x v="461"/>
    <s v="L-L-1"/>
    <n v="5"/>
    <x v="461"/>
    <n v="0"/>
    <x v="0"/>
    <x v="3"/>
    <s v="L"/>
    <x v="0"/>
    <n v="15.85"/>
    <x v="180"/>
    <x v="3"/>
    <x v="1"/>
    <x v="0"/>
  </r>
  <r>
    <s v="EUO-69145-988"/>
    <x v="398"/>
    <x v="462"/>
    <s v="E-D-0.2"/>
    <n v="3"/>
    <x v="462"/>
    <s v="hpallisterds@ning.com"/>
    <x v="0"/>
    <x v="1"/>
    <s v="D"/>
    <x v="3"/>
    <n v="3.645"/>
    <x v="47"/>
    <x v="1"/>
    <x v="2"/>
    <x v="1"/>
  </r>
  <r>
    <s v="GYA-80327-368"/>
    <x v="399"/>
    <x v="463"/>
    <s v="A-D-1"/>
    <n v="4"/>
    <x v="463"/>
    <s v="cmershdt@drupal.org"/>
    <x v="1"/>
    <x v="2"/>
    <s v="D"/>
    <x v="0"/>
    <n v="9.9499999999999993"/>
    <x v="10"/>
    <x v="2"/>
    <x v="2"/>
    <x v="1"/>
  </r>
  <r>
    <s v="TNW-41601-420"/>
    <x v="400"/>
    <x v="464"/>
    <s v="R-M-1"/>
    <n v="5"/>
    <x v="464"/>
    <s v="murione5@alexa.com"/>
    <x v="1"/>
    <x v="0"/>
    <s v="M"/>
    <x v="0"/>
    <n v="9.9499999999999993"/>
    <x v="12"/>
    <x v="0"/>
    <x v="0"/>
    <x v="0"/>
  </r>
  <r>
    <s v="ALR-62963-723"/>
    <x v="401"/>
    <x v="465"/>
    <s v="R-D-0.2"/>
    <n v="3"/>
    <x v="465"/>
    <n v="0"/>
    <x v="1"/>
    <x v="0"/>
    <s v="D"/>
    <x v="3"/>
    <n v="2.6849999999999996"/>
    <x v="36"/>
    <x v="0"/>
    <x v="2"/>
    <x v="0"/>
  </r>
  <r>
    <s v="JIG-27636-870"/>
    <x v="402"/>
    <x v="466"/>
    <s v="R-L-1"/>
    <n v="4"/>
    <x v="466"/>
    <n v="0"/>
    <x v="0"/>
    <x v="0"/>
    <s v="L"/>
    <x v="0"/>
    <n v="11.95"/>
    <x v="62"/>
    <x v="0"/>
    <x v="1"/>
    <x v="1"/>
  </r>
  <r>
    <s v="CTE-31437-326"/>
    <x v="6"/>
    <x v="467"/>
    <s v="R-M-0.2"/>
    <n v="4"/>
    <x v="467"/>
    <s v="gduckerdx@patch.com"/>
    <x v="2"/>
    <x v="0"/>
    <s v="M"/>
    <x v="3"/>
    <n v="2.9849999999999999"/>
    <x v="22"/>
    <x v="0"/>
    <x v="0"/>
    <x v="1"/>
  </r>
  <r>
    <s v="CTE-31437-326"/>
    <x v="6"/>
    <x v="467"/>
    <s v="E-M-0.2"/>
    <n v="4"/>
    <x v="467"/>
    <s v="gduckerdx@patch.com"/>
    <x v="2"/>
    <x v="1"/>
    <s v="M"/>
    <x v="3"/>
    <n v="4.125"/>
    <x v="38"/>
    <x v="1"/>
    <x v="0"/>
    <x v="1"/>
  </r>
  <r>
    <s v="CTE-31437-326"/>
    <x v="6"/>
    <x v="467"/>
    <s v="L-D-1"/>
    <n v="4"/>
    <x v="467"/>
    <s v="gduckerdx@patch.com"/>
    <x v="2"/>
    <x v="3"/>
    <s v="D"/>
    <x v="0"/>
    <n v="12.95"/>
    <x v="67"/>
    <x v="3"/>
    <x v="2"/>
    <x v="1"/>
  </r>
  <r>
    <s v="CTE-31437-326"/>
    <x v="6"/>
    <x v="467"/>
    <s v="L-L-0.2"/>
    <n v="3"/>
    <x v="467"/>
    <s v="gduckerdx@patch.com"/>
    <x v="2"/>
    <x v="3"/>
    <s v="L"/>
    <x v="3"/>
    <n v="4.7549999999999999"/>
    <x v="181"/>
    <x v="3"/>
    <x v="1"/>
    <x v="1"/>
  </r>
  <r>
    <s v="SLD-63003-334"/>
    <x v="403"/>
    <x v="468"/>
    <s v="L-M-0.2"/>
    <n v="6"/>
    <x v="468"/>
    <s v="wstearleye1@census.gov"/>
    <x v="0"/>
    <x v="3"/>
    <s v="M"/>
    <x v="3"/>
    <n v="4.3650000000000002"/>
    <x v="50"/>
    <x v="3"/>
    <x v="0"/>
    <x v="1"/>
  </r>
  <r>
    <s v="BXN-64230-789"/>
    <x v="404"/>
    <x v="469"/>
    <s v="A-L-1"/>
    <n v="2"/>
    <x v="469"/>
    <s v="dwincere2@marriott.com"/>
    <x v="0"/>
    <x v="2"/>
    <s v="L"/>
    <x v="0"/>
    <n v="12.95"/>
    <x v="109"/>
    <x v="2"/>
    <x v="1"/>
    <x v="0"/>
  </r>
  <r>
    <s v="XEE-37895-169"/>
    <x v="21"/>
    <x v="470"/>
    <s v="A-L-2.5"/>
    <n v="3"/>
    <x v="470"/>
    <s v="plyfielde3@baidu.com"/>
    <x v="0"/>
    <x v="2"/>
    <s v="L"/>
    <x v="2"/>
    <n v="29.784999999999997"/>
    <x v="49"/>
    <x v="2"/>
    <x v="1"/>
    <x v="0"/>
  </r>
  <r>
    <s v="ZTX-80764-911"/>
    <x v="239"/>
    <x v="471"/>
    <s v="L-D-0.5"/>
    <n v="6"/>
    <x v="471"/>
    <s v="hperrise4@studiopress.com"/>
    <x v="1"/>
    <x v="3"/>
    <s v="D"/>
    <x v="1"/>
    <n v="7.77"/>
    <x v="162"/>
    <x v="3"/>
    <x v="2"/>
    <x v="1"/>
  </r>
  <r>
    <s v="WVT-88135-549"/>
    <x v="405"/>
    <x v="464"/>
    <s v="A-D-1"/>
    <n v="3"/>
    <x v="464"/>
    <s v="murione5@alexa.com"/>
    <x v="1"/>
    <x v="2"/>
    <s v="D"/>
    <x v="0"/>
    <n v="9.9499999999999993"/>
    <x v="44"/>
    <x v="2"/>
    <x v="2"/>
    <x v="0"/>
  </r>
  <r>
    <s v="IPA-94170-889"/>
    <x v="292"/>
    <x v="472"/>
    <s v="R-L-0.2"/>
    <n v="3"/>
    <x v="472"/>
    <s v="ckide6@narod.ru"/>
    <x v="1"/>
    <x v="0"/>
    <s v="L"/>
    <x v="3"/>
    <n v="3.5849999999999995"/>
    <x v="127"/>
    <x v="0"/>
    <x v="1"/>
    <x v="0"/>
  </r>
  <r>
    <s v="YQL-63755-365"/>
    <x v="117"/>
    <x v="473"/>
    <s v="A-M-0.2"/>
    <n v="4"/>
    <x v="473"/>
    <s v="cbeinee7@xinhuanet.com"/>
    <x v="0"/>
    <x v="2"/>
    <s v="M"/>
    <x v="3"/>
    <n v="3.375"/>
    <x v="72"/>
    <x v="2"/>
    <x v="0"/>
    <x v="0"/>
  </r>
  <r>
    <s v="RKW-81145-984"/>
    <x v="406"/>
    <x v="474"/>
    <s v="L-L-1"/>
    <n v="3"/>
    <x v="474"/>
    <s v="cbakeupe8@globo.com"/>
    <x v="0"/>
    <x v="3"/>
    <s v="L"/>
    <x v="0"/>
    <n v="15.85"/>
    <x v="46"/>
    <x v="3"/>
    <x v="1"/>
    <x v="1"/>
  </r>
  <r>
    <s v="MBT-23379-866"/>
    <x v="407"/>
    <x v="475"/>
    <s v="L-L-1"/>
    <n v="5"/>
    <x v="475"/>
    <s v="nhelkine9@example.com"/>
    <x v="0"/>
    <x v="3"/>
    <s v="L"/>
    <x v="0"/>
    <n v="15.85"/>
    <x v="180"/>
    <x v="3"/>
    <x v="1"/>
    <x v="1"/>
  </r>
  <r>
    <s v="GEJ-39834-935"/>
    <x v="408"/>
    <x v="476"/>
    <s v="L-M-0.2"/>
    <n v="6"/>
    <x v="476"/>
    <s v="pwitheringtonea@networkadvertising.org"/>
    <x v="0"/>
    <x v="3"/>
    <s v="M"/>
    <x v="3"/>
    <n v="4.3650000000000002"/>
    <x v="50"/>
    <x v="3"/>
    <x v="0"/>
    <x v="0"/>
  </r>
  <r>
    <s v="KRW-91640-596"/>
    <x v="409"/>
    <x v="477"/>
    <s v="R-L-0.5"/>
    <n v="3"/>
    <x v="477"/>
    <s v="ttilzeyeb@hostgator.com"/>
    <x v="0"/>
    <x v="0"/>
    <s v="L"/>
    <x v="1"/>
    <n v="7.169999999999999"/>
    <x v="137"/>
    <x v="0"/>
    <x v="1"/>
    <x v="1"/>
  </r>
  <r>
    <s v="AOT-70449-651"/>
    <x v="410"/>
    <x v="478"/>
    <s v="R-D-2.5"/>
    <n v="5"/>
    <x v="478"/>
    <n v="0"/>
    <x v="0"/>
    <x v="0"/>
    <s v="D"/>
    <x v="2"/>
    <n v="20.584999999999997"/>
    <x v="182"/>
    <x v="0"/>
    <x v="2"/>
    <x v="0"/>
  </r>
  <r>
    <s v="DGC-21813-731"/>
    <x v="127"/>
    <x v="479"/>
    <s v="L-D-0.2"/>
    <n v="2"/>
    <x v="479"/>
    <n v="0"/>
    <x v="0"/>
    <x v="3"/>
    <s v="D"/>
    <x v="3"/>
    <n v="3.8849999999999998"/>
    <x v="41"/>
    <x v="3"/>
    <x v="2"/>
    <x v="1"/>
  </r>
  <r>
    <s v="JBE-92943-643"/>
    <x v="411"/>
    <x v="480"/>
    <s v="E-D-2.5"/>
    <n v="5"/>
    <x v="480"/>
    <s v="kimortsee@alexa.com"/>
    <x v="0"/>
    <x v="1"/>
    <s v="D"/>
    <x v="2"/>
    <n v="27.945"/>
    <x v="141"/>
    <x v="1"/>
    <x v="2"/>
    <x v="1"/>
  </r>
  <r>
    <s v="ZIL-34948-499"/>
    <x v="112"/>
    <x v="464"/>
    <s v="A-D-0.5"/>
    <n v="2"/>
    <x v="464"/>
    <s v="murione5@alexa.com"/>
    <x v="1"/>
    <x v="2"/>
    <s v="D"/>
    <x v="1"/>
    <n v="5.97"/>
    <x v="22"/>
    <x v="2"/>
    <x v="2"/>
    <x v="0"/>
  </r>
  <r>
    <s v="JSU-23781-256"/>
    <x v="412"/>
    <x v="481"/>
    <s v="L-D-0.2"/>
    <n v="1"/>
    <x v="481"/>
    <s v="marmisteadeg@blogtalkradio.com"/>
    <x v="0"/>
    <x v="3"/>
    <s v="D"/>
    <x v="3"/>
    <n v="3.8849999999999998"/>
    <x v="84"/>
    <x v="3"/>
    <x v="2"/>
    <x v="1"/>
  </r>
  <r>
    <s v="JSU-23781-256"/>
    <x v="412"/>
    <x v="481"/>
    <s v="R-M-1"/>
    <n v="4"/>
    <x v="481"/>
    <s v="marmisteadeg@blogtalkradio.com"/>
    <x v="0"/>
    <x v="0"/>
    <s v="M"/>
    <x v="0"/>
    <n v="9.9499999999999993"/>
    <x v="10"/>
    <x v="0"/>
    <x v="0"/>
    <x v="1"/>
  </r>
  <r>
    <s v="VPX-44956-367"/>
    <x v="413"/>
    <x v="482"/>
    <s v="R-M-0.5"/>
    <n v="5"/>
    <x v="482"/>
    <s v="vupstoneei@google.pl"/>
    <x v="0"/>
    <x v="0"/>
    <s v="M"/>
    <x v="1"/>
    <n v="5.97"/>
    <x v="44"/>
    <x v="0"/>
    <x v="0"/>
    <x v="1"/>
  </r>
  <r>
    <s v="VTB-46451-959"/>
    <x v="414"/>
    <x v="483"/>
    <s v="L-D-2.5"/>
    <n v="1"/>
    <x v="483"/>
    <s v="bbeelbyej@rediff.com"/>
    <x v="1"/>
    <x v="3"/>
    <s v="D"/>
    <x v="2"/>
    <n v="29.784999999999997"/>
    <x v="91"/>
    <x v="3"/>
    <x v="2"/>
    <x v="1"/>
  </r>
  <r>
    <s v="DNZ-11665-950"/>
    <x v="415"/>
    <x v="484"/>
    <s v="L-L-2.5"/>
    <n v="2"/>
    <x v="484"/>
    <n v="0"/>
    <x v="0"/>
    <x v="3"/>
    <s v="L"/>
    <x v="2"/>
    <n v="36.454999999999998"/>
    <x v="37"/>
    <x v="3"/>
    <x v="1"/>
    <x v="1"/>
  </r>
  <r>
    <s v="ITR-54735-364"/>
    <x v="416"/>
    <x v="485"/>
    <s v="R-D-0.2"/>
    <n v="5"/>
    <x v="485"/>
    <n v="0"/>
    <x v="0"/>
    <x v="0"/>
    <s v="D"/>
    <x v="3"/>
    <n v="2.6849999999999996"/>
    <x v="148"/>
    <x v="0"/>
    <x v="2"/>
    <x v="0"/>
  </r>
  <r>
    <s v="YDS-02797-307"/>
    <x v="417"/>
    <x v="486"/>
    <s v="E-M-2.5"/>
    <n v="4"/>
    <x v="486"/>
    <s v="wspeechlyem@amazon.com"/>
    <x v="0"/>
    <x v="1"/>
    <s v="M"/>
    <x v="2"/>
    <n v="31.624999999999996"/>
    <x v="177"/>
    <x v="1"/>
    <x v="0"/>
    <x v="0"/>
  </r>
  <r>
    <s v="BPG-68988-842"/>
    <x v="418"/>
    <x v="487"/>
    <s v="E-M-0.5"/>
    <n v="5"/>
    <x v="487"/>
    <s v="iphillpoten@buzzfeed.com"/>
    <x v="2"/>
    <x v="1"/>
    <s v="M"/>
    <x v="1"/>
    <n v="8.25"/>
    <x v="1"/>
    <x v="1"/>
    <x v="0"/>
    <x v="1"/>
  </r>
  <r>
    <s v="XZG-51938-658"/>
    <x v="419"/>
    <x v="488"/>
    <s v="E-L-0.5"/>
    <n v="6"/>
    <x v="488"/>
    <s v="lpennaccieo@statcounter.com"/>
    <x v="0"/>
    <x v="1"/>
    <s v="L"/>
    <x v="1"/>
    <n v="8.91"/>
    <x v="119"/>
    <x v="1"/>
    <x v="1"/>
    <x v="1"/>
  </r>
  <r>
    <s v="KAR-24978-271"/>
    <x v="420"/>
    <x v="489"/>
    <s v="R-M-1"/>
    <n v="6"/>
    <x v="489"/>
    <s v="sarpinep@moonfruit.com"/>
    <x v="0"/>
    <x v="0"/>
    <s v="M"/>
    <x v="0"/>
    <n v="9.9499999999999993"/>
    <x v="33"/>
    <x v="0"/>
    <x v="0"/>
    <x v="1"/>
  </r>
  <r>
    <s v="FQK-28730-361"/>
    <x v="421"/>
    <x v="490"/>
    <s v="R-M-1"/>
    <n v="6"/>
    <x v="490"/>
    <s v="dfrieseq@cargocollective.com"/>
    <x v="0"/>
    <x v="0"/>
    <s v="M"/>
    <x v="0"/>
    <n v="9.9499999999999993"/>
    <x v="33"/>
    <x v="0"/>
    <x v="0"/>
    <x v="1"/>
  </r>
  <r>
    <s v="BGB-67996-089"/>
    <x v="422"/>
    <x v="491"/>
    <s v="R-D-1"/>
    <n v="5"/>
    <x v="491"/>
    <s v="rsharerer@flavors.me"/>
    <x v="0"/>
    <x v="0"/>
    <s v="D"/>
    <x v="0"/>
    <n v="8.9499999999999993"/>
    <x v="153"/>
    <x v="0"/>
    <x v="2"/>
    <x v="1"/>
  </r>
  <r>
    <s v="XMC-20620-809"/>
    <x v="423"/>
    <x v="492"/>
    <s v="E-M-0.5"/>
    <n v="2"/>
    <x v="492"/>
    <s v="nnasebyes@umich.edu"/>
    <x v="0"/>
    <x v="1"/>
    <s v="M"/>
    <x v="1"/>
    <n v="8.25"/>
    <x v="38"/>
    <x v="1"/>
    <x v="0"/>
    <x v="0"/>
  </r>
  <r>
    <s v="ZSO-58292-191"/>
    <x v="109"/>
    <x v="493"/>
    <s v="R-D-0.5"/>
    <n v="4"/>
    <x v="493"/>
    <n v="0"/>
    <x v="0"/>
    <x v="0"/>
    <s v="D"/>
    <x v="1"/>
    <n v="5.3699999999999992"/>
    <x v="155"/>
    <x v="0"/>
    <x v="2"/>
    <x v="1"/>
  </r>
  <r>
    <s v="LWJ-06793-303"/>
    <x v="204"/>
    <x v="494"/>
    <s v="R-M-2.5"/>
    <n v="2"/>
    <x v="494"/>
    <s v="koculleneu@ca.gov"/>
    <x v="1"/>
    <x v="0"/>
    <s v="M"/>
    <x v="2"/>
    <n v="22.884999999999998"/>
    <x v="135"/>
    <x v="0"/>
    <x v="0"/>
    <x v="0"/>
  </r>
  <r>
    <s v="FLM-82229-989"/>
    <x v="424"/>
    <x v="495"/>
    <s v="L-L-0.2"/>
    <n v="2"/>
    <x v="495"/>
    <n v="0"/>
    <x v="1"/>
    <x v="3"/>
    <s v="L"/>
    <x v="3"/>
    <n v="4.7549999999999999"/>
    <x v="54"/>
    <x v="3"/>
    <x v="1"/>
    <x v="1"/>
  </r>
  <r>
    <s v="CPV-90280-133"/>
    <x v="13"/>
    <x v="464"/>
    <s v="R-D-0.2"/>
    <n v="3"/>
    <x v="464"/>
    <s v="murione5@alexa.com"/>
    <x v="1"/>
    <x v="0"/>
    <s v="D"/>
    <x v="3"/>
    <n v="2.6849999999999996"/>
    <x v="36"/>
    <x v="0"/>
    <x v="2"/>
    <x v="0"/>
  </r>
  <r>
    <s v="OGW-60685-912"/>
    <x v="224"/>
    <x v="496"/>
    <s v="E-D-2.5"/>
    <n v="4"/>
    <x v="496"/>
    <s v="hbranganex@woothemes.com"/>
    <x v="0"/>
    <x v="1"/>
    <s v="D"/>
    <x v="2"/>
    <n v="27.945"/>
    <x v="150"/>
    <x v="1"/>
    <x v="2"/>
    <x v="0"/>
  </r>
  <r>
    <s v="DEC-11160-362"/>
    <x v="220"/>
    <x v="497"/>
    <s v="R-D-0.2"/>
    <n v="4"/>
    <x v="497"/>
    <s v="agallyoney@engadget.com"/>
    <x v="0"/>
    <x v="0"/>
    <s v="D"/>
    <x v="3"/>
    <n v="2.6849999999999996"/>
    <x v="175"/>
    <x v="0"/>
    <x v="2"/>
    <x v="0"/>
  </r>
  <r>
    <s v="WCT-07869-499"/>
    <x v="91"/>
    <x v="498"/>
    <s v="R-D-0.5"/>
    <n v="5"/>
    <x v="498"/>
    <s v="bdomangeez@yahoo.co.jp"/>
    <x v="0"/>
    <x v="0"/>
    <s v="D"/>
    <x v="1"/>
    <n v="5.3699999999999992"/>
    <x v="51"/>
    <x v="0"/>
    <x v="2"/>
    <x v="1"/>
  </r>
  <r>
    <s v="FHD-89872-325"/>
    <x v="425"/>
    <x v="499"/>
    <s v="L-L-1"/>
    <n v="4"/>
    <x v="499"/>
    <s v="koslerf0@gmpg.org"/>
    <x v="0"/>
    <x v="3"/>
    <s v="L"/>
    <x v="0"/>
    <n v="15.85"/>
    <x v="165"/>
    <x v="3"/>
    <x v="1"/>
    <x v="0"/>
  </r>
  <r>
    <s v="AZF-45991-584"/>
    <x v="426"/>
    <x v="500"/>
    <s v="A-D-2.5"/>
    <n v="1"/>
    <x v="500"/>
    <n v="0"/>
    <x v="1"/>
    <x v="2"/>
    <s v="D"/>
    <x v="2"/>
    <n v="22.884999999999998"/>
    <x v="156"/>
    <x v="2"/>
    <x v="2"/>
    <x v="0"/>
  </r>
  <r>
    <s v="MDG-14481-513"/>
    <x v="427"/>
    <x v="501"/>
    <s v="A-M-2.5"/>
    <n v="4"/>
    <x v="501"/>
    <s v="zpellettf2@dailymotion.com"/>
    <x v="0"/>
    <x v="2"/>
    <s v="M"/>
    <x v="2"/>
    <n v="25.874999999999996"/>
    <x v="68"/>
    <x v="2"/>
    <x v="0"/>
    <x v="1"/>
  </r>
  <r>
    <s v="OFN-49424-848"/>
    <x v="428"/>
    <x v="502"/>
    <s v="R-L-2.5"/>
    <n v="2"/>
    <x v="502"/>
    <s v="isprakesf3@spiegel.de"/>
    <x v="0"/>
    <x v="0"/>
    <s v="L"/>
    <x v="2"/>
    <n v="27.484999999999996"/>
    <x v="4"/>
    <x v="0"/>
    <x v="1"/>
    <x v="1"/>
  </r>
  <r>
    <s v="NFA-03411-746"/>
    <x v="383"/>
    <x v="503"/>
    <s v="A-L-0.5"/>
    <n v="2"/>
    <x v="503"/>
    <s v="hfromantf4@ucsd.edu"/>
    <x v="0"/>
    <x v="2"/>
    <s v="L"/>
    <x v="1"/>
    <n v="7.77"/>
    <x v="42"/>
    <x v="2"/>
    <x v="1"/>
    <x v="1"/>
  </r>
  <r>
    <s v="CYM-74988-450"/>
    <x v="156"/>
    <x v="504"/>
    <s v="L-D-0.2"/>
    <n v="4"/>
    <x v="504"/>
    <s v="rflearf5@artisteer.com"/>
    <x v="2"/>
    <x v="3"/>
    <s v="D"/>
    <x v="3"/>
    <n v="3.8849999999999998"/>
    <x v="42"/>
    <x v="3"/>
    <x v="2"/>
    <x v="1"/>
  </r>
  <r>
    <s v="WTV-24996-658"/>
    <x v="429"/>
    <x v="505"/>
    <s v="E-D-2.5"/>
    <n v="3"/>
    <x v="505"/>
    <n v="0"/>
    <x v="1"/>
    <x v="1"/>
    <s v="D"/>
    <x v="2"/>
    <n v="27.945"/>
    <x v="171"/>
    <x v="1"/>
    <x v="2"/>
    <x v="1"/>
  </r>
  <r>
    <s v="DSL-69915-544"/>
    <x v="103"/>
    <x v="506"/>
    <s v="R-L-0.2"/>
    <n v="3"/>
    <x v="506"/>
    <s v="wlightollersf9@baidu.com"/>
    <x v="0"/>
    <x v="0"/>
    <s v="L"/>
    <x v="3"/>
    <n v="3.5849999999999995"/>
    <x v="127"/>
    <x v="0"/>
    <x v="1"/>
    <x v="0"/>
  </r>
  <r>
    <s v="NBT-35757-542"/>
    <x v="361"/>
    <x v="507"/>
    <s v="E-L-0.2"/>
    <n v="3"/>
    <x v="507"/>
    <s v="bmundenf8@elpais.com"/>
    <x v="0"/>
    <x v="1"/>
    <s v="L"/>
    <x v="3"/>
    <n v="4.4550000000000001"/>
    <x v="77"/>
    <x v="1"/>
    <x v="1"/>
    <x v="0"/>
  </r>
  <r>
    <s v="OYU-25085-528"/>
    <x v="120"/>
    <x v="506"/>
    <s v="E-L-0.2"/>
    <n v="4"/>
    <x v="506"/>
    <s v="wlightollersf9@baidu.com"/>
    <x v="0"/>
    <x v="1"/>
    <s v="L"/>
    <x v="3"/>
    <n v="4.4550000000000001"/>
    <x v="58"/>
    <x v="1"/>
    <x v="1"/>
    <x v="0"/>
  </r>
  <r>
    <s v="XCG-07109-195"/>
    <x v="430"/>
    <x v="508"/>
    <s v="L-D-0.2"/>
    <n v="6"/>
    <x v="508"/>
    <s v="nbrakespearfa@rediff.com"/>
    <x v="0"/>
    <x v="3"/>
    <s v="D"/>
    <x v="3"/>
    <n v="3.8849999999999998"/>
    <x v="102"/>
    <x v="3"/>
    <x v="2"/>
    <x v="0"/>
  </r>
  <r>
    <s v="YZA-25234-630"/>
    <x v="125"/>
    <x v="509"/>
    <s v="E-D-0.2"/>
    <n v="2"/>
    <x v="509"/>
    <s v="mglawsopfb@reverbnation.com"/>
    <x v="0"/>
    <x v="1"/>
    <s v="D"/>
    <x v="3"/>
    <n v="3.645"/>
    <x v="35"/>
    <x v="1"/>
    <x v="2"/>
    <x v="1"/>
  </r>
  <r>
    <s v="OKU-29966-417"/>
    <x v="431"/>
    <x v="510"/>
    <s v="E-L-0.2"/>
    <n v="4"/>
    <x v="510"/>
    <s v="galbertsfc@etsy.com"/>
    <x v="2"/>
    <x v="1"/>
    <s v="L"/>
    <x v="3"/>
    <n v="4.4550000000000001"/>
    <x v="58"/>
    <x v="1"/>
    <x v="1"/>
    <x v="0"/>
  </r>
  <r>
    <s v="MEX-29350-659"/>
    <x v="40"/>
    <x v="511"/>
    <s v="E-M-1"/>
    <n v="5"/>
    <x v="511"/>
    <s v="vpolglasefd@about.me"/>
    <x v="0"/>
    <x v="1"/>
    <s v="M"/>
    <x v="0"/>
    <n v="13.75"/>
    <x v="85"/>
    <x v="1"/>
    <x v="0"/>
    <x v="1"/>
  </r>
  <r>
    <s v="NOY-99738-977"/>
    <x v="432"/>
    <x v="512"/>
    <s v="R-L-2.5"/>
    <n v="2"/>
    <x v="512"/>
    <n v="0"/>
    <x v="2"/>
    <x v="0"/>
    <s v="L"/>
    <x v="2"/>
    <n v="27.484999999999996"/>
    <x v="4"/>
    <x v="0"/>
    <x v="1"/>
    <x v="0"/>
  </r>
  <r>
    <s v="TCR-01064-030"/>
    <x v="254"/>
    <x v="513"/>
    <s v="E-M-1"/>
    <n v="6"/>
    <x v="513"/>
    <s v="sbuschff@so-net.ne.jp"/>
    <x v="1"/>
    <x v="1"/>
    <s v="M"/>
    <x v="0"/>
    <n v="13.75"/>
    <x v="121"/>
    <x v="1"/>
    <x v="0"/>
    <x v="1"/>
  </r>
  <r>
    <s v="YUL-42750-776"/>
    <x v="219"/>
    <x v="514"/>
    <s v="L-M-0.2"/>
    <n v="2"/>
    <x v="514"/>
    <s v="craisbeckfg@webnode.com"/>
    <x v="0"/>
    <x v="3"/>
    <s v="M"/>
    <x v="3"/>
    <n v="4.3650000000000002"/>
    <x v="31"/>
    <x v="3"/>
    <x v="0"/>
    <x v="0"/>
  </r>
  <r>
    <s v="XQJ-86887-506"/>
    <x v="433"/>
    <x v="464"/>
    <s v="E-L-1"/>
    <n v="4"/>
    <x v="464"/>
    <s v="murione5@alexa.com"/>
    <x v="1"/>
    <x v="1"/>
    <s v="L"/>
    <x v="0"/>
    <n v="14.85"/>
    <x v="48"/>
    <x v="1"/>
    <x v="1"/>
    <x v="0"/>
  </r>
  <r>
    <s v="CUN-90044-279"/>
    <x v="434"/>
    <x v="515"/>
    <s v="L-D-0.2"/>
    <n v="4"/>
    <x v="515"/>
    <n v="0"/>
    <x v="0"/>
    <x v="3"/>
    <s v="D"/>
    <x v="3"/>
    <n v="3.8849999999999998"/>
    <x v="42"/>
    <x v="3"/>
    <x v="2"/>
    <x v="0"/>
  </r>
  <r>
    <s v="ICC-73030-502"/>
    <x v="435"/>
    <x v="516"/>
    <s v="A-L-1"/>
    <n v="3"/>
    <x v="516"/>
    <s v="raynoldfj@ustream.tv"/>
    <x v="0"/>
    <x v="2"/>
    <s v="L"/>
    <x v="0"/>
    <n v="12.95"/>
    <x v="5"/>
    <x v="2"/>
    <x v="1"/>
    <x v="0"/>
  </r>
  <r>
    <s v="ADP-04506-084"/>
    <x v="436"/>
    <x v="517"/>
    <s v="E-M-2.5"/>
    <n v="6"/>
    <x v="517"/>
    <n v="0"/>
    <x v="0"/>
    <x v="1"/>
    <s v="M"/>
    <x v="2"/>
    <n v="31.624999999999996"/>
    <x v="152"/>
    <x v="1"/>
    <x v="0"/>
    <x v="0"/>
  </r>
  <r>
    <s v="PNU-22150-408"/>
    <x v="437"/>
    <x v="518"/>
    <s v="A-D-0.2"/>
    <n v="6"/>
    <x v="518"/>
    <n v="0"/>
    <x v="1"/>
    <x v="2"/>
    <s v="D"/>
    <x v="3"/>
    <n v="2.9849999999999999"/>
    <x v="8"/>
    <x v="2"/>
    <x v="2"/>
    <x v="0"/>
  </r>
  <r>
    <s v="VSQ-07182-513"/>
    <x v="438"/>
    <x v="519"/>
    <s v="L-L-0.2"/>
    <n v="6"/>
    <x v="519"/>
    <s v="bgrecefm@naver.com"/>
    <x v="2"/>
    <x v="3"/>
    <s v="L"/>
    <x v="3"/>
    <n v="4.7549999999999999"/>
    <x v="32"/>
    <x v="3"/>
    <x v="1"/>
    <x v="1"/>
  </r>
  <r>
    <s v="SPF-31673-217"/>
    <x v="439"/>
    <x v="520"/>
    <s v="E-M-1"/>
    <n v="6"/>
    <x v="520"/>
    <s v="dflintiffg1@e-recht24.de"/>
    <x v="2"/>
    <x v="1"/>
    <s v="M"/>
    <x v="0"/>
    <n v="13.75"/>
    <x v="121"/>
    <x v="1"/>
    <x v="0"/>
    <x v="1"/>
  </r>
  <r>
    <s v="NEX-63825-598"/>
    <x v="175"/>
    <x v="521"/>
    <s v="R-L-0.5"/>
    <n v="2"/>
    <x v="521"/>
    <s v="athysfo@cdc.gov"/>
    <x v="0"/>
    <x v="0"/>
    <s v="L"/>
    <x v="1"/>
    <n v="7.169999999999999"/>
    <x v="79"/>
    <x v="0"/>
    <x v="1"/>
    <x v="1"/>
  </r>
  <r>
    <s v="XPG-66112-335"/>
    <x v="440"/>
    <x v="522"/>
    <s v="R-D-2.5"/>
    <n v="4"/>
    <x v="522"/>
    <s v="jchuggfp@about.me"/>
    <x v="0"/>
    <x v="0"/>
    <s v="D"/>
    <x v="2"/>
    <n v="20.584999999999997"/>
    <x v="18"/>
    <x v="0"/>
    <x v="2"/>
    <x v="1"/>
  </r>
  <r>
    <s v="NSQ-72210-345"/>
    <x v="441"/>
    <x v="523"/>
    <s v="A-M-0.2"/>
    <n v="6"/>
    <x v="523"/>
    <s v="akelstonfq@sakura.ne.jp"/>
    <x v="0"/>
    <x v="2"/>
    <s v="M"/>
    <x v="3"/>
    <n v="3.375"/>
    <x v="16"/>
    <x v="2"/>
    <x v="0"/>
    <x v="0"/>
  </r>
  <r>
    <s v="XRR-28376-277"/>
    <x v="442"/>
    <x v="524"/>
    <s v="R-L-2.5"/>
    <n v="6"/>
    <x v="524"/>
    <n v="0"/>
    <x v="1"/>
    <x v="0"/>
    <s v="L"/>
    <x v="2"/>
    <n v="27.484999999999996"/>
    <x v="183"/>
    <x v="0"/>
    <x v="1"/>
    <x v="1"/>
  </r>
  <r>
    <s v="WHQ-25197-475"/>
    <x v="443"/>
    <x v="525"/>
    <s v="L-L-0.2"/>
    <n v="4"/>
    <x v="525"/>
    <s v="cmottramfs@harvard.edu"/>
    <x v="0"/>
    <x v="3"/>
    <s v="L"/>
    <x v="3"/>
    <n v="4.7549999999999999"/>
    <x v="81"/>
    <x v="3"/>
    <x v="1"/>
    <x v="0"/>
  </r>
  <r>
    <s v="HMB-30634-745"/>
    <x v="216"/>
    <x v="520"/>
    <s v="A-D-2.5"/>
    <n v="6"/>
    <x v="520"/>
    <s v="dflintiffg1@e-recht24.de"/>
    <x v="2"/>
    <x v="2"/>
    <s v="D"/>
    <x v="2"/>
    <n v="22.884999999999998"/>
    <x v="170"/>
    <x v="2"/>
    <x v="2"/>
    <x v="1"/>
  </r>
  <r>
    <s v="XTL-68000-371"/>
    <x v="444"/>
    <x v="526"/>
    <s v="A-M-0.5"/>
    <n v="4"/>
    <x v="526"/>
    <s v="dsangwinfu@weebly.com"/>
    <x v="0"/>
    <x v="2"/>
    <s v="M"/>
    <x v="1"/>
    <n v="6.75"/>
    <x v="25"/>
    <x v="2"/>
    <x v="0"/>
    <x v="1"/>
  </r>
  <r>
    <s v="YES-51109-625"/>
    <x v="37"/>
    <x v="527"/>
    <s v="E-L-0.5"/>
    <n v="4"/>
    <x v="527"/>
    <s v="eaizikowitzfv@virginia.edu"/>
    <x v="2"/>
    <x v="1"/>
    <s v="L"/>
    <x v="1"/>
    <n v="8.91"/>
    <x v="70"/>
    <x v="1"/>
    <x v="1"/>
    <x v="1"/>
  </r>
  <r>
    <s v="EAY-89850-211"/>
    <x v="445"/>
    <x v="528"/>
    <s v="A-D-0.2"/>
    <n v="2"/>
    <x v="528"/>
    <n v="0"/>
    <x v="0"/>
    <x v="2"/>
    <s v="D"/>
    <x v="3"/>
    <n v="2.9849999999999999"/>
    <x v="9"/>
    <x v="2"/>
    <x v="2"/>
    <x v="0"/>
  </r>
  <r>
    <s v="IOQ-84840-827"/>
    <x v="446"/>
    <x v="529"/>
    <s v="A-M-1"/>
    <n v="6"/>
    <x v="529"/>
    <s v="cvenourfx@ask.com"/>
    <x v="0"/>
    <x v="2"/>
    <s v="M"/>
    <x v="0"/>
    <n v="11.25"/>
    <x v="173"/>
    <x v="2"/>
    <x v="0"/>
    <x v="1"/>
  </r>
  <r>
    <s v="FBD-56220-430"/>
    <x v="245"/>
    <x v="530"/>
    <s v="R-L-0.2"/>
    <n v="6"/>
    <x v="530"/>
    <s v="mharbyfy@163.com"/>
    <x v="0"/>
    <x v="0"/>
    <s v="L"/>
    <x v="3"/>
    <n v="3.5849999999999995"/>
    <x v="137"/>
    <x v="0"/>
    <x v="1"/>
    <x v="0"/>
  </r>
  <r>
    <s v="COV-52659-202"/>
    <x v="447"/>
    <x v="531"/>
    <s v="L-M-2.5"/>
    <n v="2"/>
    <x v="531"/>
    <s v="rthickpennyfz@cafepress.com"/>
    <x v="0"/>
    <x v="3"/>
    <s v="M"/>
    <x v="2"/>
    <n v="33.464999999999996"/>
    <x v="174"/>
    <x v="3"/>
    <x v="0"/>
    <x v="1"/>
  </r>
  <r>
    <s v="YUO-76652-814"/>
    <x v="448"/>
    <x v="532"/>
    <s v="A-D-0.2"/>
    <n v="6"/>
    <x v="532"/>
    <s v="pormerodg0@redcross.org"/>
    <x v="0"/>
    <x v="2"/>
    <s v="D"/>
    <x v="3"/>
    <n v="2.9849999999999999"/>
    <x v="8"/>
    <x v="2"/>
    <x v="2"/>
    <x v="1"/>
  </r>
  <r>
    <s v="PBT-36926-102"/>
    <x v="344"/>
    <x v="520"/>
    <s v="L-M-1"/>
    <n v="4"/>
    <x v="520"/>
    <s v="dflintiffg1@e-recht24.de"/>
    <x v="2"/>
    <x v="3"/>
    <s v="M"/>
    <x v="0"/>
    <n v="14.55"/>
    <x v="125"/>
    <x v="3"/>
    <x v="0"/>
    <x v="1"/>
  </r>
  <r>
    <s v="BLV-60087-454"/>
    <x v="152"/>
    <x v="533"/>
    <s v="E-L-0.2"/>
    <n v="3"/>
    <x v="533"/>
    <s v="tzanettig2@gravatar.com"/>
    <x v="1"/>
    <x v="1"/>
    <s v="L"/>
    <x v="3"/>
    <n v="4.4550000000000001"/>
    <x v="77"/>
    <x v="1"/>
    <x v="1"/>
    <x v="1"/>
  </r>
  <r>
    <s v="BLV-60087-454"/>
    <x v="152"/>
    <x v="533"/>
    <s v="A-M-0.5"/>
    <n v="5"/>
    <x v="533"/>
    <s v="tzanettig2@gravatar.com"/>
    <x v="1"/>
    <x v="2"/>
    <s v="M"/>
    <x v="1"/>
    <n v="6.75"/>
    <x v="65"/>
    <x v="2"/>
    <x v="0"/>
    <x v="1"/>
  </r>
  <r>
    <s v="QYC-63914-195"/>
    <x v="449"/>
    <x v="534"/>
    <s v="E-L-1"/>
    <n v="3"/>
    <x v="534"/>
    <s v="rkirtleyg4@hatena.ne.jp"/>
    <x v="0"/>
    <x v="1"/>
    <s v="L"/>
    <x v="0"/>
    <n v="14.85"/>
    <x v="69"/>
    <x v="1"/>
    <x v="1"/>
    <x v="0"/>
  </r>
  <r>
    <s v="OIB-77163-890"/>
    <x v="450"/>
    <x v="535"/>
    <s v="E-L-0.5"/>
    <n v="5"/>
    <x v="535"/>
    <s v="cclemencetg5@weather.com"/>
    <x v="2"/>
    <x v="1"/>
    <s v="L"/>
    <x v="1"/>
    <n v="8.91"/>
    <x v="69"/>
    <x v="1"/>
    <x v="1"/>
    <x v="0"/>
  </r>
  <r>
    <s v="SGS-87525-238"/>
    <x v="451"/>
    <x v="536"/>
    <s v="E-D-1"/>
    <n v="5"/>
    <x v="536"/>
    <s v="rdonetg6@oakley.com"/>
    <x v="0"/>
    <x v="1"/>
    <s v="D"/>
    <x v="0"/>
    <n v="12.15"/>
    <x v="184"/>
    <x v="1"/>
    <x v="2"/>
    <x v="1"/>
  </r>
  <r>
    <s v="GQR-12490-152"/>
    <x v="83"/>
    <x v="537"/>
    <s v="R-L-0.2"/>
    <n v="1"/>
    <x v="537"/>
    <s v="sgaweng7@creativecommons.org"/>
    <x v="0"/>
    <x v="0"/>
    <s v="L"/>
    <x v="3"/>
    <n v="3.5849999999999995"/>
    <x v="60"/>
    <x v="0"/>
    <x v="1"/>
    <x v="0"/>
  </r>
  <r>
    <s v="UOJ-28238-299"/>
    <x v="452"/>
    <x v="538"/>
    <s v="R-L-0.2"/>
    <n v="6"/>
    <x v="538"/>
    <s v="rreadieg8@guardian.co.uk"/>
    <x v="0"/>
    <x v="0"/>
    <s v="L"/>
    <x v="3"/>
    <n v="3.5849999999999995"/>
    <x v="137"/>
    <x v="0"/>
    <x v="1"/>
    <x v="1"/>
  </r>
  <r>
    <s v="ETD-58130-674"/>
    <x v="453"/>
    <x v="539"/>
    <s v="E-M-0.5"/>
    <n v="2"/>
    <x v="539"/>
    <s v="cverissimogh@theglobeandmail.com"/>
    <x v="2"/>
    <x v="1"/>
    <s v="M"/>
    <x v="1"/>
    <n v="8.25"/>
    <x v="38"/>
    <x v="1"/>
    <x v="0"/>
    <x v="0"/>
  </r>
  <r>
    <s v="UPF-60123-025"/>
    <x v="454"/>
    <x v="540"/>
    <s v="R-L-2.5"/>
    <n v="3"/>
    <x v="540"/>
    <n v="0"/>
    <x v="0"/>
    <x v="0"/>
    <s v="L"/>
    <x v="2"/>
    <n v="27.484999999999996"/>
    <x v="185"/>
    <x v="0"/>
    <x v="1"/>
    <x v="1"/>
  </r>
  <r>
    <s v="NQS-01613-687"/>
    <x v="455"/>
    <x v="541"/>
    <s v="L-D-0.5"/>
    <n v="1"/>
    <x v="541"/>
    <s v="bogb@elpais.com"/>
    <x v="0"/>
    <x v="3"/>
    <s v="D"/>
    <x v="1"/>
    <n v="7.77"/>
    <x v="41"/>
    <x v="3"/>
    <x v="2"/>
    <x v="0"/>
  </r>
  <r>
    <s v="MGH-36050-573"/>
    <x v="456"/>
    <x v="542"/>
    <s v="R-M-0.5"/>
    <n v="2"/>
    <x v="542"/>
    <s v="vstansburygc@unblog.fr"/>
    <x v="0"/>
    <x v="0"/>
    <s v="M"/>
    <x v="1"/>
    <n v="5.97"/>
    <x v="22"/>
    <x v="0"/>
    <x v="0"/>
    <x v="0"/>
  </r>
  <r>
    <s v="UVF-59322-459"/>
    <x v="373"/>
    <x v="543"/>
    <s v="E-L-2.5"/>
    <n v="6"/>
    <x v="543"/>
    <s v="dheinonengd@printfriendly.com"/>
    <x v="0"/>
    <x v="1"/>
    <s v="L"/>
    <x v="2"/>
    <n v="34.154999999999994"/>
    <x v="106"/>
    <x v="1"/>
    <x v="1"/>
    <x v="1"/>
  </r>
  <r>
    <s v="VET-41158-896"/>
    <x v="457"/>
    <x v="544"/>
    <s v="E-M-2.5"/>
    <n v="2"/>
    <x v="544"/>
    <s v="jshentonge@google.com.hk"/>
    <x v="0"/>
    <x v="1"/>
    <s v="M"/>
    <x v="2"/>
    <n v="31.624999999999996"/>
    <x v="40"/>
    <x v="1"/>
    <x v="0"/>
    <x v="0"/>
  </r>
  <r>
    <s v="XYL-52196-459"/>
    <x v="458"/>
    <x v="545"/>
    <s v="R-D-0.2"/>
    <n v="3"/>
    <x v="545"/>
    <s v="jwilkissongf@nba.com"/>
    <x v="0"/>
    <x v="0"/>
    <s v="D"/>
    <x v="3"/>
    <n v="2.6849999999999996"/>
    <x v="36"/>
    <x v="0"/>
    <x v="2"/>
    <x v="0"/>
  </r>
  <r>
    <s v="BPZ-51283-916"/>
    <x v="264"/>
    <x v="546"/>
    <s v="A-M-2.5"/>
    <n v="2"/>
    <x v="546"/>
    <n v="0"/>
    <x v="0"/>
    <x v="2"/>
    <s v="M"/>
    <x v="2"/>
    <n v="25.874999999999996"/>
    <x v="95"/>
    <x v="2"/>
    <x v="0"/>
    <x v="1"/>
  </r>
  <r>
    <s v="VQW-91903-926"/>
    <x v="459"/>
    <x v="539"/>
    <s v="E-D-2.5"/>
    <n v="1"/>
    <x v="539"/>
    <s v="cverissimogh@theglobeandmail.com"/>
    <x v="2"/>
    <x v="1"/>
    <s v="D"/>
    <x v="2"/>
    <n v="27.945"/>
    <x v="140"/>
    <x v="1"/>
    <x v="2"/>
    <x v="0"/>
  </r>
  <r>
    <s v="OLF-77983-457"/>
    <x v="460"/>
    <x v="547"/>
    <s v="A-L-2.5"/>
    <n v="2"/>
    <x v="547"/>
    <s v="gstarcksgi@abc.net.au"/>
    <x v="0"/>
    <x v="2"/>
    <s v="L"/>
    <x v="2"/>
    <n v="29.784999999999997"/>
    <x v="120"/>
    <x v="2"/>
    <x v="1"/>
    <x v="1"/>
  </r>
  <r>
    <s v="MVI-04946-827"/>
    <x v="461"/>
    <x v="548"/>
    <s v="E-L-1"/>
    <n v="1"/>
    <x v="548"/>
    <n v="0"/>
    <x v="2"/>
    <x v="1"/>
    <s v="L"/>
    <x v="0"/>
    <n v="14.85"/>
    <x v="151"/>
    <x v="1"/>
    <x v="1"/>
    <x v="1"/>
  </r>
  <r>
    <s v="UOG-94188-104"/>
    <x v="219"/>
    <x v="549"/>
    <s v="A-M-0.5"/>
    <n v="5"/>
    <x v="549"/>
    <s v="kscholardgk@sbwire.com"/>
    <x v="0"/>
    <x v="2"/>
    <s v="M"/>
    <x v="1"/>
    <n v="6.75"/>
    <x v="65"/>
    <x v="2"/>
    <x v="0"/>
    <x v="1"/>
  </r>
  <r>
    <s v="DSN-15872-519"/>
    <x v="462"/>
    <x v="550"/>
    <s v="L-L-2.5"/>
    <n v="4"/>
    <x v="550"/>
    <s v="bkindleygl@wikimedia.org"/>
    <x v="0"/>
    <x v="3"/>
    <s v="L"/>
    <x v="2"/>
    <n v="36.454999999999998"/>
    <x v="43"/>
    <x v="3"/>
    <x v="1"/>
    <x v="0"/>
  </r>
  <r>
    <s v="OUQ-73954-002"/>
    <x v="463"/>
    <x v="551"/>
    <s v="R-M-0.2"/>
    <n v="4"/>
    <x v="551"/>
    <s v="khammettgm@dmoz.org"/>
    <x v="0"/>
    <x v="0"/>
    <s v="M"/>
    <x v="3"/>
    <n v="2.9849999999999999"/>
    <x v="22"/>
    <x v="0"/>
    <x v="0"/>
    <x v="0"/>
  </r>
  <r>
    <s v="LGL-16843-667"/>
    <x v="464"/>
    <x v="552"/>
    <s v="A-D-0.2"/>
    <n v="4"/>
    <x v="552"/>
    <s v="ahulburtgn@fda.gov"/>
    <x v="0"/>
    <x v="2"/>
    <s v="D"/>
    <x v="3"/>
    <n v="2.9849999999999999"/>
    <x v="22"/>
    <x v="2"/>
    <x v="2"/>
    <x v="0"/>
  </r>
  <r>
    <s v="TCC-89722-031"/>
    <x v="465"/>
    <x v="553"/>
    <s v="L-D-0.5"/>
    <n v="1"/>
    <x v="553"/>
    <s v="plauritzengo@photobucket.com"/>
    <x v="0"/>
    <x v="3"/>
    <s v="D"/>
    <x v="1"/>
    <n v="7.77"/>
    <x v="41"/>
    <x v="3"/>
    <x v="2"/>
    <x v="1"/>
  </r>
  <r>
    <s v="TRA-79507-007"/>
    <x v="466"/>
    <x v="554"/>
    <s v="R-L-2.5"/>
    <n v="4"/>
    <x v="554"/>
    <s v="aburgwingp@redcross.org"/>
    <x v="0"/>
    <x v="0"/>
    <s v="L"/>
    <x v="2"/>
    <n v="27.484999999999996"/>
    <x v="108"/>
    <x v="0"/>
    <x v="1"/>
    <x v="0"/>
  </r>
  <r>
    <s v="MZJ-77284-941"/>
    <x v="467"/>
    <x v="555"/>
    <s v="E-L-0.2"/>
    <n v="5"/>
    <x v="555"/>
    <s v="erolingq@google.fr"/>
    <x v="0"/>
    <x v="1"/>
    <s v="L"/>
    <x v="3"/>
    <n v="4.4550000000000001"/>
    <x v="110"/>
    <x v="1"/>
    <x v="1"/>
    <x v="0"/>
  </r>
  <r>
    <s v="AXN-57779-891"/>
    <x v="468"/>
    <x v="556"/>
    <s v="R-M-0.2"/>
    <n v="3"/>
    <x v="556"/>
    <s v="dfowlegr@epa.gov"/>
    <x v="0"/>
    <x v="0"/>
    <s v="M"/>
    <x v="3"/>
    <n v="2.9849999999999999"/>
    <x v="169"/>
    <x v="0"/>
    <x v="0"/>
    <x v="1"/>
  </r>
  <r>
    <s v="PJB-15659-994"/>
    <x v="469"/>
    <x v="557"/>
    <s v="L-D-2.5"/>
    <n v="4"/>
    <x v="557"/>
    <n v="0"/>
    <x v="1"/>
    <x v="3"/>
    <s v="D"/>
    <x v="2"/>
    <n v="29.784999999999997"/>
    <x v="129"/>
    <x v="3"/>
    <x v="2"/>
    <x v="1"/>
  </r>
  <r>
    <s v="LTS-03470-353"/>
    <x v="470"/>
    <x v="558"/>
    <s v="A-L-2.5"/>
    <n v="5"/>
    <x v="558"/>
    <s v="wpowleslandgt@soundcloud.com"/>
    <x v="0"/>
    <x v="2"/>
    <s v="L"/>
    <x v="2"/>
    <n v="29.784999999999997"/>
    <x v="74"/>
    <x v="2"/>
    <x v="1"/>
    <x v="0"/>
  </r>
  <r>
    <s v="UMM-28497-689"/>
    <x v="471"/>
    <x v="539"/>
    <s v="L-L-2.5"/>
    <n v="3"/>
    <x v="539"/>
    <s v="cverissimogh@theglobeandmail.com"/>
    <x v="2"/>
    <x v="3"/>
    <s v="L"/>
    <x v="2"/>
    <n v="36.454999999999998"/>
    <x v="63"/>
    <x v="3"/>
    <x v="1"/>
    <x v="0"/>
  </r>
  <r>
    <s v="MJZ-93232-402"/>
    <x v="472"/>
    <x v="559"/>
    <s v="E-D-0.2"/>
    <n v="1"/>
    <x v="559"/>
    <s v="lellinghamgv@sciencedaily.com"/>
    <x v="0"/>
    <x v="1"/>
    <s v="D"/>
    <x v="3"/>
    <n v="3.645"/>
    <x v="186"/>
    <x v="1"/>
    <x v="2"/>
    <x v="0"/>
  </r>
  <r>
    <s v="UHW-74617-126"/>
    <x v="173"/>
    <x v="560"/>
    <s v="E-D-2.5"/>
    <n v="2"/>
    <x v="560"/>
    <n v="0"/>
    <x v="0"/>
    <x v="1"/>
    <s v="D"/>
    <x v="2"/>
    <n v="27.945"/>
    <x v="158"/>
    <x v="1"/>
    <x v="2"/>
    <x v="1"/>
  </r>
  <r>
    <s v="RIK-61730-794"/>
    <x v="473"/>
    <x v="561"/>
    <s v="L-M-0.2"/>
    <n v="6"/>
    <x v="561"/>
    <s v="afendtgx@forbes.com"/>
    <x v="0"/>
    <x v="3"/>
    <s v="M"/>
    <x v="3"/>
    <n v="4.3650000000000002"/>
    <x v="50"/>
    <x v="3"/>
    <x v="0"/>
    <x v="0"/>
  </r>
  <r>
    <s v="IDJ-55379-750"/>
    <x v="474"/>
    <x v="562"/>
    <s v="R-M-1"/>
    <n v="4"/>
    <x v="562"/>
    <s v="acleyburngy@lycos.com"/>
    <x v="0"/>
    <x v="0"/>
    <s v="M"/>
    <x v="0"/>
    <n v="9.9499999999999993"/>
    <x v="10"/>
    <x v="0"/>
    <x v="0"/>
    <x v="1"/>
  </r>
  <r>
    <s v="OHX-11953-965"/>
    <x v="475"/>
    <x v="563"/>
    <s v="E-L-2.5"/>
    <n v="2"/>
    <x v="563"/>
    <s v="tcastiglionegz@xing.com"/>
    <x v="0"/>
    <x v="1"/>
    <s v="L"/>
    <x v="2"/>
    <n v="34.154999999999994"/>
    <x v="93"/>
    <x v="1"/>
    <x v="1"/>
    <x v="1"/>
  </r>
  <r>
    <s v="TVV-42245-088"/>
    <x v="476"/>
    <x v="564"/>
    <s v="A-M-0.2"/>
    <n v="4"/>
    <x v="564"/>
    <n v="0"/>
    <x v="1"/>
    <x v="2"/>
    <s v="M"/>
    <x v="3"/>
    <n v="3.375"/>
    <x v="72"/>
    <x v="2"/>
    <x v="0"/>
    <x v="1"/>
  </r>
  <r>
    <s v="DYP-74337-787"/>
    <x v="431"/>
    <x v="565"/>
    <s v="R-M-0.5"/>
    <n v="1"/>
    <x v="565"/>
    <n v="0"/>
    <x v="0"/>
    <x v="0"/>
    <s v="M"/>
    <x v="1"/>
    <n v="5.97"/>
    <x v="9"/>
    <x v="0"/>
    <x v="0"/>
    <x v="1"/>
  </r>
  <r>
    <s v="OKA-93124-100"/>
    <x v="477"/>
    <x v="539"/>
    <s v="R-M-0.5"/>
    <n v="5"/>
    <x v="539"/>
    <s v="cverissimogh@theglobeandmail.com"/>
    <x v="2"/>
    <x v="0"/>
    <s v="M"/>
    <x v="1"/>
    <n v="5.97"/>
    <x v="44"/>
    <x v="0"/>
    <x v="0"/>
    <x v="0"/>
  </r>
  <r>
    <s v="IXW-20780-268"/>
    <x v="478"/>
    <x v="566"/>
    <s v="L-L-2.5"/>
    <n v="2"/>
    <x v="566"/>
    <s v="scouronneh3@mozilla.org"/>
    <x v="0"/>
    <x v="3"/>
    <s v="L"/>
    <x v="2"/>
    <n v="36.454999999999998"/>
    <x v="37"/>
    <x v="3"/>
    <x v="1"/>
    <x v="0"/>
  </r>
  <r>
    <s v="NGG-24006-937"/>
    <x v="45"/>
    <x v="567"/>
    <s v="E-M-2.5"/>
    <n v="4"/>
    <x v="567"/>
    <s v="lflippellih4@github.io"/>
    <x v="2"/>
    <x v="1"/>
    <s v="M"/>
    <x v="2"/>
    <n v="31.624999999999996"/>
    <x v="177"/>
    <x v="1"/>
    <x v="0"/>
    <x v="1"/>
  </r>
  <r>
    <s v="JZC-31180-557"/>
    <x v="444"/>
    <x v="568"/>
    <s v="L-M-2.5"/>
    <n v="1"/>
    <x v="568"/>
    <s v="relizabethh5@live.com"/>
    <x v="0"/>
    <x v="3"/>
    <s v="M"/>
    <x v="2"/>
    <n v="33.464999999999996"/>
    <x v="116"/>
    <x v="3"/>
    <x v="0"/>
    <x v="1"/>
  </r>
  <r>
    <s v="ZMU-63715-204"/>
    <x v="479"/>
    <x v="569"/>
    <s v="E-D-1"/>
    <n v="6"/>
    <x v="569"/>
    <s v="irenhardh6@i2i.jp"/>
    <x v="0"/>
    <x v="1"/>
    <s v="D"/>
    <x v="0"/>
    <n v="12.15"/>
    <x v="118"/>
    <x v="1"/>
    <x v="2"/>
    <x v="0"/>
  </r>
  <r>
    <s v="GND-08192-056"/>
    <x v="480"/>
    <x v="570"/>
    <s v="L-D-0.5"/>
    <n v="2"/>
    <x v="570"/>
    <s v="wrocheh7@xinhuanet.com"/>
    <x v="0"/>
    <x v="3"/>
    <s v="D"/>
    <x v="1"/>
    <n v="7.77"/>
    <x v="42"/>
    <x v="3"/>
    <x v="2"/>
    <x v="0"/>
  </r>
  <r>
    <s v="RYY-38961-093"/>
    <x v="481"/>
    <x v="571"/>
    <s v="A-M-0.2"/>
    <n v="6"/>
    <x v="571"/>
    <s v="lalawayhh@weather.com"/>
    <x v="0"/>
    <x v="2"/>
    <s v="M"/>
    <x v="3"/>
    <n v="3.375"/>
    <x v="16"/>
    <x v="2"/>
    <x v="0"/>
    <x v="1"/>
  </r>
  <r>
    <s v="CVA-64996-969"/>
    <x v="478"/>
    <x v="572"/>
    <s v="A-L-1"/>
    <n v="6"/>
    <x v="572"/>
    <s v="codgaardh9@nsw.gov.au"/>
    <x v="0"/>
    <x v="2"/>
    <s v="L"/>
    <x v="0"/>
    <n v="12.95"/>
    <x v="17"/>
    <x v="2"/>
    <x v="1"/>
    <x v="1"/>
  </r>
  <r>
    <s v="XTH-67276-442"/>
    <x v="482"/>
    <x v="573"/>
    <s v="L-M-2.5"/>
    <n v="4"/>
    <x v="573"/>
    <s v="bbyrdha@4shared.com"/>
    <x v="0"/>
    <x v="3"/>
    <s v="M"/>
    <x v="2"/>
    <n v="33.464999999999996"/>
    <x v="136"/>
    <x v="3"/>
    <x v="0"/>
    <x v="1"/>
  </r>
  <r>
    <s v="PVU-02950-470"/>
    <x v="353"/>
    <x v="574"/>
    <s v="E-D-1"/>
    <n v="1"/>
    <x v="574"/>
    <n v="0"/>
    <x v="2"/>
    <x v="1"/>
    <s v="D"/>
    <x v="0"/>
    <n v="12.15"/>
    <x v="87"/>
    <x v="1"/>
    <x v="2"/>
    <x v="1"/>
  </r>
  <r>
    <s v="XSN-26809-910"/>
    <x v="199"/>
    <x v="575"/>
    <s v="E-M-2.5"/>
    <n v="2"/>
    <x v="575"/>
    <s v="dchardinhc@nhs.uk"/>
    <x v="1"/>
    <x v="1"/>
    <s v="M"/>
    <x v="2"/>
    <n v="31.624999999999996"/>
    <x v="40"/>
    <x v="1"/>
    <x v="0"/>
    <x v="0"/>
  </r>
  <r>
    <s v="UDN-88321-005"/>
    <x v="372"/>
    <x v="576"/>
    <s v="R-L-0.5"/>
    <n v="5"/>
    <x v="576"/>
    <s v="hradbonehd@newsvine.com"/>
    <x v="0"/>
    <x v="0"/>
    <s v="L"/>
    <x v="1"/>
    <n v="7.169999999999999"/>
    <x v="66"/>
    <x v="0"/>
    <x v="1"/>
    <x v="1"/>
  </r>
  <r>
    <s v="EXP-21628-670"/>
    <x v="267"/>
    <x v="577"/>
    <s v="A-M-2.5"/>
    <n v="3"/>
    <x v="577"/>
    <s v="wbernthhe@miitbeian.gov.cn"/>
    <x v="0"/>
    <x v="2"/>
    <s v="M"/>
    <x v="2"/>
    <n v="25.874999999999996"/>
    <x v="57"/>
    <x v="2"/>
    <x v="0"/>
    <x v="1"/>
  </r>
  <r>
    <s v="VGM-24161-361"/>
    <x v="480"/>
    <x v="578"/>
    <s v="E-M-2.5"/>
    <n v="2"/>
    <x v="578"/>
    <s v="bacarsonhf@cnn.com"/>
    <x v="0"/>
    <x v="1"/>
    <s v="M"/>
    <x v="2"/>
    <n v="31.624999999999996"/>
    <x v="40"/>
    <x v="1"/>
    <x v="0"/>
    <x v="0"/>
  </r>
  <r>
    <s v="PKN-19556-918"/>
    <x v="483"/>
    <x v="579"/>
    <s v="E-L-0.2"/>
    <n v="6"/>
    <x v="579"/>
    <s v="fbrighamhg@blog.com"/>
    <x v="1"/>
    <x v="1"/>
    <s v="L"/>
    <x v="3"/>
    <n v="4.4550000000000001"/>
    <x v="149"/>
    <x v="1"/>
    <x v="1"/>
    <x v="0"/>
  </r>
  <r>
    <s v="PKN-19556-918"/>
    <x v="483"/>
    <x v="579"/>
    <s v="L-D-0.5"/>
    <n v="4"/>
    <x v="579"/>
    <s v="fbrighamhg@blog.com"/>
    <x v="1"/>
    <x v="3"/>
    <s v="D"/>
    <x v="1"/>
    <n v="7.77"/>
    <x v="113"/>
    <x v="3"/>
    <x v="2"/>
    <x v="0"/>
  </r>
  <r>
    <s v="PKN-19556-918"/>
    <x v="483"/>
    <x v="579"/>
    <s v="A-D-0.2"/>
    <n v="1"/>
    <x v="579"/>
    <s v="fbrighamhg@blog.com"/>
    <x v="1"/>
    <x v="2"/>
    <s v="D"/>
    <x v="3"/>
    <n v="2.9849999999999999"/>
    <x v="55"/>
    <x v="2"/>
    <x v="2"/>
    <x v="0"/>
  </r>
  <r>
    <s v="PKN-19556-918"/>
    <x v="483"/>
    <x v="579"/>
    <s v="R-D-2.5"/>
    <n v="5"/>
    <x v="579"/>
    <s v="fbrighamhg@blog.com"/>
    <x v="1"/>
    <x v="0"/>
    <s v="D"/>
    <x v="2"/>
    <n v="20.584999999999997"/>
    <x v="182"/>
    <x v="0"/>
    <x v="2"/>
    <x v="0"/>
  </r>
  <r>
    <s v="DXQ-44537-297"/>
    <x v="484"/>
    <x v="580"/>
    <s v="E-L-0.5"/>
    <n v="4"/>
    <x v="580"/>
    <s v="myoxenhk@google.com"/>
    <x v="0"/>
    <x v="1"/>
    <s v="L"/>
    <x v="1"/>
    <n v="8.91"/>
    <x v="70"/>
    <x v="1"/>
    <x v="1"/>
    <x v="1"/>
  </r>
  <r>
    <s v="BPC-54727-307"/>
    <x v="485"/>
    <x v="581"/>
    <s v="R-L-1"/>
    <n v="4"/>
    <x v="581"/>
    <s v="gmcgavinhl@histats.com"/>
    <x v="0"/>
    <x v="0"/>
    <s v="L"/>
    <x v="0"/>
    <n v="11.95"/>
    <x v="62"/>
    <x v="0"/>
    <x v="1"/>
    <x v="1"/>
  </r>
  <r>
    <s v="KSH-47717-456"/>
    <x v="486"/>
    <x v="582"/>
    <s v="L-M-1"/>
    <n v="3"/>
    <x v="582"/>
    <s v="luttermarehm@engadget.com"/>
    <x v="0"/>
    <x v="3"/>
    <s v="M"/>
    <x v="0"/>
    <n v="14.55"/>
    <x v="34"/>
    <x v="3"/>
    <x v="0"/>
    <x v="1"/>
  </r>
  <r>
    <s v="ANK-59436-446"/>
    <x v="487"/>
    <x v="583"/>
    <s v="E-L-0.5"/>
    <n v="4"/>
    <x v="583"/>
    <s v="edambrogiohn@techcrunch.com"/>
    <x v="0"/>
    <x v="1"/>
    <s v="L"/>
    <x v="1"/>
    <n v="8.91"/>
    <x v="70"/>
    <x v="1"/>
    <x v="1"/>
    <x v="0"/>
  </r>
  <r>
    <s v="AYY-83051-752"/>
    <x v="488"/>
    <x v="584"/>
    <s v="L-L-1"/>
    <n v="6"/>
    <x v="584"/>
    <s v="cwinchcombeho@jiathis.com"/>
    <x v="0"/>
    <x v="3"/>
    <s v="L"/>
    <x v="0"/>
    <n v="15.85"/>
    <x v="179"/>
    <x v="3"/>
    <x v="1"/>
    <x v="0"/>
  </r>
  <r>
    <s v="CSW-59644-267"/>
    <x v="489"/>
    <x v="585"/>
    <s v="E-M-2.5"/>
    <n v="1"/>
    <x v="585"/>
    <s v="bpaumierhp@umn.edu"/>
    <x v="1"/>
    <x v="1"/>
    <s v="M"/>
    <x v="2"/>
    <n v="31.624999999999996"/>
    <x v="176"/>
    <x v="1"/>
    <x v="0"/>
    <x v="0"/>
  </r>
  <r>
    <s v="ITY-92466-909"/>
    <x v="162"/>
    <x v="586"/>
    <s v="A-M-2.5"/>
    <n v="3"/>
    <x v="586"/>
    <n v="0"/>
    <x v="1"/>
    <x v="2"/>
    <s v="M"/>
    <x v="2"/>
    <n v="25.874999999999996"/>
    <x v="57"/>
    <x v="2"/>
    <x v="0"/>
    <x v="0"/>
  </r>
  <r>
    <s v="IGW-04801-466"/>
    <x v="490"/>
    <x v="587"/>
    <s v="L-D-0.2"/>
    <n v="1"/>
    <x v="587"/>
    <s v="jcapeyhr@bravesites.com"/>
    <x v="0"/>
    <x v="3"/>
    <s v="D"/>
    <x v="3"/>
    <n v="3.8849999999999998"/>
    <x v="84"/>
    <x v="3"/>
    <x v="2"/>
    <x v="0"/>
  </r>
  <r>
    <s v="LJN-34281-921"/>
    <x v="491"/>
    <x v="588"/>
    <s v="R-L-2.5"/>
    <n v="5"/>
    <x v="588"/>
    <s v="tmathonneti0@google.co.jp"/>
    <x v="0"/>
    <x v="0"/>
    <s v="L"/>
    <x v="2"/>
    <n v="27.484999999999996"/>
    <x v="187"/>
    <x v="0"/>
    <x v="1"/>
    <x v="1"/>
  </r>
  <r>
    <s v="BWZ-46364-547"/>
    <x v="301"/>
    <x v="589"/>
    <s v="R-L-1"/>
    <n v="3"/>
    <x v="589"/>
    <s v="ybasillht@theguardian.com"/>
    <x v="0"/>
    <x v="0"/>
    <s v="L"/>
    <x v="0"/>
    <n v="11.95"/>
    <x v="66"/>
    <x v="0"/>
    <x v="1"/>
    <x v="0"/>
  </r>
  <r>
    <s v="SBC-95710-706"/>
    <x v="194"/>
    <x v="590"/>
    <s v="E-M-0.2"/>
    <n v="2"/>
    <x v="590"/>
    <s v="mbaistowhu@i2i.jp"/>
    <x v="2"/>
    <x v="1"/>
    <s v="M"/>
    <x v="3"/>
    <n v="4.125"/>
    <x v="112"/>
    <x v="1"/>
    <x v="0"/>
    <x v="0"/>
  </r>
  <r>
    <s v="WRN-55114-031"/>
    <x v="26"/>
    <x v="591"/>
    <s v="E-L-2.5"/>
    <n v="3"/>
    <x v="591"/>
    <s v="cpallanthv@typepad.com"/>
    <x v="0"/>
    <x v="1"/>
    <s v="L"/>
    <x v="2"/>
    <n v="34.154999999999994"/>
    <x v="89"/>
    <x v="1"/>
    <x v="1"/>
    <x v="0"/>
  </r>
  <r>
    <s v="TZU-64255-831"/>
    <x v="125"/>
    <x v="592"/>
    <s v="R-D-2.5"/>
    <n v="2"/>
    <x v="592"/>
    <n v="0"/>
    <x v="0"/>
    <x v="0"/>
    <s v="D"/>
    <x v="2"/>
    <n v="20.584999999999997"/>
    <x v="13"/>
    <x v="0"/>
    <x v="2"/>
    <x v="1"/>
  </r>
  <r>
    <s v="JVF-91003-729"/>
    <x v="492"/>
    <x v="593"/>
    <s v="A-D-2.5"/>
    <n v="3"/>
    <x v="593"/>
    <s v="dohx@redcross.org"/>
    <x v="0"/>
    <x v="2"/>
    <s v="D"/>
    <x v="2"/>
    <n v="22.884999999999998"/>
    <x v="96"/>
    <x v="2"/>
    <x v="2"/>
    <x v="0"/>
  </r>
  <r>
    <s v="MVB-22135-665"/>
    <x v="462"/>
    <x v="594"/>
    <s v="A-D-1"/>
    <n v="1"/>
    <x v="594"/>
    <s v="drallinhy@howstuffworks.com"/>
    <x v="0"/>
    <x v="2"/>
    <s v="D"/>
    <x v="0"/>
    <n v="9.9499999999999993"/>
    <x v="138"/>
    <x v="2"/>
    <x v="2"/>
    <x v="0"/>
  </r>
  <r>
    <s v="CKS-47815-571"/>
    <x v="493"/>
    <x v="595"/>
    <s v="L-L-0.5"/>
    <n v="3"/>
    <x v="595"/>
    <s v="achillhz@epa.gov"/>
    <x v="2"/>
    <x v="3"/>
    <s v="L"/>
    <x v="1"/>
    <n v="9.51"/>
    <x v="32"/>
    <x v="3"/>
    <x v="1"/>
    <x v="0"/>
  </r>
  <r>
    <s v="OAW-17338-101"/>
    <x v="494"/>
    <x v="588"/>
    <s v="R-D-0.2"/>
    <n v="6"/>
    <x v="588"/>
    <s v="tmathonneti0@google.co.jp"/>
    <x v="0"/>
    <x v="0"/>
    <s v="D"/>
    <x v="3"/>
    <n v="2.6849999999999996"/>
    <x v="103"/>
    <x v="0"/>
    <x v="2"/>
    <x v="1"/>
  </r>
  <r>
    <s v="ALP-37623-536"/>
    <x v="495"/>
    <x v="596"/>
    <s v="L-L-1"/>
    <n v="6"/>
    <x v="596"/>
    <s v="cdenysi1@is.gd"/>
    <x v="2"/>
    <x v="3"/>
    <s v="L"/>
    <x v="0"/>
    <n v="15.85"/>
    <x v="179"/>
    <x v="3"/>
    <x v="1"/>
    <x v="1"/>
  </r>
  <r>
    <s v="WMU-87639-108"/>
    <x v="496"/>
    <x v="597"/>
    <s v="R-D-0.5"/>
    <n v="1"/>
    <x v="597"/>
    <s v="cstebbingsi2@drupal.org"/>
    <x v="0"/>
    <x v="0"/>
    <s v="D"/>
    <x v="1"/>
    <n v="5.3699999999999992"/>
    <x v="147"/>
    <x v="0"/>
    <x v="2"/>
    <x v="0"/>
  </r>
  <r>
    <s v="USN-44968-231"/>
    <x v="497"/>
    <x v="598"/>
    <s v="R-L-1"/>
    <n v="4"/>
    <x v="598"/>
    <n v="0"/>
    <x v="0"/>
    <x v="0"/>
    <s v="L"/>
    <x v="0"/>
    <n v="11.95"/>
    <x v="62"/>
    <x v="0"/>
    <x v="1"/>
    <x v="1"/>
  </r>
  <r>
    <s v="YZG-20575-451"/>
    <x v="498"/>
    <x v="599"/>
    <s v="L-L-1"/>
    <n v="4"/>
    <x v="599"/>
    <s v="rzywickii4@ifeng.com"/>
    <x v="1"/>
    <x v="3"/>
    <s v="L"/>
    <x v="0"/>
    <n v="15.85"/>
    <x v="165"/>
    <x v="3"/>
    <x v="1"/>
    <x v="1"/>
  </r>
  <r>
    <s v="HTH-52867-812"/>
    <x v="382"/>
    <x v="600"/>
    <s v="A-M-2.5"/>
    <n v="4"/>
    <x v="600"/>
    <s v="aburgetti5@moonfruit.com"/>
    <x v="0"/>
    <x v="2"/>
    <s v="M"/>
    <x v="2"/>
    <n v="25.874999999999996"/>
    <x v="68"/>
    <x v="2"/>
    <x v="0"/>
    <x v="1"/>
  </r>
  <r>
    <s v="FWU-44971-444"/>
    <x v="499"/>
    <x v="601"/>
    <s v="A-D-2.5"/>
    <n v="3"/>
    <x v="601"/>
    <s v="mmalloyi6@seattletimes.com"/>
    <x v="0"/>
    <x v="2"/>
    <s v="D"/>
    <x v="2"/>
    <n v="22.884999999999998"/>
    <x v="96"/>
    <x v="2"/>
    <x v="2"/>
    <x v="1"/>
  </r>
  <r>
    <s v="EQI-82205-066"/>
    <x v="500"/>
    <x v="602"/>
    <s v="R-M-2.5"/>
    <n v="2"/>
    <x v="602"/>
    <s v="mmcparlandi7@w3.org"/>
    <x v="0"/>
    <x v="0"/>
    <s v="M"/>
    <x v="2"/>
    <n v="22.884999999999998"/>
    <x v="135"/>
    <x v="0"/>
    <x v="0"/>
    <x v="0"/>
  </r>
  <r>
    <s v="NAR-00747-074"/>
    <x v="501"/>
    <x v="603"/>
    <s v="L-D-1"/>
    <n v="4"/>
    <x v="603"/>
    <s v="sjennaroyi8@purevolume.com"/>
    <x v="0"/>
    <x v="3"/>
    <s v="D"/>
    <x v="0"/>
    <n v="12.95"/>
    <x v="67"/>
    <x v="3"/>
    <x v="2"/>
    <x v="1"/>
  </r>
  <r>
    <s v="JYR-22052-185"/>
    <x v="502"/>
    <x v="604"/>
    <s v="A-M-0.5"/>
    <n v="2"/>
    <x v="604"/>
    <s v="wplacei9@wsj.com"/>
    <x v="0"/>
    <x v="2"/>
    <s v="M"/>
    <x v="1"/>
    <n v="6.75"/>
    <x v="72"/>
    <x v="2"/>
    <x v="0"/>
    <x v="0"/>
  </r>
  <r>
    <s v="XKO-54097-932"/>
    <x v="503"/>
    <x v="605"/>
    <s v="E-M-0.5"/>
    <n v="3"/>
    <x v="605"/>
    <s v="jmillettik@addtoany.com"/>
    <x v="0"/>
    <x v="1"/>
    <s v="M"/>
    <x v="1"/>
    <n v="8.25"/>
    <x v="167"/>
    <x v="1"/>
    <x v="0"/>
    <x v="0"/>
  </r>
  <r>
    <s v="HXA-72415-025"/>
    <x v="504"/>
    <x v="606"/>
    <s v="A-D-2.5"/>
    <n v="2"/>
    <x v="606"/>
    <s v="dgadsdenib@google.com.hk"/>
    <x v="1"/>
    <x v="2"/>
    <s v="D"/>
    <x v="2"/>
    <n v="22.884999999999998"/>
    <x v="135"/>
    <x v="2"/>
    <x v="2"/>
    <x v="0"/>
  </r>
  <r>
    <s v="MJF-20065-335"/>
    <x v="497"/>
    <x v="607"/>
    <s v="E-L-0.5"/>
    <n v="6"/>
    <x v="607"/>
    <s v="vwakelinic@unesco.org"/>
    <x v="0"/>
    <x v="1"/>
    <s v="L"/>
    <x v="1"/>
    <n v="8.91"/>
    <x v="119"/>
    <x v="1"/>
    <x v="1"/>
    <x v="1"/>
  </r>
  <r>
    <s v="GFI-83300-059"/>
    <x v="501"/>
    <x v="608"/>
    <s v="A-M-0.2"/>
    <n v="6"/>
    <x v="608"/>
    <s v="acampsallid@zimbio.com"/>
    <x v="0"/>
    <x v="2"/>
    <s v="M"/>
    <x v="3"/>
    <n v="3.375"/>
    <x v="16"/>
    <x v="2"/>
    <x v="0"/>
    <x v="0"/>
  </r>
  <r>
    <s v="WJR-51493-682"/>
    <x v="1"/>
    <x v="609"/>
    <s v="L-D-2.5"/>
    <n v="5"/>
    <x v="609"/>
    <s v="smosebyie@stanford.edu"/>
    <x v="0"/>
    <x v="3"/>
    <s v="D"/>
    <x v="2"/>
    <n v="29.784999999999997"/>
    <x v="74"/>
    <x v="3"/>
    <x v="2"/>
    <x v="1"/>
  </r>
  <r>
    <s v="SHP-55648-472"/>
    <x v="505"/>
    <x v="610"/>
    <s v="A-M-1"/>
    <n v="6"/>
    <x v="610"/>
    <s v="cwassif@prweb.com"/>
    <x v="0"/>
    <x v="2"/>
    <s v="M"/>
    <x v="0"/>
    <n v="11.25"/>
    <x v="173"/>
    <x v="2"/>
    <x v="0"/>
    <x v="1"/>
  </r>
  <r>
    <s v="HYR-03455-684"/>
    <x v="506"/>
    <x v="611"/>
    <s v="E-D-1"/>
    <n v="6"/>
    <x v="611"/>
    <s v="isjostromig@pbs.org"/>
    <x v="0"/>
    <x v="1"/>
    <s v="D"/>
    <x v="0"/>
    <n v="12.15"/>
    <x v="118"/>
    <x v="1"/>
    <x v="2"/>
    <x v="1"/>
  </r>
  <r>
    <s v="HYR-03455-684"/>
    <x v="506"/>
    <x v="611"/>
    <s v="L-D-0.2"/>
    <n v="2"/>
    <x v="611"/>
    <s v="isjostromig@pbs.org"/>
    <x v="0"/>
    <x v="3"/>
    <s v="D"/>
    <x v="3"/>
    <n v="3.8849999999999998"/>
    <x v="41"/>
    <x v="3"/>
    <x v="2"/>
    <x v="1"/>
  </r>
  <r>
    <s v="HUG-52766-375"/>
    <x v="507"/>
    <x v="612"/>
    <s v="A-D-2.5"/>
    <n v="4"/>
    <x v="612"/>
    <s v="jbranchettii@bravesites.com"/>
    <x v="0"/>
    <x v="2"/>
    <s v="D"/>
    <x v="2"/>
    <n v="22.884999999999998"/>
    <x v="21"/>
    <x v="2"/>
    <x v="2"/>
    <x v="1"/>
  </r>
  <r>
    <s v="DAH-46595-917"/>
    <x v="508"/>
    <x v="613"/>
    <s v="A-D-1"/>
    <n v="6"/>
    <x v="613"/>
    <s v="nrudlandij@blogs.com"/>
    <x v="1"/>
    <x v="2"/>
    <s v="D"/>
    <x v="0"/>
    <n v="9.9499999999999993"/>
    <x v="33"/>
    <x v="2"/>
    <x v="2"/>
    <x v="1"/>
  </r>
  <r>
    <s v="VEM-79839-466"/>
    <x v="509"/>
    <x v="605"/>
    <s v="R-L-2.5"/>
    <n v="5"/>
    <x v="605"/>
    <s v="jmillettik@addtoany.com"/>
    <x v="0"/>
    <x v="0"/>
    <s v="L"/>
    <x v="2"/>
    <n v="27.484999999999996"/>
    <x v="187"/>
    <x v="0"/>
    <x v="1"/>
    <x v="0"/>
  </r>
  <r>
    <s v="OWH-11126-533"/>
    <x v="131"/>
    <x v="614"/>
    <s v="L-M-2.5"/>
    <n v="2"/>
    <x v="614"/>
    <s v="ftourryil@google.de"/>
    <x v="0"/>
    <x v="3"/>
    <s v="M"/>
    <x v="2"/>
    <n v="33.464999999999996"/>
    <x v="174"/>
    <x v="3"/>
    <x v="0"/>
    <x v="1"/>
  </r>
  <r>
    <s v="UMT-26130-151"/>
    <x v="510"/>
    <x v="615"/>
    <s v="L-M-0.2"/>
    <n v="3"/>
    <x v="615"/>
    <s v="cweatherallim@toplist.cz"/>
    <x v="0"/>
    <x v="3"/>
    <s v="M"/>
    <x v="3"/>
    <n v="4.3650000000000002"/>
    <x v="73"/>
    <x v="3"/>
    <x v="0"/>
    <x v="0"/>
  </r>
  <r>
    <s v="JKA-27899-806"/>
    <x v="511"/>
    <x v="616"/>
    <s v="R-L-1"/>
    <n v="5"/>
    <x v="616"/>
    <s v="gheindrickin@usda.gov"/>
    <x v="0"/>
    <x v="0"/>
    <s v="L"/>
    <x v="0"/>
    <n v="11.95"/>
    <x v="143"/>
    <x v="0"/>
    <x v="1"/>
    <x v="1"/>
  </r>
  <r>
    <s v="ULU-07744-724"/>
    <x v="512"/>
    <x v="617"/>
    <s v="L-M-0.5"/>
    <n v="5"/>
    <x v="617"/>
    <s v="limasonio@discuz.net"/>
    <x v="0"/>
    <x v="3"/>
    <s v="M"/>
    <x v="1"/>
    <n v="8.73"/>
    <x v="34"/>
    <x v="3"/>
    <x v="0"/>
    <x v="0"/>
  </r>
  <r>
    <s v="NOM-56457-507"/>
    <x v="513"/>
    <x v="618"/>
    <s v="E-M-1"/>
    <n v="6"/>
    <x v="618"/>
    <s v="hsaillip@odnoklassniki.ru"/>
    <x v="0"/>
    <x v="1"/>
    <s v="M"/>
    <x v="0"/>
    <n v="13.75"/>
    <x v="121"/>
    <x v="1"/>
    <x v="0"/>
    <x v="0"/>
  </r>
  <r>
    <s v="NZN-71683-705"/>
    <x v="514"/>
    <x v="619"/>
    <s v="A-L-2.5"/>
    <n v="6"/>
    <x v="619"/>
    <s v="hlarvoriq@last.fm"/>
    <x v="0"/>
    <x v="2"/>
    <s v="L"/>
    <x v="2"/>
    <n v="29.784999999999997"/>
    <x v="39"/>
    <x v="2"/>
    <x v="1"/>
    <x v="0"/>
  </r>
  <r>
    <s v="WMA-34232-850"/>
    <x v="7"/>
    <x v="620"/>
    <s v="L-D-2.5"/>
    <n v="4"/>
    <x v="620"/>
    <n v="0"/>
    <x v="0"/>
    <x v="3"/>
    <s v="D"/>
    <x v="2"/>
    <n v="29.784999999999997"/>
    <x v="129"/>
    <x v="3"/>
    <x v="2"/>
    <x v="0"/>
  </r>
  <r>
    <s v="EZL-27919-704"/>
    <x v="481"/>
    <x v="621"/>
    <s v="L-L-0.5"/>
    <n v="5"/>
    <x v="621"/>
    <n v="0"/>
    <x v="0"/>
    <x v="3"/>
    <s v="L"/>
    <x v="1"/>
    <n v="9.51"/>
    <x v="46"/>
    <x v="3"/>
    <x v="1"/>
    <x v="1"/>
  </r>
  <r>
    <s v="ZYU-11345-774"/>
    <x v="515"/>
    <x v="622"/>
    <s v="L-M-0.5"/>
    <n v="5"/>
    <x v="622"/>
    <s v="cpenwardenit@mlb.com"/>
    <x v="1"/>
    <x v="3"/>
    <s v="M"/>
    <x v="1"/>
    <n v="8.73"/>
    <x v="34"/>
    <x v="3"/>
    <x v="0"/>
    <x v="1"/>
  </r>
  <r>
    <s v="CPW-34587-459"/>
    <x v="516"/>
    <x v="623"/>
    <s v="A-L-2.5"/>
    <n v="6"/>
    <x v="623"/>
    <s v="mmiddisiu@dmoz.org"/>
    <x v="0"/>
    <x v="2"/>
    <s v="L"/>
    <x v="2"/>
    <n v="29.784999999999997"/>
    <x v="39"/>
    <x v="2"/>
    <x v="1"/>
    <x v="0"/>
  </r>
  <r>
    <s v="NQZ-82067-394"/>
    <x v="517"/>
    <x v="624"/>
    <s v="R-L-2.5"/>
    <n v="1"/>
    <x v="624"/>
    <s v="avairowiv@studiopress.com"/>
    <x v="2"/>
    <x v="0"/>
    <s v="L"/>
    <x v="2"/>
    <n v="27.484999999999996"/>
    <x v="142"/>
    <x v="0"/>
    <x v="1"/>
    <x v="1"/>
  </r>
  <r>
    <s v="JBW-95055-851"/>
    <x v="518"/>
    <x v="625"/>
    <s v="A-M-1"/>
    <n v="5"/>
    <x v="625"/>
    <s v="agoldieiw@goo.gl"/>
    <x v="0"/>
    <x v="2"/>
    <s v="M"/>
    <x v="0"/>
    <n v="11.25"/>
    <x v="126"/>
    <x v="2"/>
    <x v="0"/>
    <x v="1"/>
  </r>
  <r>
    <s v="AHY-20324-088"/>
    <x v="519"/>
    <x v="626"/>
    <s v="L-L-0.2"/>
    <n v="2"/>
    <x v="626"/>
    <s v="nayrisix@t-online.de"/>
    <x v="2"/>
    <x v="3"/>
    <s v="L"/>
    <x v="3"/>
    <n v="4.7549999999999999"/>
    <x v="54"/>
    <x v="3"/>
    <x v="1"/>
    <x v="0"/>
  </r>
  <r>
    <s v="ZSL-66684-103"/>
    <x v="520"/>
    <x v="627"/>
    <s v="E-M-0.2"/>
    <n v="2"/>
    <x v="627"/>
    <s v="lbenediktovichiy@wunderground.com"/>
    <x v="0"/>
    <x v="1"/>
    <s v="M"/>
    <x v="3"/>
    <n v="4.125"/>
    <x v="112"/>
    <x v="1"/>
    <x v="0"/>
    <x v="0"/>
  </r>
  <r>
    <s v="WNE-73911-475"/>
    <x v="521"/>
    <x v="628"/>
    <s v="L-D-0.5"/>
    <n v="6"/>
    <x v="628"/>
    <s v="tjacobovitziz@cbc.ca"/>
    <x v="0"/>
    <x v="3"/>
    <s v="D"/>
    <x v="1"/>
    <n v="7.77"/>
    <x v="162"/>
    <x v="3"/>
    <x v="2"/>
    <x v="1"/>
  </r>
  <r>
    <s v="EZB-68383-559"/>
    <x v="418"/>
    <x v="629"/>
    <s v="R-L-1"/>
    <n v="6"/>
    <x v="629"/>
    <n v="0"/>
    <x v="0"/>
    <x v="0"/>
    <s v="L"/>
    <x v="0"/>
    <n v="11.95"/>
    <x v="144"/>
    <x v="0"/>
    <x v="1"/>
    <x v="1"/>
  </r>
  <r>
    <s v="OVO-01283-090"/>
    <x v="122"/>
    <x v="630"/>
    <s v="L-L-2.5"/>
    <n v="2"/>
    <x v="630"/>
    <s v="jdruittj1@feedburner.com"/>
    <x v="0"/>
    <x v="3"/>
    <s v="L"/>
    <x v="2"/>
    <n v="36.454999999999998"/>
    <x v="37"/>
    <x v="3"/>
    <x v="1"/>
    <x v="0"/>
  </r>
  <r>
    <s v="TXH-78646-919"/>
    <x v="423"/>
    <x v="631"/>
    <s v="R-D-0.2"/>
    <n v="3"/>
    <x v="631"/>
    <s v="dshortallj2@wikipedia.org"/>
    <x v="0"/>
    <x v="0"/>
    <s v="D"/>
    <x v="3"/>
    <n v="2.6849999999999996"/>
    <x v="36"/>
    <x v="0"/>
    <x v="2"/>
    <x v="0"/>
  </r>
  <r>
    <s v="CYZ-37122-164"/>
    <x v="463"/>
    <x v="632"/>
    <s v="E-M-0.5"/>
    <n v="2"/>
    <x v="632"/>
    <s v="wcottierj3@cafepress.com"/>
    <x v="0"/>
    <x v="1"/>
    <s v="M"/>
    <x v="1"/>
    <n v="8.25"/>
    <x v="38"/>
    <x v="1"/>
    <x v="0"/>
    <x v="1"/>
  </r>
  <r>
    <s v="AGQ-06534-750"/>
    <x v="273"/>
    <x v="633"/>
    <s v="A-L-1"/>
    <n v="5"/>
    <x v="633"/>
    <s v="kgrinstedj4@google.com.br"/>
    <x v="1"/>
    <x v="2"/>
    <s v="L"/>
    <x v="0"/>
    <n v="12.95"/>
    <x v="188"/>
    <x v="2"/>
    <x v="1"/>
    <x v="1"/>
  </r>
  <r>
    <s v="QVL-32245-818"/>
    <x v="522"/>
    <x v="634"/>
    <s v="A-M-0.5"/>
    <n v="5"/>
    <x v="634"/>
    <s v="dskynerj5@hubpages.com"/>
    <x v="0"/>
    <x v="2"/>
    <s v="M"/>
    <x v="1"/>
    <n v="6.75"/>
    <x v="65"/>
    <x v="2"/>
    <x v="0"/>
    <x v="1"/>
  </r>
  <r>
    <s v="LTD-96842-834"/>
    <x v="523"/>
    <x v="635"/>
    <s v="L-D-2.5"/>
    <n v="6"/>
    <x v="635"/>
    <n v="0"/>
    <x v="0"/>
    <x v="3"/>
    <s v="D"/>
    <x v="2"/>
    <n v="29.784999999999997"/>
    <x v="39"/>
    <x v="3"/>
    <x v="2"/>
    <x v="1"/>
  </r>
  <r>
    <s v="SEC-91807-425"/>
    <x v="260"/>
    <x v="636"/>
    <s v="A-M-1"/>
    <n v="2"/>
    <x v="636"/>
    <s v="jdymokeje@prnewswire.com"/>
    <x v="1"/>
    <x v="2"/>
    <s v="M"/>
    <x v="0"/>
    <n v="11.25"/>
    <x v="122"/>
    <x v="2"/>
    <x v="0"/>
    <x v="1"/>
  </r>
  <r>
    <s v="MHM-44857-599"/>
    <x v="331"/>
    <x v="637"/>
    <s v="L-D-1"/>
    <n v="1"/>
    <x v="637"/>
    <s v="aweinmannj8@shinystat.com"/>
    <x v="0"/>
    <x v="3"/>
    <s v="D"/>
    <x v="0"/>
    <n v="12.95"/>
    <x v="2"/>
    <x v="3"/>
    <x v="2"/>
    <x v="1"/>
  </r>
  <r>
    <s v="KGC-95046-911"/>
    <x v="524"/>
    <x v="638"/>
    <s v="A-M-2.5"/>
    <n v="2"/>
    <x v="638"/>
    <s v="eandriessenj9@europa.eu"/>
    <x v="0"/>
    <x v="2"/>
    <s v="M"/>
    <x v="2"/>
    <n v="25.874999999999996"/>
    <x v="95"/>
    <x v="2"/>
    <x v="0"/>
    <x v="0"/>
  </r>
  <r>
    <s v="RZC-75150-413"/>
    <x v="525"/>
    <x v="639"/>
    <s v="E-D-0.5"/>
    <n v="5"/>
    <x v="639"/>
    <s v="rdeaconsonja@archive.org"/>
    <x v="0"/>
    <x v="1"/>
    <s v="D"/>
    <x v="1"/>
    <n v="7.29"/>
    <x v="114"/>
    <x v="1"/>
    <x v="2"/>
    <x v="1"/>
  </r>
  <r>
    <s v="EYH-88288-452"/>
    <x v="526"/>
    <x v="640"/>
    <s v="L-L-2.5"/>
    <n v="5"/>
    <x v="640"/>
    <s v="dcarojb@twitter.com"/>
    <x v="0"/>
    <x v="3"/>
    <s v="L"/>
    <x v="2"/>
    <n v="36.454999999999998"/>
    <x v="134"/>
    <x v="3"/>
    <x v="1"/>
    <x v="0"/>
  </r>
  <r>
    <s v="NYQ-24237-772"/>
    <x v="104"/>
    <x v="641"/>
    <s v="L-D-0.5"/>
    <n v="4"/>
    <x v="641"/>
    <s v="jbluckjc@imageshack.us"/>
    <x v="0"/>
    <x v="3"/>
    <s v="D"/>
    <x v="1"/>
    <n v="7.77"/>
    <x v="113"/>
    <x v="3"/>
    <x v="2"/>
    <x v="1"/>
  </r>
  <r>
    <s v="WKB-21680-566"/>
    <x v="491"/>
    <x v="642"/>
    <s v="A-M-0.5"/>
    <n v="3"/>
    <x v="642"/>
    <n v="0"/>
    <x v="1"/>
    <x v="2"/>
    <s v="M"/>
    <x v="1"/>
    <n v="6.75"/>
    <x v="16"/>
    <x v="2"/>
    <x v="0"/>
    <x v="1"/>
  </r>
  <r>
    <s v="THE-61147-027"/>
    <x v="157"/>
    <x v="636"/>
    <s v="L-D-1"/>
    <n v="2"/>
    <x v="636"/>
    <s v="jdymokeje@prnewswire.com"/>
    <x v="1"/>
    <x v="3"/>
    <s v="D"/>
    <x v="0"/>
    <n v="12.95"/>
    <x v="109"/>
    <x v="3"/>
    <x v="2"/>
    <x v="1"/>
  </r>
  <r>
    <s v="PTY-86420-119"/>
    <x v="527"/>
    <x v="643"/>
    <s v="A-D-0.5"/>
    <n v="4"/>
    <x v="643"/>
    <s v="otadmanjf@ft.com"/>
    <x v="0"/>
    <x v="2"/>
    <s v="D"/>
    <x v="1"/>
    <n v="5.97"/>
    <x v="86"/>
    <x v="2"/>
    <x v="2"/>
    <x v="0"/>
  </r>
  <r>
    <s v="QHL-27188-431"/>
    <x v="528"/>
    <x v="644"/>
    <s v="L-L-0.5"/>
    <n v="2"/>
    <x v="644"/>
    <s v="bguddejg@dailymotion.com"/>
    <x v="0"/>
    <x v="3"/>
    <s v="L"/>
    <x v="1"/>
    <n v="9.51"/>
    <x v="81"/>
    <x v="3"/>
    <x v="1"/>
    <x v="1"/>
  </r>
  <r>
    <s v="MIS-54381-047"/>
    <x v="99"/>
    <x v="645"/>
    <s v="A-D-0.5"/>
    <n v="5"/>
    <x v="645"/>
    <s v="nsictornesjh@buzzfeed.com"/>
    <x v="1"/>
    <x v="2"/>
    <s v="D"/>
    <x v="1"/>
    <n v="5.97"/>
    <x v="44"/>
    <x v="2"/>
    <x v="2"/>
    <x v="0"/>
  </r>
  <r>
    <s v="TBB-29780-459"/>
    <x v="529"/>
    <x v="646"/>
    <s v="A-L-0.5"/>
    <n v="1"/>
    <x v="646"/>
    <s v="vdunningji@independent.co.uk"/>
    <x v="0"/>
    <x v="2"/>
    <s v="L"/>
    <x v="1"/>
    <n v="7.77"/>
    <x v="41"/>
    <x v="2"/>
    <x v="1"/>
    <x v="0"/>
  </r>
  <r>
    <s v="QLC-52637-305"/>
    <x v="530"/>
    <x v="647"/>
    <s v="L-D-2.5"/>
    <n v="4"/>
    <x v="647"/>
    <n v="0"/>
    <x v="1"/>
    <x v="3"/>
    <s v="D"/>
    <x v="2"/>
    <n v="29.784999999999997"/>
    <x v="129"/>
    <x v="3"/>
    <x v="2"/>
    <x v="0"/>
  </r>
  <r>
    <s v="CWT-27056-328"/>
    <x v="531"/>
    <x v="648"/>
    <s v="E-D-0.2"/>
    <n v="6"/>
    <x v="648"/>
    <n v="0"/>
    <x v="0"/>
    <x v="1"/>
    <s v="D"/>
    <x v="3"/>
    <n v="3.645"/>
    <x v="6"/>
    <x v="1"/>
    <x v="2"/>
    <x v="0"/>
  </r>
  <r>
    <s v="ASS-05878-128"/>
    <x v="210"/>
    <x v="649"/>
    <s v="E-L-0.5"/>
    <n v="2"/>
    <x v="649"/>
    <s v="sgehringjl@gnu.org"/>
    <x v="0"/>
    <x v="1"/>
    <s v="L"/>
    <x v="1"/>
    <n v="8.91"/>
    <x v="58"/>
    <x v="1"/>
    <x v="1"/>
    <x v="1"/>
  </r>
  <r>
    <s v="EGK-03027-418"/>
    <x v="532"/>
    <x v="650"/>
    <s v="E-M-0.2"/>
    <n v="3"/>
    <x v="650"/>
    <s v="bfallowesjm@purevolume.com"/>
    <x v="0"/>
    <x v="1"/>
    <s v="M"/>
    <x v="3"/>
    <n v="4.125"/>
    <x v="24"/>
    <x v="1"/>
    <x v="0"/>
    <x v="1"/>
  </r>
  <r>
    <s v="KCY-61732-849"/>
    <x v="533"/>
    <x v="651"/>
    <s v="L-D-1"/>
    <n v="2"/>
    <x v="651"/>
    <n v="0"/>
    <x v="1"/>
    <x v="3"/>
    <s v="D"/>
    <x v="0"/>
    <n v="12.95"/>
    <x v="109"/>
    <x v="3"/>
    <x v="2"/>
    <x v="1"/>
  </r>
  <r>
    <s v="BLI-21697-702"/>
    <x v="534"/>
    <x v="652"/>
    <s v="A-M-0.5"/>
    <n v="2"/>
    <x v="652"/>
    <s v="sdejo@newsvine.com"/>
    <x v="0"/>
    <x v="2"/>
    <s v="M"/>
    <x v="1"/>
    <n v="6.75"/>
    <x v="72"/>
    <x v="2"/>
    <x v="0"/>
    <x v="0"/>
  </r>
  <r>
    <s v="KFJ-46568-890"/>
    <x v="535"/>
    <x v="653"/>
    <s v="E-L-0.5"/>
    <n v="2"/>
    <x v="653"/>
    <n v="0"/>
    <x v="0"/>
    <x v="1"/>
    <s v="L"/>
    <x v="1"/>
    <n v="8.91"/>
    <x v="58"/>
    <x v="1"/>
    <x v="1"/>
    <x v="0"/>
  </r>
  <r>
    <s v="SOK-43535-680"/>
    <x v="536"/>
    <x v="654"/>
    <s v="E-M-0.5"/>
    <n v="3"/>
    <x v="654"/>
    <s v="scountjq@nba.com"/>
    <x v="0"/>
    <x v="1"/>
    <s v="M"/>
    <x v="1"/>
    <n v="8.25"/>
    <x v="167"/>
    <x v="1"/>
    <x v="0"/>
    <x v="1"/>
  </r>
  <r>
    <s v="XUE-87260-201"/>
    <x v="537"/>
    <x v="655"/>
    <s v="R-M-0.2"/>
    <n v="6"/>
    <x v="655"/>
    <s v="sraglesjr@blogtalkradio.com"/>
    <x v="0"/>
    <x v="0"/>
    <s v="M"/>
    <x v="3"/>
    <n v="2.9849999999999999"/>
    <x v="8"/>
    <x v="0"/>
    <x v="0"/>
    <x v="1"/>
  </r>
  <r>
    <s v="CZF-40873-691"/>
    <x v="61"/>
    <x v="656"/>
    <s v="E-M-0.5"/>
    <n v="2"/>
    <x v="656"/>
    <n v="0"/>
    <x v="2"/>
    <x v="1"/>
    <s v="M"/>
    <x v="1"/>
    <n v="8.25"/>
    <x v="38"/>
    <x v="1"/>
    <x v="0"/>
    <x v="1"/>
  </r>
  <r>
    <s v="AIA-98989-755"/>
    <x v="242"/>
    <x v="657"/>
    <s v="R-M-0.2"/>
    <n v="1"/>
    <x v="657"/>
    <s v="sbruunjt@blogtalkradio.com"/>
    <x v="0"/>
    <x v="0"/>
    <s v="M"/>
    <x v="3"/>
    <n v="2.9849999999999999"/>
    <x v="55"/>
    <x v="0"/>
    <x v="0"/>
    <x v="1"/>
  </r>
  <r>
    <s v="ITZ-21793-986"/>
    <x v="299"/>
    <x v="658"/>
    <s v="E-D-0.2"/>
    <n v="4"/>
    <x v="658"/>
    <s v="aplluju@dagondesign.com"/>
    <x v="1"/>
    <x v="1"/>
    <s v="D"/>
    <x v="3"/>
    <n v="3.645"/>
    <x v="20"/>
    <x v="1"/>
    <x v="2"/>
    <x v="0"/>
  </r>
  <r>
    <s v="YOK-93322-608"/>
    <x v="343"/>
    <x v="659"/>
    <s v="E-L-1"/>
    <n v="6"/>
    <x v="659"/>
    <s v="gcornierjv@techcrunch.com"/>
    <x v="0"/>
    <x v="1"/>
    <s v="L"/>
    <x v="0"/>
    <n v="14.85"/>
    <x v="146"/>
    <x v="1"/>
    <x v="1"/>
    <x v="1"/>
  </r>
  <r>
    <s v="LXK-00634-611"/>
    <x v="538"/>
    <x v="636"/>
    <s v="R-L-1"/>
    <n v="3"/>
    <x v="636"/>
    <s v="jdymokeje@prnewswire.com"/>
    <x v="1"/>
    <x v="0"/>
    <s v="L"/>
    <x v="0"/>
    <n v="11.95"/>
    <x v="66"/>
    <x v="0"/>
    <x v="1"/>
    <x v="1"/>
  </r>
  <r>
    <s v="CQW-37388-302"/>
    <x v="539"/>
    <x v="660"/>
    <s v="A-D-2.5"/>
    <n v="3"/>
    <x v="660"/>
    <s v="wharvisonjx@gizmodo.com"/>
    <x v="0"/>
    <x v="2"/>
    <s v="D"/>
    <x v="2"/>
    <n v="22.884999999999998"/>
    <x v="96"/>
    <x v="2"/>
    <x v="2"/>
    <x v="1"/>
  </r>
  <r>
    <s v="SPA-79365-334"/>
    <x v="27"/>
    <x v="661"/>
    <s v="L-D-1"/>
    <n v="3"/>
    <x v="661"/>
    <s v="dheafordjy@twitpic.com"/>
    <x v="0"/>
    <x v="3"/>
    <s v="D"/>
    <x v="0"/>
    <n v="12.95"/>
    <x v="5"/>
    <x v="3"/>
    <x v="2"/>
    <x v="1"/>
  </r>
  <r>
    <s v="VPX-08817-517"/>
    <x v="540"/>
    <x v="662"/>
    <s v="L-L-1"/>
    <n v="5"/>
    <x v="662"/>
    <s v="gfanthamjz@hexun.com"/>
    <x v="0"/>
    <x v="3"/>
    <s v="L"/>
    <x v="0"/>
    <n v="15.85"/>
    <x v="180"/>
    <x v="3"/>
    <x v="1"/>
    <x v="0"/>
  </r>
  <r>
    <s v="PBP-87115-410"/>
    <x v="541"/>
    <x v="663"/>
    <s v="E-D-0.5"/>
    <n v="5"/>
    <x v="663"/>
    <s v="rcrookshanksk0@unc.edu"/>
    <x v="0"/>
    <x v="1"/>
    <s v="D"/>
    <x v="1"/>
    <n v="7.29"/>
    <x v="114"/>
    <x v="1"/>
    <x v="2"/>
    <x v="0"/>
  </r>
  <r>
    <s v="SFB-93752-440"/>
    <x v="390"/>
    <x v="664"/>
    <s v="R-M-0.2"/>
    <n v="3"/>
    <x v="664"/>
    <s v="nleakek1@cmu.edu"/>
    <x v="0"/>
    <x v="0"/>
    <s v="M"/>
    <x v="3"/>
    <n v="2.9849999999999999"/>
    <x v="169"/>
    <x v="0"/>
    <x v="0"/>
    <x v="0"/>
  </r>
  <r>
    <s v="TBU-65158-068"/>
    <x v="396"/>
    <x v="665"/>
    <s v="E-D-1"/>
    <n v="2"/>
    <x v="665"/>
    <n v="0"/>
    <x v="0"/>
    <x v="1"/>
    <s v="D"/>
    <x v="0"/>
    <n v="12.15"/>
    <x v="76"/>
    <x v="1"/>
    <x v="2"/>
    <x v="1"/>
  </r>
  <r>
    <s v="TEH-08414-216"/>
    <x v="185"/>
    <x v="666"/>
    <s v="E-M-2.5"/>
    <n v="2"/>
    <x v="666"/>
    <s v="geilhersenk3@networksolutions.com"/>
    <x v="0"/>
    <x v="1"/>
    <s v="M"/>
    <x v="2"/>
    <n v="31.624999999999996"/>
    <x v="40"/>
    <x v="1"/>
    <x v="0"/>
    <x v="1"/>
  </r>
  <r>
    <s v="MAY-77231-536"/>
    <x v="542"/>
    <x v="667"/>
    <s v="A-M-0.2"/>
    <n v="2"/>
    <x v="667"/>
    <n v="0"/>
    <x v="0"/>
    <x v="2"/>
    <s v="M"/>
    <x v="3"/>
    <n v="3.375"/>
    <x v="52"/>
    <x v="2"/>
    <x v="0"/>
    <x v="0"/>
  </r>
  <r>
    <s v="ATY-28980-884"/>
    <x v="117"/>
    <x v="668"/>
    <s v="A-L-0.2"/>
    <n v="6"/>
    <x v="668"/>
    <s v="caleixok5@globo.com"/>
    <x v="0"/>
    <x v="2"/>
    <s v="L"/>
    <x v="3"/>
    <n v="3.8849999999999998"/>
    <x v="102"/>
    <x v="2"/>
    <x v="1"/>
    <x v="1"/>
  </r>
  <r>
    <s v="SWP-88281-918"/>
    <x v="543"/>
    <x v="669"/>
    <s v="L-L-2.5"/>
    <n v="4"/>
    <x v="669"/>
    <n v="0"/>
    <x v="0"/>
    <x v="3"/>
    <s v="L"/>
    <x v="2"/>
    <n v="36.454999999999998"/>
    <x v="43"/>
    <x v="3"/>
    <x v="1"/>
    <x v="1"/>
  </r>
  <r>
    <s v="VCE-56531-986"/>
    <x v="544"/>
    <x v="670"/>
    <s v="R-M-0.5"/>
    <n v="5"/>
    <x v="670"/>
    <s v="rtomkowiczk7@bravesites.com"/>
    <x v="1"/>
    <x v="0"/>
    <s v="M"/>
    <x v="1"/>
    <n v="5.97"/>
    <x v="44"/>
    <x v="0"/>
    <x v="0"/>
    <x v="0"/>
  </r>
  <r>
    <s v="FVV-75700-005"/>
    <x v="545"/>
    <x v="671"/>
    <s v="E-D-0.5"/>
    <n v="3"/>
    <x v="671"/>
    <s v="rhuscroftk8@jimdo.com"/>
    <x v="0"/>
    <x v="1"/>
    <s v="D"/>
    <x v="1"/>
    <n v="7.29"/>
    <x v="6"/>
    <x v="1"/>
    <x v="2"/>
    <x v="0"/>
  </r>
  <r>
    <s v="CFZ-53492-600"/>
    <x v="546"/>
    <x v="672"/>
    <s v="L-M-0.2"/>
    <n v="1"/>
    <x v="672"/>
    <s v="sscurrerk9@flavors.me"/>
    <x v="2"/>
    <x v="3"/>
    <s v="M"/>
    <x v="3"/>
    <n v="4.3650000000000002"/>
    <x v="189"/>
    <x v="3"/>
    <x v="0"/>
    <x v="1"/>
  </r>
  <r>
    <s v="LDK-71031-121"/>
    <x v="420"/>
    <x v="673"/>
    <s v="L-L-2.5"/>
    <n v="1"/>
    <x v="673"/>
    <s v="arudramka@prnewswire.com"/>
    <x v="0"/>
    <x v="3"/>
    <s v="L"/>
    <x v="2"/>
    <n v="36.454999999999998"/>
    <x v="133"/>
    <x v="3"/>
    <x v="1"/>
    <x v="1"/>
  </r>
  <r>
    <s v="EBA-82404-343"/>
    <x v="547"/>
    <x v="674"/>
    <s v="L-D-0.2"/>
    <n v="4"/>
    <x v="674"/>
    <n v="0"/>
    <x v="0"/>
    <x v="3"/>
    <s v="D"/>
    <x v="3"/>
    <n v="3.8849999999999998"/>
    <x v="42"/>
    <x v="3"/>
    <x v="2"/>
    <x v="0"/>
  </r>
  <r>
    <s v="USA-42811-560"/>
    <x v="548"/>
    <x v="675"/>
    <s v="E-L-0.2"/>
    <n v="2"/>
    <x v="675"/>
    <s v="jmahakc@cyberchimps.com"/>
    <x v="0"/>
    <x v="1"/>
    <s v="L"/>
    <x v="3"/>
    <n v="4.4550000000000001"/>
    <x v="161"/>
    <x v="1"/>
    <x v="1"/>
    <x v="1"/>
  </r>
  <r>
    <s v="SNL-83703-516"/>
    <x v="549"/>
    <x v="676"/>
    <s v="L-M-2.5"/>
    <n v="3"/>
    <x v="676"/>
    <s v="gclemonkd@networksolutions.com"/>
    <x v="0"/>
    <x v="3"/>
    <s v="M"/>
    <x v="2"/>
    <n v="33.464999999999996"/>
    <x v="64"/>
    <x v="3"/>
    <x v="0"/>
    <x v="0"/>
  </r>
  <r>
    <s v="SUZ-83036-175"/>
    <x v="550"/>
    <x v="677"/>
    <s v="R-D-0.2"/>
    <n v="5"/>
    <x v="677"/>
    <n v="0"/>
    <x v="0"/>
    <x v="0"/>
    <s v="D"/>
    <x v="3"/>
    <n v="2.6849999999999996"/>
    <x v="148"/>
    <x v="0"/>
    <x v="2"/>
    <x v="1"/>
  </r>
  <r>
    <s v="RGM-01187-513"/>
    <x v="551"/>
    <x v="678"/>
    <s v="E-D-0.2"/>
    <n v="6"/>
    <x v="678"/>
    <s v="bpollinskf@shinystat.com"/>
    <x v="0"/>
    <x v="1"/>
    <s v="D"/>
    <x v="3"/>
    <n v="3.645"/>
    <x v="6"/>
    <x v="1"/>
    <x v="2"/>
    <x v="1"/>
  </r>
  <r>
    <s v="CZG-01299-952"/>
    <x v="552"/>
    <x v="679"/>
    <s v="L-D-1"/>
    <n v="2"/>
    <x v="679"/>
    <s v="jtoyekg@pinterest.com"/>
    <x v="1"/>
    <x v="3"/>
    <s v="D"/>
    <x v="0"/>
    <n v="12.95"/>
    <x v="109"/>
    <x v="3"/>
    <x v="2"/>
    <x v="0"/>
  </r>
  <r>
    <s v="KLD-88731-484"/>
    <x v="553"/>
    <x v="680"/>
    <s v="A-M-1"/>
    <n v="5"/>
    <x v="680"/>
    <s v="clinskillkh@sphinn.com"/>
    <x v="0"/>
    <x v="2"/>
    <s v="M"/>
    <x v="0"/>
    <n v="11.25"/>
    <x v="126"/>
    <x v="2"/>
    <x v="0"/>
    <x v="1"/>
  </r>
  <r>
    <s v="BQK-38412-229"/>
    <x v="554"/>
    <x v="681"/>
    <s v="R-L-0.2"/>
    <n v="3"/>
    <x v="681"/>
    <s v="nvigrasski@ezinearticles.com"/>
    <x v="2"/>
    <x v="0"/>
    <s v="L"/>
    <x v="3"/>
    <n v="3.5849999999999995"/>
    <x v="127"/>
    <x v="0"/>
    <x v="1"/>
    <x v="1"/>
  </r>
  <r>
    <s v="TCX-76953-071"/>
    <x v="555"/>
    <x v="636"/>
    <s v="E-D-0.2"/>
    <n v="5"/>
    <x v="636"/>
    <s v="jdymokeje@prnewswire.com"/>
    <x v="1"/>
    <x v="1"/>
    <s v="D"/>
    <x v="3"/>
    <n v="3.645"/>
    <x v="94"/>
    <x v="1"/>
    <x v="2"/>
    <x v="1"/>
  </r>
  <r>
    <s v="LIN-88046-551"/>
    <x v="150"/>
    <x v="682"/>
    <s v="R-L-0.5"/>
    <n v="4"/>
    <x v="682"/>
    <s v="kcragellkk@google.com"/>
    <x v="1"/>
    <x v="0"/>
    <s v="L"/>
    <x v="1"/>
    <n v="7.169999999999999"/>
    <x v="139"/>
    <x v="0"/>
    <x v="1"/>
    <x v="1"/>
  </r>
  <r>
    <s v="PMV-54491-220"/>
    <x v="556"/>
    <x v="683"/>
    <s v="L-M-0.2"/>
    <n v="2"/>
    <x v="683"/>
    <s v="libertkl@huffingtonpost.com"/>
    <x v="0"/>
    <x v="3"/>
    <s v="M"/>
    <x v="3"/>
    <n v="4.3650000000000002"/>
    <x v="31"/>
    <x v="3"/>
    <x v="0"/>
    <x v="1"/>
  </r>
  <r>
    <s v="SKA-73676-005"/>
    <x v="327"/>
    <x v="684"/>
    <s v="L-M-1"/>
    <n v="4"/>
    <x v="684"/>
    <s v="rlidgeykm@vimeo.com"/>
    <x v="0"/>
    <x v="3"/>
    <s v="M"/>
    <x v="0"/>
    <n v="14.55"/>
    <x v="125"/>
    <x v="3"/>
    <x v="0"/>
    <x v="1"/>
  </r>
  <r>
    <s v="TKH-62197-239"/>
    <x v="557"/>
    <x v="685"/>
    <s v="A-D-0.5"/>
    <n v="3"/>
    <x v="685"/>
    <s v="tcastagnekn@wikia.com"/>
    <x v="0"/>
    <x v="2"/>
    <s v="D"/>
    <x v="1"/>
    <n v="5.97"/>
    <x v="8"/>
    <x v="2"/>
    <x v="2"/>
    <x v="1"/>
  </r>
  <r>
    <s v="YXF-57218-272"/>
    <x v="333"/>
    <x v="686"/>
    <s v="R-M-0.2"/>
    <n v="6"/>
    <x v="686"/>
    <n v="0"/>
    <x v="0"/>
    <x v="0"/>
    <s v="M"/>
    <x v="3"/>
    <n v="2.9849999999999999"/>
    <x v="8"/>
    <x v="0"/>
    <x v="0"/>
    <x v="0"/>
  </r>
  <r>
    <s v="PKJ-30083-501"/>
    <x v="558"/>
    <x v="687"/>
    <s v="E-D-0.5"/>
    <n v="2"/>
    <x v="687"/>
    <s v="jhaldenkp@comcast.net"/>
    <x v="1"/>
    <x v="1"/>
    <s v="D"/>
    <x v="1"/>
    <n v="7.29"/>
    <x v="20"/>
    <x v="1"/>
    <x v="2"/>
    <x v="1"/>
  </r>
  <r>
    <s v="WTT-91832-645"/>
    <x v="559"/>
    <x v="688"/>
    <s v="A-M-1"/>
    <n v="3"/>
    <x v="688"/>
    <s v="holliffkq@sciencedirect.com"/>
    <x v="1"/>
    <x v="2"/>
    <s v="M"/>
    <x v="0"/>
    <n v="11.25"/>
    <x v="65"/>
    <x v="2"/>
    <x v="0"/>
    <x v="1"/>
  </r>
  <r>
    <s v="TRZ-94735-865"/>
    <x v="310"/>
    <x v="689"/>
    <s v="L-M-0.5"/>
    <n v="4"/>
    <x v="689"/>
    <s v="tquadrikr@opensource.org"/>
    <x v="1"/>
    <x v="3"/>
    <s v="M"/>
    <x v="1"/>
    <n v="8.73"/>
    <x v="190"/>
    <x v="3"/>
    <x v="0"/>
    <x v="0"/>
  </r>
  <r>
    <s v="UDB-09651-780"/>
    <x v="560"/>
    <x v="690"/>
    <s v="E-D-0.5"/>
    <n v="2"/>
    <x v="690"/>
    <s v="feshmadeks@umn.edu"/>
    <x v="0"/>
    <x v="1"/>
    <s v="D"/>
    <x v="1"/>
    <n v="7.29"/>
    <x v="20"/>
    <x v="1"/>
    <x v="2"/>
    <x v="1"/>
  </r>
  <r>
    <s v="EHJ-82097-549"/>
    <x v="561"/>
    <x v="691"/>
    <s v="R-D-0.2"/>
    <n v="2"/>
    <x v="691"/>
    <s v="moilierkt@paginegialle.it"/>
    <x v="1"/>
    <x v="0"/>
    <s v="D"/>
    <x v="3"/>
    <n v="2.6849999999999996"/>
    <x v="147"/>
    <x v="0"/>
    <x v="2"/>
    <x v="0"/>
  </r>
  <r>
    <s v="ZFR-79447-696"/>
    <x v="562"/>
    <x v="692"/>
    <s v="R-M-0.5"/>
    <n v="1"/>
    <x v="692"/>
    <n v="0"/>
    <x v="0"/>
    <x v="0"/>
    <s v="M"/>
    <x v="1"/>
    <n v="5.97"/>
    <x v="9"/>
    <x v="0"/>
    <x v="0"/>
    <x v="0"/>
  </r>
  <r>
    <s v="NUU-03893-975"/>
    <x v="563"/>
    <x v="693"/>
    <s v="L-L-0.5"/>
    <n v="2"/>
    <x v="693"/>
    <s v="vshoebothamkv@redcross.org"/>
    <x v="0"/>
    <x v="3"/>
    <s v="L"/>
    <x v="1"/>
    <n v="9.51"/>
    <x v="81"/>
    <x v="3"/>
    <x v="1"/>
    <x v="1"/>
  </r>
  <r>
    <s v="GVG-59542-307"/>
    <x v="564"/>
    <x v="694"/>
    <s v="E-M-1"/>
    <n v="2"/>
    <x v="694"/>
    <s v="bsterkekw@biblegateway.com"/>
    <x v="0"/>
    <x v="1"/>
    <s v="M"/>
    <x v="0"/>
    <n v="13.75"/>
    <x v="3"/>
    <x v="1"/>
    <x v="0"/>
    <x v="0"/>
  </r>
  <r>
    <s v="YLY-35287-172"/>
    <x v="565"/>
    <x v="695"/>
    <s v="A-D-0.5"/>
    <n v="5"/>
    <x v="695"/>
    <s v="scaponkx@craigslist.org"/>
    <x v="0"/>
    <x v="2"/>
    <s v="D"/>
    <x v="1"/>
    <n v="5.97"/>
    <x v="44"/>
    <x v="2"/>
    <x v="2"/>
    <x v="1"/>
  </r>
  <r>
    <s v="DCI-96254-548"/>
    <x v="566"/>
    <x v="636"/>
    <s v="A-D-0.2"/>
    <n v="6"/>
    <x v="636"/>
    <s v="jdymokeje@prnewswire.com"/>
    <x v="1"/>
    <x v="2"/>
    <s v="D"/>
    <x v="3"/>
    <n v="2.9849999999999999"/>
    <x v="8"/>
    <x v="2"/>
    <x v="2"/>
    <x v="1"/>
  </r>
  <r>
    <s v="KHZ-26264-253"/>
    <x v="160"/>
    <x v="696"/>
    <s v="L-L-0.2"/>
    <n v="6"/>
    <x v="696"/>
    <s v="fconstancekz@ifeng.com"/>
    <x v="0"/>
    <x v="3"/>
    <s v="L"/>
    <x v="3"/>
    <n v="4.7549999999999999"/>
    <x v="32"/>
    <x v="3"/>
    <x v="1"/>
    <x v="1"/>
  </r>
  <r>
    <s v="AAQ-13644-699"/>
    <x v="567"/>
    <x v="697"/>
    <s v="R-D-1"/>
    <n v="4"/>
    <x v="697"/>
    <s v="fsulmanl0@washington.edu"/>
    <x v="0"/>
    <x v="0"/>
    <s v="D"/>
    <x v="0"/>
    <n v="8.9499999999999993"/>
    <x v="191"/>
    <x v="0"/>
    <x v="2"/>
    <x v="0"/>
  </r>
  <r>
    <s v="LWL-68108-794"/>
    <x v="568"/>
    <x v="698"/>
    <s v="A-D-0.5"/>
    <n v="3"/>
    <x v="698"/>
    <s v="dhollymanl1@ibm.com"/>
    <x v="0"/>
    <x v="2"/>
    <s v="D"/>
    <x v="1"/>
    <n v="5.97"/>
    <x v="8"/>
    <x v="2"/>
    <x v="2"/>
    <x v="0"/>
  </r>
  <r>
    <s v="JQT-14347-517"/>
    <x v="569"/>
    <x v="699"/>
    <s v="R-D-1"/>
    <n v="1"/>
    <x v="699"/>
    <s v="lnardonil2@hao123.com"/>
    <x v="0"/>
    <x v="0"/>
    <s v="D"/>
    <x v="0"/>
    <n v="8.9499999999999993"/>
    <x v="192"/>
    <x v="0"/>
    <x v="2"/>
    <x v="1"/>
  </r>
  <r>
    <s v="BMM-86471-923"/>
    <x v="570"/>
    <x v="700"/>
    <s v="L-D-2.5"/>
    <n v="1"/>
    <x v="700"/>
    <s v="dyarhaml3@moonfruit.com"/>
    <x v="0"/>
    <x v="3"/>
    <s v="D"/>
    <x v="2"/>
    <n v="29.784999999999997"/>
    <x v="91"/>
    <x v="3"/>
    <x v="2"/>
    <x v="0"/>
  </r>
  <r>
    <s v="IXU-67272-326"/>
    <x v="571"/>
    <x v="701"/>
    <s v="E-L-0.5"/>
    <n v="5"/>
    <x v="701"/>
    <s v="aferreal4@wikia.com"/>
    <x v="0"/>
    <x v="1"/>
    <s v="L"/>
    <x v="1"/>
    <n v="8.91"/>
    <x v="69"/>
    <x v="1"/>
    <x v="1"/>
    <x v="1"/>
  </r>
  <r>
    <s v="ITE-28312-615"/>
    <x v="139"/>
    <x v="702"/>
    <s v="E-L-1"/>
    <n v="6"/>
    <x v="702"/>
    <s v="ckendrickl5@webnode.com"/>
    <x v="0"/>
    <x v="1"/>
    <s v="L"/>
    <x v="0"/>
    <n v="14.85"/>
    <x v="146"/>
    <x v="1"/>
    <x v="1"/>
    <x v="0"/>
  </r>
  <r>
    <s v="ZHQ-30471-635"/>
    <x v="303"/>
    <x v="703"/>
    <s v="L-M-0.5"/>
    <n v="5"/>
    <x v="703"/>
    <s v="sdanilchikl6@mit.edu"/>
    <x v="2"/>
    <x v="3"/>
    <s v="M"/>
    <x v="1"/>
    <n v="8.73"/>
    <x v="34"/>
    <x v="3"/>
    <x v="0"/>
    <x v="1"/>
  </r>
  <r>
    <s v="LTP-31133-134"/>
    <x v="572"/>
    <x v="704"/>
    <s v="A-L-0.5"/>
    <n v="3"/>
    <x v="704"/>
    <n v="0"/>
    <x v="0"/>
    <x v="2"/>
    <s v="L"/>
    <x v="1"/>
    <n v="7.77"/>
    <x v="102"/>
    <x v="2"/>
    <x v="1"/>
    <x v="1"/>
  </r>
  <r>
    <s v="ZVQ-26122-859"/>
    <x v="573"/>
    <x v="705"/>
    <s v="A-L-2.5"/>
    <n v="6"/>
    <x v="705"/>
    <s v="bfolomkinl8@yolasite.com"/>
    <x v="0"/>
    <x v="2"/>
    <s v="L"/>
    <x v="2"/>
    <n v="29.784999999999997"/>
    <x v="39"/>
    <x v="2"/>
    <x v="1"/>
    <x v="0"/>
  </r>
  <r>
    <s v="MIU-01481-194"/>
    <x v="574"/>
    <x v="706"/>
    <s v="R-M-1"/>
    <n v="6"/>
    <x v="706"/>
    <s v="rpursglovel9@biblegateway.com"/>
    <x v="0"/>
    <x v="0"/>
    <s v="M"/>
    <x v="0"/>
    <n v="9.9499999999999993"/>
    <x v="33"/>
    <x v="0"/>
    <x v="0"/>
    <x v="0"/>
  </r>
  <r>
    <s v="MIU-01481-194"/>
    <x v="574"/>
    <x v="706"/>
    <s v="A-L-0.5"/>
    <n v="2"/>
    <x v="706"/>
    <s v="rpursglovel9@biblegateway.com"/>
    <x v="0"/>
    <x v="2"/>
    <s v="L"/>
    <x v="1"/>
    <n v="7.77"/>
    <x v="42"/>
    <x v="2"/>
    <x v="1"/>
    <x v="0"/>
  </r>
  <r>
    <s v="UEA-72681-629"/>
    <x v="455"/>
    <x v="696"/>
    <s v="A-L-2.5"/>
    <n v="3"/>
    <x v="696"/>
    <s v="fconstancekz@ifeng.com"/>
    <x v="0"/>
    <x v="2"/>
    <s v="L"/>
    <x v="2"/>
    <n v="29.784999999999997"/>
    <x v="49"/>
    <x v="2"/>
    <x v="1"/>
    <x v="1"/>
  </r>
  <r>
    <s v="CVE-15042-481"/>
    <x v="575"/>
    <x v="696"/>
    <s v="R-L-1"/>
    <n v="2"/>
    <x v="696"/>
    <s v="fconstancekz@ifeng.com"/>
    <x v="0"/>
    <x v="0"/>
    <s v="L"/>
    <x v="0"/>
    <n v="11.95"/>
    <x v="178"/>
    <x v="0"/>
    <x v="1"/>
    <x v="1"/>
  </r>
  <r>
    <s v="EJA-79176-833"/>
    <x v="576"/>
    <x v="707"/>
    <s v="R-M-2.5"/>
    <n v="6"/>
    <x v="707"/>
    <s v="deburahld@google.co.jp"/>
    <x v="2"/>
    <x v="0"/>
    <s v="M"/>
    <x v="2"/>
    <n v="22.884999999999998"/>
    <x v="170"/>
    <x v="0"/>
    <x v="0"/>
    <x v="1"/>
  </r>
  <r>
    <s v="AHQ-40440-522"/>
    <x v="577"/>
    <x v="708"/>
    <s v="A-D-1"/>
    <n v="1"/>
    <x v="708"/>
    <s v="mbrimilcombele@cnn.com"/>
    <x v="0"/>
    <x v="2"/>
    <s v="D"/>
    <x v="0"/>
    <n v="9.9499999999999993"/>
    <x v="138"/>
    <x v="2"/>
    <x v="2"/>
    <x v="1"/>
  </r>
  <r>
    <s v="TID-21626-411"/>
    <x v="578"/>
    <x v="709"/>
    <s v="R-L-0.5"/>
    <n v="3"/>
    <x v="709"/>
    <s v="sbollamlf@list-manage.com"/>
    <x v="0"/>
    <x v="0"/>
    <s v="L"/>
    <x v="1"/>
    <n v="7.169999999999999"/>
    <x v="137"/>
    <x v="0"/>
    <x v="1"/>
    <x v="1"/>
  </r>
  <r>
    <s v="RSR-96390-187"/>
    <x v="579"/>
    <x v="710"/>
    <s v="E-M-1"/>
    <n v="6"/>
    <x v="710"/>
    <n v="0"/>
    <x v="0"/>
    <x v="1"/>
    <s v="M"/>
    <x v="0"/>
    <n v="13.75"/>
    <x v="121"/>
    <x v="1"/>
    <x v="0"/>
    <x v="1"/>
  </r>
  <r>
    <s v="BZE-96093-118"/>
    <x v="91"/>
    <x v="711"/>
    <s v="L-M-0.2"/>
    <n v="2"/>
    <x v="711"/>
    <s v="afilipczaklh@ning.com"/>
    <x v="1"/>
    <x v="3"/>
    <s v="M"/>
    <x v="3"/>
    <n v="4.3650000000000002"/>
    <x v="31"/>
    <x v="3"/>
    <x v="0"/>
    <x v="1"/>
  </r>
  <r>
    <s v="LOU-41819-242"/>
    <x v="272"/>
    <x v="712"/>
    <s v="R-M-1"/>
    <n v="2"/>
    <x v="712"/>
    <n v="0"/>
    <x v="0"/>
    <x v="0"/>
    <s v="M"/>
    <x v="0"/>
    <n v="9.9499999999999993"/>
    <x v="0"/>
    <x v="0"/>
    <x v="0"/>
    <x v="0"/>
  </r>
  <r>
    <s v="FND-99527-640"/>
    <x v="65"/>
    <x v="713"/>
    <s v="E-L-0.5"/>
    <n v="2"/>
    <x v="713"/>
    <s v="relnaughlj@comsenz.com"/>
    <x v="0"/>
    <x v="1"/>
    <s v="L"/>
    <x v="1"/>
    <n v="8.91"/>
    <x v="58"/>
    <x v="1"/>
    <x v="1"/>
    <x v="0"/>
  </r>
  <r>
    <s v="ASG-27179-958"/>
    <x v="580"/>
    <x v="714"/>
    <s v="A-M-0.5"/>
    <n v="3"/>
    <x v="714"/>
    <s v="jdeehanlk@about.me"/>
    <x v="0"/>
    <x v="2"/>
    <s v="M"/>
    <x v="1"/>
    <n v="6.75"/>
    <x v="16"/>
    <x v="2"/>
    <x v="0"/>
    <x v="1"/>
  </r>
  <r>
    <s v="YKX-23510-272"/>
    <x v="581"/>
    <x v="715"/>
    <s v="A-L-2.5"/>
    <n v="2"/>
    <x v="715"/>
    <s v="jedenll@e-recht24.de"/>
    <x v="0"/>
    <x v="2"/>
    <s v="L"/>
    <x v="2"/>
    <n v="29.784999999999997"/>
    <x v="120"/>
    <x v="2"/>
    <x v="1"/>
    <x v="1"/>
  </r>
  <r>
    <s v="FSA-98650-921"/>
    <x v="489"/>
    <x v="716"/>
    <s v="L-L-0.5"/>
    <n v="2"/>
    <x v="716"/>
    <s v="cjewsterlu@moonfruit.com"/>
    <x v="0"/>
    <x v="3"/>
    <s v="L"/>
    <x v="1"/>
    <n v="9.51"/>
    <x v="81"/>
    <x v="3"/>
    <x v="1"/>
    <x v="0"/>
  </r>
  <r>
    <s v="ZUR-55774-294"/>
    <x v="234"/>
    <x v="717"/>
    <s v="L-D-1"/>
    <n v="6"/>
    <x v="717"/>
    <s v="usoutherdenln@hao123.com"/>
    <x v="0"/>
    <x v="3"/>
    <s v="D"/>
    <x v="0"/>
    <n v="12.95"/>
    <x v="17"/>
    <x v="3"/>
    <x v="2"/>
    <x v="0"/>
  </r>
  <r>
    <s v="FUO-99821-974"/>
    <x v="175"/>
    <x v="718"/>
    <s v="E-M-1"/>
    <n v="3"/>
    <x v="718"/>
    <n v="0"/>
    <x v="0"/>
    <x v="1"/>
    <s v="M"/>
    <x v="0"/>
    <n v="13.75"/>
    <x v="1"/>
    <x v="1"/>
    <x v="0"/>
    <x v="1"/>
  </r>
  <r>
    <s v="YVH-19865-819"/>
    <x v="582"/>
    <x v="719"/>
    <s v="L-L-2.5"/>
    <n v="4"/>
    <x v="719"/>
    <s v="lburtenshawlp@shinystat.com"/>
    <x v="0"/>
    <x v="3"/>
    <s v="L"/>
    <x v="2"/>
    <n v="36.454999999999998"/>
    <x v="43"/>
    <x v="3"/>
    <x v="1"/>
    <x v="1"/>
  </r>
  <r>
    <s v="NNF-47422-501"/>
    <x v="583"/>
    <x v="720"/>
    <s v="E-L-0.2"/>
    <n v="6"/>
    <x v="720"/>
    <s v="agregorattilq@vistaprint.com"/>
    <x v="1"/>
    <x v="1"/>
    <s v="L"/>
    <x v="3"/>
    <n v="4.4550000000000001"/>
    <x v="149"/>
    <x v="1"/>
    <x v="1"/>
    <x v="1"/>
  </r>
  <r>
    <s v="RJI-71409-490"/>
    <x v="548"/>
    <x v="721"/>
    <s v="L-M-0.5"/>
    <n v="5"/>
    <x v="721"/>
    <s v="ccrosterlr@gov.uk"/>
    <x v="0"/>
    <x v="3"/>
    <s v="M"/>
    <x v="1"/>
    <n v="8.73"/>
    <x v="34"/>
    <x v="3"/>
    <x v="0"/>
    <x v="0"/>
  </r>
  <r>
    <s v="UZL-46108-213"/>
    <x v="584"/>
    <x v="722"/>
    <s v="L-L-1"/>
    <n v="2"/>
    <x v="722"/>
    <s v="gwhiteheadls@hp.com"/>
    <x v="0"/>
    <x v="3"/>
    <s v="L"/>
    <x v="0"/>
    <n v="15.85"/>
    <x v="124"/>
    <x v="3"/>
    <x v="1"/>
    <x v="1"/>
  </r>
  <r>
    <s v="AOX-44467-109"/>
    <x v="64"/>
    <x v="723"/>
    <s v="A-D-2.5"/>
    <n v="1"/>
    <x v="723"/>
    <s v="hjodrellelt@samsung.com"/>
    <x v="0"/>
    <x v="2"/>
    <s v="D"/>
    <x v="2"/>
    <n v="22.884999999999998"/>
    <x v="156"/>
    <x v="2"/>
    <x v="2"/>
    <x v="1"/>
  </r>
  <r>
    <s v="TZD-67261-174"/>
    <x v="585"/>
    <x v="716"/>
    <s v="E-D-2.5"/>
    <n v="1"/>
    <x v="716"/>
    <s v="cjewsterlu@moonfruit.com"/>
    <x v="0"/>
    <x v="1"/>
    <s v="D"/>
    <x v="2"/>
    <n v="27.945"/>
    <x v="140"/>
    <x v="1"/>
    <x v="2"/>
    <x v="0"/>
  </r>
  <r>
    <s v="TBU-64277-625"/>
    <x v="32"/>
    <x v="724"/>
    <s v="E-M-1"/>
    <n v="6"/>
    <x v="724"/>
    <n v="0"/>
    <x v="0"/>
    <x v="1"/>
    <s v="M"/>
    <x v="0"/>
    <n v="13.75"/>
    <x v="121"/>
    <x v="1"/>
    <x v="0"/>
    <x v="0"/>
  </r>
  <r>
    <s v="TYP-85767-944"/>
    <x v="586"/>
    <x v="725"/>
    <s v="R-M-2.5"/>
    <n v="2"/>
    <x v="725"/>
    <s v="knottramlw@odnoklassniki.ru"/>
    <x v="1"/>
    <x v="0"/>
    <s v="M"/>
    <x v="2"/>
    <n v="22.884999999999998"/>
    <x v="135"/>
    <x v="0"/>
    <x v="0"/>
    <x v="0"/>
  </r>
  <r>
    <s v="GTT-73214-334"/>
    <x v="535"/>
    <x v="726"/>
    <s v="A-L-1"/>
    <n v="6"/>
    <x v="726"/>
    <s v="nbuneylx@jugem.jp"/>
    <x v="0"/>
    <x v="2"/>
    <s v="L"/>
    <x v="0"/>
    <n v="12.95"/>
    <x v="17"/>
    <x v="2"/>
    <x v="1"/>
    <x v="1"/>
  </r>
  <r>
    <s v="WAI-89905-069"/>
    <x v="587"/>
    <x v="727"/>
    <s v="A-L-0.5"/>
    <n v="3"/>
    <x v="727"/>
    <s v="smcshealy@photobucket.com"/>
    <x v="0"/>
    <x v="2"/>
    <s v="L"/>
    <x v="1"/>
    <n v="7.77"/>
    <x v="102"/>
    <x v="2"/>
    <x v="1"/>
    <x v="1"/>
  </r>
  <r>
    <s v="OJL-96844-459"/>
    <x v="393"/>
    <x v="728"/>
    <s v="L-L-0.2"/>
    <n v="5"/>
    <x v="728"/>
    <s v="khuddartlz@about.com"/>
    <x v="0"/>
    <x v="3"/>
    <s v="L"/>
    <x v="3"/>
    <n v="4.7549999999999999"/>
    <x v="29"/>
    <x v="3"/>
    <x v="1"/>
    <x v="0"/>
  </r>
  <r>
    <s v="VGI-33205-360"/>
    <x v="588"/>
    <x v="729"/>
    <s v="L-M-0.5"/>
    <n v="6"/>
    <x v="729"/>
    <s v="jgippesm0@cloudflare.com"/>
    <x v="2"/>
    <x v="3"/>
    <s v="M"/>
    <x v="1"/>
    <n v="8.73"/>
    <x v="28"/>
    <x v="3"/>
    <x v="0"/>
    <x v="0"/>
  </r>
  <r>
    <s v="PCA-14081-576"/>
    <x v="15"/>
    <x v="730"/>
    <s v="R-L-0.2"/>
    <n v="5"/>
    <x v="730"/>
    <s v="lwhittleseem1@e-recht24.de"/>
    <x v="0"/>
    <x v="0"/>
    <s v="L"/>
    <x v="3"/>
    <n v="3.5849999999999995"/>
    <x v="131"/>
    <x v="0"/>
    <x v="1"/>
    <x v="1"/>
  </r>
  <r>
    <s v="SCS-67069-962"/>
    <x v="507"/>
    <x v="731"/>
    <s v="A-L-2.5"/>
    <n v="5"/>
    <x v="731"/>
    <s v="gtrengrovem2@elpais.com"/>
    <x v="0"/>
    <x v="2"/>
    <s v="L"/>
    <x v="2"/>
    <n v="29.784999999999997"/>
    <x v="74"/>
    <x v="2"/>
    <x v="1"/>
    <x v="1"/>
  </r>
  <r>
    <s v="BDM-03174-485"/>
    <x v="533"/>
    <x v="732"/>
    <s v="R-L-0.5"/>
    <n v="4"/>
    <x v="732"/>
    <s v="wcalderom3@stumbleupon.com"/>
    <x v="0"/>
    <x v="0"/>
    <s v="L"/>
    <x v="1"/>
    <n v="7.169999999999999"/>
    <x v="139"/>
    <x v="0"/>
    <x v="1"/>
    <x v="1"/>
  </r>
  <r>
    <s v="UJV-32333-364"/>
    <x v="589"/>
    <x v="733"/>
    <s v="L-L-0.5"/>
    <n v="1"/>
    <x v="733"/>
    <n v="0"/>
    <x v="0"/>
    <x v="3"/>
    <s v="L"/>
    <x v="1"/>
    <n v="9.51"/>
    <x v="54"/>
    <x v="3"/>
    <x v="1"/>
    <x v="1"/>
  </r>
  <r>
    <s v="FLI-11493-954"/>
    <x v="590"/>
    <x v="734"/>
    <s v="A-L-0.5"/>
    <n v="4"/>
    <x v="734"/>
    <s v="jkennicottm5@yahoo.co.jp"/>
    <x v="0"/>
    <x v="2"/>
    <s v="L"/>
    <x v="1"/>
    <n v="7.77"/>
    <x v="113"/>
    <x v="2"/>
    <x v="1"/>
    <x v="1"/>
  </r>
  <r>
    <s v="IWL-13117-537"/>
    <x v="457"/>
    <x v="735"/>
    <s v="R-D-0.2"/>
    <n v="3"/>
    <x v="735"/>
    <s v="gruggenm6@nymag.com"/>
    <x v="0"/>
    <x v="0"/>
    <s v="D"/>
    <x v="3"/>
    <n v="2.6849999999999996"/>
    <x v="36"/>
    <x v="0"/>
    <x v="2"/>
    <x v="0"/>
  </r>
  <r>
    <s v="OAM-76916-748"/>
    <x v="591"/>
    <x v="736"/>
    <s v="E-D-1"/>
    <n v="3"/>
    <x v="736"/>
    <n v="0"/>
    <x v="0"/>
    <x v="1"/>
    <s v="D"/>
    <x v="0"/>
    <n v="12.15"/>
    <x v="114"/>
    <x v="1"/>
    <x v="2"/>
    <x v="0"/>
  </r>
  <r>
    <s v="UMB-11223-710"/>
    <x v="592"/>
    <x v="737"/>
    <s v="R-D-0.2"/>
    <n v="6"/>
    <x v="737"/>
    <s v="mfrightm8@harvard.edu"/>
    <x v="1"/>
    <x v="0"/>
    <s v="D"/>
    <x v="3"/>
    <n v="2.6849999999999996"/>
    <x v="103"/>
    <x v="0"/>
    <x v="2"/>
    <x v="1"/>
  </r>
  <r>
    <s v="LXR-09892-726"/>
    <x v="402"/>
    <x v="738"/>
    <s v="R-D-2.5"/>
    <n v="2"/>
    <x v="738"/>
    <s v="btartem9@aol.com"/>
    <x v="0"/>
    <x v="0"/>
    <s v="D"/>
    <x v="2"/>
    <n v="20.584999999999997"/>
    <x v="13"/>
    <x v="0"/>
    <x v="2"/>
    <x v="0"/>
  </r>
  <r>
    <s v="QXX-89943-393"/>
    <x v="593"/>
    <x v="739"/>
    <s v="R-D-0.2"/>
    <n v="4"/>
    <x v="739"/>
    <s v="ckrzysztofiakma@skyrock.com"/>
    <x v="0"/>
    <x v="0"/>
    <s v="D"/>
    <x v="3"/>
    <n v="2.6849999999999996"/>
    <x v="175"/>
    <x v="0"/>
    <x v="2"/>
    <x v="1"/>
  </r>
  <r>
    <s v="WVS-57822-366"/>
    <x v="594"/>
    <x v="740"/>
    <s v="E-M-2.5"/>
    <n v="4"/>
    <x v="740"/>
    <s v="dpenquetmb@diigo.com"/>
    <x v="0"/>
    <x v="1"/>
    <s v="M"/>
    <x v="2"/>
    <n v="31.624999999999996"/>
    <x v="177"/>
    <x v="1"/>
    <x v="0"/>
    <x v="1"/>
  </r>
  <r>
    <s v="CLJ-23403-689"/>
    <x v="77"/>
    <x v="741"/>
    <s v="R-L-1"/>
    <n v="2"/>
    <x v="741"/>
    <n v="0"/>
    <x v="2"/>
    <x v="0"/>
    <s v="L"/>
    <x v="0"/>
    <n v="11.95"/>
    <x v="178"/>
    <x v="0"/>
    <x v="1"/>
    <x v="1"/>
  </r>
  <r>
    <s v="XNU-83276-288"/>
    <x v="595"/>
    <x v="742"/>
    <s v="R-M-0.5"/>
    <n v="1"/>
    <x v="742"/>
    <n v="0"/>
    <x v="0"/>
    <x v="0"/>
    <s v="M"/>
    <x v="1"/>
    <n v="5.97"/>
    <x v="9"/>
    <x v="0"/>
    <x v="0"/>
    <x v="1"/>
  </r>
  <r>
    <s v="YOG-94666-679"/>
    <x v="596"/>
    <x v="743"/>
    <s v="L-D-0.2"/>
    <n v="2"/>
    <x v="743"/>
    <n v="0"/>
    <x v="2"/>
    <x v="3"/>
    <s v="D"/>
    <x v="3"/>
    <n v="3.8849999999999998"/>
    <x v="41"/>
    <x v="3"/>
    <x v="2"/>
    <x v="0"/>
  </r>
  <r>
    <s v="KHG-33953-115"/>
    <x v="514"/>
    <x v="744"/>
    <s v="L-D-0.5"/>
    <n v="3"/>
    <x v="744"/>
    <s v="kferrettimf@huffingtonpost.com"/>
    <x v="1"/>
    <x v="3"/>
    <s v="D"/>
    <x v="1"/>
    <n v="7.77"/>
    <x v="102"/>
    <x v="3"/>
    <x v="2"/>
    <x v="1"/>
  </r>
  <r>
    <s v="MHD-95615-696"/>
    <x v="54"/>
    <x v="745"/>
    <s v="R-L-2.5"/>
    <n v="5"/>
    <x v="745"/>
    <n v="0"/>
    <x v="0"/>
    <x v="0"/>
    <s v="L"/>
    <x v="2"/>
    <n v="27.484999999999996"/>
    <x v="187"/>
    <x v="0"/>
    <x v="1"/>
    <x v="1"/>
  </r>
  <r>
    <s v="HBH-64794-080"/>
    <x v="597"/>
    <x v="746"/>
    <s v="R-D-0.2"/>
    <n v="3"/>
    <x v="746"/>
    <n v="0"/>
    <x v="0"/>
    <x v="0"/>
    <s v="D"/>
    <x v="3"/>
    <n v="2.6849999999999996"/>
    <x v="36"/>
    <x v="0"/>
    <x v="2"/>
    <x v="0"/>
  </r>
  <r>
    <s v="CNJ-56058-223"/>
    <x v="105"/>
    <x v="747"/>
    <s v="L-L-0.5"/>
    <n v="3"/>
    <x v="747"/>
    <s v="abalsdonemi@toplist.cz"/>
    <x v="0"/>
    <x v="3"/>
    <s v="L"/>
    <x v="1"/>
    <n v="9.51"/>
    <x v="32"/>
    <x v="3"/>
    <x v="1"/>
    <x v="1"/>
  </r>
  <r>
    <s v="KHO-27106-786"/>
    <x v="210"/>
    <x v="748"/>
    <s v="A-M-1"/>
    <n v="6"/>
    <x v="748"/>
    <s v="bromeramj@list-manage.com"/>
    <x v="1"/>
    <x v="2"/>
    <s v="M"/>
    <x v="0"/>
    <n v="11.25"/>
    <x v="173"/>
    <x v="2"/>
    <x v="0"/>
    <x v="0"/>
  </r>
  <r>
    <s v="KHO-27106-786"/>
    <x v="210"/>
    <x v="748"/>
    <s v="L-D-2.5"/>
    <n v="6"/>
    <x v="748"/>
    <s v="bromeramj@list-manage.com"/>
    <x v="1"/>
    <x v="3"/>
    <s v="D"/>
    <x v="2"/>
    <n v="29.784999999999997"/>
    <x v="39"/>
    <x v="3"/>
    <x v="2"/>
    <x v="0"/>
  </r>
  <r>
    <s v="YAC-50329-982"/>
    <x v="598"/>
    <x v="749"/>
    <s v="E-M-2.5"/>
    <n v="1"/>
    <x v="749"/>
    <s v="cbrydeml@tuttocitta.it"/>
    <x v="0"/>
    <x v="1"/>
    <s v="M"/>
    <x v="2"/>
    <n v="31.624999999999996"/>
    <x v="176"/>
    <x v="1"/>
    <x v="0"/>
    <x v="0"/>
  </r>
  <r>
    <s v="VVL-95291-039"/>
    <x v="360"/>
    <x v="750"/>
    <s v="E-L-0.2"/>
    <n v="2"/>
    <x v="750"/>
    <s v="senefermm@blog.com"/>
    <x v="0"/>
    <x v="1"/>
    <s v="L"/>
    <x v="3"/>
    <n v="4.4550000000000001"/>
    <x v="161"/>
    <x v="1"/>
    <x v="1"/>
    <x v="1"/>
  </r>
  <r>
    <s v="VUT-20974-364"/>
    <x v="62"/>
    <x v="751"/>
    <s v="R-M-0.5"/>
    <n v="6"/>
    <x v="751"/>
    <s v="lhaggerstonemn@independent.co.uk"/>
    <x v="0"/>
    <x v="0"/>
    <s v="M"/>
    <x v="1"/>
    <n v="5.97"/>
    <x v="27"/>
    <x v="0"/>
    <x v="0"/>
    <x v="1"/>
  </r>
  <r>
    <s v="SFC-34054-213"/>
    <x v="599"/>
    <x v="752"/>
    <s v="L-L-0.5"/>
    <n v="4"/>
    <x v="752"/>
    <s v="mgundrymo@omniture.com"/>
    <x v="1"/>
    <x v="3"/>
    <s v="L"/>
    <x v="1"/>
    <n v="9.51"/>
    <x v="82"/>
    <x v="3"/>
    <x v="1"/>
    <x v="1"/>
  </r>
  <r>
    <s v="UDS-04807-593"/>
    <x v="600"/>
    <x v="753"/>
    <s v="L-D-0.5"/>
    <n v="2"/>
    <x v="753"/>
    <s v="bwellanmp@cafepress.com"/>
    <x v="0"/>
    <x v="3"/>
    <s v="D"/>
    <x v="1"/>
    <n v="7.77"/>
    <x v="42"/>
    <x v="3"/>
    <x v="2"/>
    <x v="1"/>
  </r>
  <r>
    <s v="FWE-98471-488"/>
    <x v="601"/>
    <x v="745"/>
    <s v="L-L-1"/>
    <n v="5"/>
    <x v="745"/>
    <n v="0"/>
    <x v="0"/>
    <x v="3"/>
    <s v="L"/>
    <x v="0"/>
    <n v="15.85"/>
    <x v="180"/>
    <x v="3"/>
    <x v="1"/>
    <x v="1"/>
  </r>
  <r>
    <s v="RAU-17060-674"/>
    <x v="602"/>
    <x v="754"/>
    <s v="L-L-0.2"/>
    <n v="1"/>
    <x v="754"/>
    <s v="catchesonmr@xinhuanet.com"/>
    <x v="0"/>
    <x v="3"/>
    <s v="L"/>
    <x v="3"/>
    <n v="4.7549999999999999"/>
    <x v="7"/>
    <x v="3"/>
    <x v="1"/>
    <x v="0"/>
  </r>
  <r>
    <s v="AOL-13866-711"/>
    <x v="603"/>
    <x v="755"/>
    <s v="E-M-1"/>
    <n v="4"/>
    <x v="755"/>
    <s v="estentonms@google.it"/>
    <x v="0"/>
    <x v="1"/>
    <s v="M"/>
    <x v="0"/>
    <n v="13.75"/>
    <x v="193"/>
    <x v="1"/>
    <x v="0"/>
    <x v="0"/>
  </r>
  <r>
    <s v="NOA-79645-377"/>
    <x v="604"/>
    <x v="756"/>
    <s v="R-D-0.5"/>
    <n v="5"/>
    <x v="756"/>
    <s v="etrippmt@wp.com"/>
    <x v="0"/>
    <x v="0"/>
    <s v="D"/>
    <x v="1"/>
    <n v="5.3699999999999992"/>
    <x v="51"/>
    <x v="0"/>
    <x v="2"/>
    <x v="1"/>
  </r>
  <r>
    <s v="KMS-49214-806"/>
    <x v="605"/>
    <x v="757"/>
    <s v="E-L-2.5"/>
    <n v="4"/>
    <x v="757"/>
    <s v="lmacmanusmu@imdb.com"/>
    <x v="0"/>
    <x v="1"/>
    <s v="L"/>
    <x v="2"/>
    <n v="34.154999999999994"/>
    <x v="56"/>
    <x v="1"/>
    <x v="1"/>
    <x v="1"/>
  </r>
  <r>
    <s v="ABK-08091-531"/>
    <x v="606"/>
    <x v="758"/>
    <s v="L-L-1"/>
    <n v="3"/>
    <x v="758"/>
    <s v="tbenediktovichmv@ebay.com"/>
    <x v="0"/>
    <x v="3"/>
    <s v="L"/>
    <x v="0"/>
    <n v="15.85"/>
    <x v="46"/>
    <x v="3"/>
    <x v="1"/>
    <x v="0"/>
  </r>
  <r>
    <s v="GPT-67705-953"/>
    <x v="446"/>
    <x v="759"/>
    <s v="A-M-0.2"/>
    <n v="5"/>
    <x v="759"/>
    <s v="cbournermw@chronoengine.com"/>
    <x v="0"/>
    <x v="2"/>
    <s v="M"/>
    <x v="3"/>
    <n v="3.375"/>
    <x v="19"/>
    <x v="2"/>
    <x v="0"/>
    <x v="0"/>
  </r>
  <r>
    <s v="JNA-21450-177"/>
    <x v="18"/>
    <x v="760"/>
    <s v="A-D-1"/>
    <n v="3"/>
    <x v="760"/>
    <s v="oskermen3@hatena.ne.jp"/>
    <x v="0"/>
    <x v="2"/>
    <s v="D"/>
    <x v="0"/>
    <n v="9.9499999999999993"/>
    <x v="44"/>
    <x v="2"/>
    <x v="2"/>
    <x v="0"/>
  </r>
  <r>
    <s v="MPQ-23421-608"/>
    <x v="180"/>
    <x v="761"/>
    <s v="E-M-0.5"/>
    <n v="5"/>
    <x v="761"/>
    <s v="kheddanmy@icq.com"/>
    <x v="0"/>
    <x v="1"/>
    <s v="M"/>
    <x v="1"/>
    <n v="8.25"/>
    <x v="1"/>
    <x v="1"/>
    <x v="0"/>
    <x v="0"/>
  </r>
  <r>
    <s v="NLI-63891-565"/>
    <x v="580"/>
    <x v="762"/>
    <s v="E-M-0.2"/>
    <n v="5"/>
    <x v="762"/>
    <s v="ichartersmz@abc.net.au"/>
    <x v="0"/>
    <x v="1"/>
    <s v="M"/>
    <x v="3"/>
    <n v="4.125"/>
    <x v="132"/>
    <x v="1"/>
    <x v="0"/>
    <x v="1"/>
  </r>
  <r>
    <s v="HHF-36647-854"/>
    <x v="453"/>
    <x v="763"/>
    <s v="A-D-2.5"/>
    <n v="6"/>
    <x v="763"/>
    <s v="aroubertn0@tmall.com"/>
    <x v="0"/>
    <x v="2"/>
    <s v="D"/>
    <x v="2"/>
    <n v="22.884999999999998"/>
    <x v="170"/>
    <x v="2"/>
    <x v="2"/>
    <x v="0"/>
  </r>
  <r>
    <s v="SBN-16537-046"/>
    <x v="259"/>
    <x v="764"/>
    <s v="A-D-0.2"/>
    <n v="1"/>
    <x v="764"/>
    <s v="hmairsn1@so-net.ne.jp"/>
    <x v="0"/>
    <x v="2"/>
    <s v="D"/>
    <x v="3"/>
    <n v="2.9849999999999999"/>
    <x v="55"/>
    <x v="2"/>
    <x v="2"/>
    <x v="1"/>
  </r>
  <r>
    <s v="XZD-44484-632"/>
    <x v="607"/>
    <x v="765"/>
    <s v="E-M-1"/>
    <n v="2"/>
    <x v="765"/>
    <s v="hrainforthn2@blog.com"/>
    <x v="0"/>
    <x v="1"/>
    <s v="M"/>
    <x v="0"/>
    <n v="13.75"/>
    <x v="3"/>
    <x v="1"/>
    <x v="0"/>
    <x v="1"/>
  </r>
  <r>
    <s v="XZD-44484-632"/>
    <x v="607"/>
    <x v="765"/>
    <s v="A-D-0.2"/>
    <n v="2"/>
    <x v="765"/>
    <s v="hrainforthn2@blog.com"/>
    <x v="0"/>
    <x v="2"/>
    <s v="D"/>
    <x v="3"/>
    <n v="2.9849999999999999"/>
    <x v="9"/>
    <x v="2"/>
    <x v="2"/>
    <x v="1"/>
  </r>
  <r>
    <s v="IKQ-39946-768"/>
    <x v="385"/>
    <x v="766"/>
    <s v="R-M-1"/>
    <n v="6"/>
    <x v="766"/>
    <s v="ijespern4@theglobeandmail.com"/>
    <x v="0"/>
    <x v="0"/>
    <s v="M"/>
    <x v="0"/>
    <n v="9.9499999999999993"/>
    <x v="33"/>
    <x v="0"/>
    <x v="0"/>
    <x v="1"/>
  </r>
  <r>
    <s v="KMB-95211-174"/>
    <x v="608"/>
    <x v="767"/>
    <s v="R-D-2.5"/>
    <n v="4"/>
    <x v="767"/>
    <s v="ldwerryhousen5@gravatar.com"/>
    <x v="0"/>
    <x v="0"/>
    <s v="D"/>
    <x v="2"/>
    <n v="20.584999999999997"/>
    <x v="18"/>
    <x v="0"/>
    <x v="2"/>
    <x v="0"/>
  </r>
  <r>
    <s v="QWY-99467-368"/>
    <x v="609"/>
    <x v="768"/>
    <s v="A-D-2.5"/>
    <n v="1"/>
    <x v="768"/>
    <s v="nbroomern6@examiner.com"/>
    <x v="0"/>
    <x v="2"/>
    <s v="D"/>
    <x v="2"/>
    <n v="22.884999999999998"/>
    <x v="156"/>
    <x v="2"/>
    <x v="2"/>
    <x v="1"/>
  </r>
  <r>
    <s v="SRG-76791-614"/>
    <x v="147"/>
    <x v="769"/>
    <s v="E-L-0.5"/>
    <n v="1"/>
    <x v="769"/>
    <s v="kthoumassonn7@bloglovin.com"/>
    <x v="0"/>
    <x v="1"/>
    <s v="L"/>
    <x v="1"/>
    <n v="8.91"/>
    <x v="161"/>
    <x v="1"/>
    <x v="1"/>
    <x v="0"/>
  </r>
  <r>
    <s v="VSN-94485-621"/>
    <x v="172"/>
    <x v="770"/>
    <s v="A-D-0.2"/>
    <n v="4"/>
    <x v="770"/>
    <s v="fhabberghamn8@discovery.com"/>
    <x v="0"/>
    <x v="2"/>
    <s v="D"/>
    <x v="3"/>
    <n v="2.9849999999999999"/>
    <x v="22"/>
    <x v="2"/>
    <x v="2"/>
    <x v="1"/>
  </r>
  <r>
    <s v="UFZ-24348-219"/>
    <x v="610"/>
    <x v="745"/>
    <s v="L-M-2.5"/>
    <n v="3"/>
    <x v="745"/>
    <n v="0"/>
    <x v="0"/>
    <x v="3"/>
    <s v="M"/>
    <x v="2"/>
    <n v="33.464999999999996"/>
    <x v="64"/>
    <x v="3"/>
    <x v="0"/>
    <x v="1"/>
  </r>
  <r>
    <s v="UKS-93055-397"/>
    <x v="611"/>
    <x v="771"/>
    <s v="A-D-2.5"/>
    <n v="5"/>
    <x v="771"/>
    <s v="ravrashinna@tamu.edu"/>
    <x v="0"/>
    <x v="2"/>
    <s v="D"/>
    <x v="2"/>
    <n v="22.884999999999998"/>
    <x v="15"/>
    <x v="2"/>
    <x v="2"/>
    <x v="1"/>
  </r>
  <r>
    <s v="AVH-56062-335"/>
    <x v="612"/>
    <x v="772"/>
    <s v="E-M-0.5"/>
    <n v="5"/>
    <x v="772"/>
    <s v="mdoidgenb@etsy.com"/>
    <x v="0"/>
    <x v="1"/>
    <s v="M"/>
    <x v="1"/>
    <n v="8.25"/>
    <x v="1"/>
    <x v="1"/>
    <x v="0"/>
    <x v="1"/>
  </r>
  <r>
    <s v="HGE-19842-613"/>
    <x v="613"/>
    <x v="773"/>
    <s v="R-L-0.5"/>
    <n v="4"/>
    <x v="773"/>
    <s v="jedinboronc@reverbnation.com"/>
    <x v="0"/>
    <x v="0"/>
    <s v="L"/>
    <x v="1"/>
    <n v="7.169999999999999"/>
    <x v="139"/>
    <x v="0"/>
    <x v="1"/>
    <x v="0"/>
  </r>
  <r>
    <s v="WBA-85905-175"/>
    <x v="611"/>
    <x v="774"/>
    <s v="L-M-0.2"/>
    <n v="1"/>
    <x v="774"/>
    <s v="ttewelsonnd@cdbaby.com"/>
    <x v="0"/>
    <x v="3"/>
    <s v="M"/>
    <x v="3"/>
    <n v="4.3650000000000002"/>
    <x v="189"/>
    <x v="3"/>
    <x v="0"/>
    <x v="1"/>
  </r>
  <r>
    <s v="DZI-35365-596"/>
    <x v="493"/>
    <x v="760"/>
    <s v="E-M-0.2"/>
    <n v="2"/>
    <x v="760"/>
    <s v="oskermen3@hatena.ne.jp"/>
    <x v="0"/>
    <x v="1"/>
    <s v="M"/>
    <x v="3"/>
    <n v="4.125"/>
    <x v="112"/>
    <x v="1"/>
    <x v="0"/>
    <x v="0"/>
  </r>
  <r>
    <s v="XIR-88982-743"/>
    <x v="614"/>
    <x v="775"/>
    <s v="E-M-0.2"/>
    <n v="2"/>
    <x v="775"/>
    <s v="ddrewittnf@mapquest.com"/>
    <x v="0"/>
    <x v="1"/>
    <s v="M"/>
    <x v="3"/>
    <n v="4.125"/>
    <x v="112"/>
    <x v="1"/>
    <x v="0"/>
    <x v="0"/>
  </r>
  <r>
    <s v="VUC-72395-865"/>
    <x v="151"/>
    <x v="776"/>
    <s v="A-D-0.5"/>
    <n v="6"/>
    <x v="776"/>
    <s v="agladhillng@stanford.edu"/>
    <x v="0"/>
    <x v="2"/>
    <s v="D"/>
    <x v="1"/>
    <n v="5.97"/>
    <x v="27"/>
    <x v="2"/>
    <x v="2"/>
    <x v="0"/>
  </r>
  <r>
    <s v="BQJ-44755-910"/>
    <x v="489"/>
    <x v="777"/>
    <s v="E-D-2.5"/>
    <n v="6"/>
    <x v="777"/>
    <s v="mlorineznh@whitehouse.gov"/>
    <x v="0"/>
    <x v="1"/>
    <s v="D"/>
    <x v="2"/>
    <n v="27.945"/>
    <x v="164"/>
    <x v="1"/>
    <x v="2"/>
    <x v="1"/>
  </r>
  <r>
    <s v="JKC-64636-831"/>
    <x v="615"/>
    <x v="778"/>
    <s v="A-M-2.5"/>
    <n v="2"/>
    <x v="778"/>
    <n v="0"/>
    <x v="0"/>
    <x v="2"/>
    <s v="M"/>
    <x v="2"/>
    <n v="25.874999999999996"/>
    <x v="95"/>
    <x v="2"/>
    <x v="0"/>
    <x v="0"/>
  </r>
  <r>
    <s v="ZKI-78561-066"/>
    <x v="616"/>
    <x v="779"/>
    <s v="A-D-0.2"/>
    <n v="3"/>
    <x v="779"/>
    <s v="mvannj@wikipedia.org"/>
    <x v="0"/>
    <x v="2"/>
    <s v="D"/>
    <x v="3"/>
    <n v="2.9849999999999999"/>
    <x v="169"/>
    <x v="2"/>
    <x v="2"/>
    <x v="0"/>
  </r>
  <r>
    <s v="IMP-12563-728"/>
    <x v="578"/>
    <x v="780"/>
    <s v="E-L-0.5"/>
    <n v="6"/>
    <x v="780"/>
    <n v="0"/>
    <x v="0"/>
    <x v="1"/>
    <s v="L"/>
    <x v="1"/>
    <n v="8.91"/>
    <x v="119"/>
    <x v="1"/>
    <x v="1"/>
    <x v="1"/>
  </r>
  <r>
    <s v="MZL-81126-390"/>
    <x v="617"/>
    <x v="781"/>
    <s v="A-L-0.2"/>
    <n v="6"/>
    <x v="781"/>
    <s v="jethelstonnl@creativecommons.org"/>
    <x v="0"/>
    <x v="2"/>
    <s v="L"/>
    <x v="3"/>
    <n v="3.8849999999999998"/>
    <x v="102"/>
    <x v="2"/>
    <x v="1"/>
    <x v="0"/>
  </r>
  <r>
    <s v="MZL-81126-390"/>
    <x v="617"/>
    <x v="781"/>
    <s v="A-M-0.2"/>
    <n v="2"/>
    <x v="781"/>
    <s v="jethelstonnl@creativecommons.org"/>
    <x v="0"/>
    <x v="2"/>
    <s v="M"/>
    <x v="3"/>
    <n v="3.375"/>
    <x v="52"/>
    <x v="2"/>
    <x v="0"/>
    <x v="0"/>
  </r>
  <r>
    <s v="TVF-57766-608"/>
    <x v="155"/>
    <x v="782"/>
    <s v="L-D-0.5"/>
    <n v="1"/>
    <x v="782"/>
    <s v="peberznn@woothemes.com"/>
    <x v="0"/>
    <x v="3"/>
    <s v="D"/>
    <x v="1"/>
    <n v="7.77"/>
    <x v="41"/>
    <x v="3"/>
    <x v="2"/>
    <x v="0"/>
  </r>
  <r>
    <s v="RUX-37995-892"/>
    <x v="461"/>
    <x v="783"/>
    <s v="L-D-2.5"/>
    <n v="4"/>
    <x v="783"/>
    <s v="bgaishno@altervista.org"/>
    <x v="0"/>
    <x v="3"/>
    <s v="D"/>
    <x v="2"/>
    <n v="29.784999999999997"/>
    <x v="129"/>
    <x v="3"/>
    <x v="2"/>
    <x v="0"/>
  </r>
  <r>
    <s v="AVK-76526-953"/>
    <x v="87"/>
    <x v="784"/>
    <s v="A-D-1"/>
    <n v="2"/>
    <x v="784"/>
    <s v="ldantonnp@miitbeian.gov.cn"/>
    <x v="0"/>
    <x v="2"/>
    <s v="D"/>
    <x v="0"/>
    <n v="9.9499999999999993"/>
    <x v="0"/>
    <x v="2"/>
    <x v="2"/>
    <x v="1"/>
  </r>
  <r>
    <s v="RIU-02231-623"/>
    <x v="618"/>
    <x v="785"/>
    <s v="R-L-0.5"/>
    <n v="5"/>
    <x v="785"/>
    <s v="smorrallnq@answers.com"/>
    <x v="0"/>
    <x v="0"/>
    <s v="L"/>
    <x v="1"/>
    <n v="7.169999999999999"/>
    <x v="66"/>
    <x v="0"/>
    <x v="1"/>
    <x v="0"/>
  </r>
  <r>
    <s v="WFK-99317-827"/>
    <x v="619"/>
    <x v="786"/>
    <s v="L-D-2.5"/>
    <n v="3"/>
    <x v="786"/>
    <s v="dcrownshawnr@photobucket.com"/>
    <x v="0"/>
    <x v="3"/>
    <s v="D"/>
    <x v="2"/>
    <n v="29.784999999999997"/>
    <x v="49"/>
    <x v="3"/>
    <x v="2"/>
    <x v="1"/>
  </r>
  <r>
    <s v="SFD-00372-284"/>
    <x v="440"/>
    <x v="760"/>
    <s v="L-M-0.2"/>
    <n v="2"/>
    <x v="760"/>
    <s v="oskermen3@hatena.ne.jp"/>
    <x v="0"/>
    <x v="3"/>
    <s v="M"/>
    <x v="3"/>
    <n v="4.3650000000000002"/>
    <x v="31"/>
    <x v="3"/>
    <x v="0"/>
    <x v="0"/>
  </r>
  <r>
    <s v="SXC-62166-515"/>
    <x v="489"/>
    <x v="787"/>
    <s v="R-L-2.5"/>
    <n v="5"/>
    <x v="787"/>
    <s v="jreddochnt@sun.com"/>
    <x v="0"/>
    <x v="0"/>
    <s v="L"/>
    <x v="2"/>
    <n v="27.484999999999996"/>
    <x v="187"/>
    <x v="0"/>
    <x v="1"/>
    <x v="1"/>
  </r>
  <r>
    <s v="YIE-87008-621"/>
    <x v="620"/>
    <x v="788"/>
    <s v="L-M-0.5"/>
    <n v="4"/>
    <x v="788"/>
    <s v="stitleynu@whitehouse.gov"/>
    <x v="0"/>
    <x v="3"/>
    <s v="M"/>
    <x v="1"/>
    <n v="8.73"/>
    <x v="190"/>
    <x v="3"/>
    <x v="0"/>
    <x v="1"/>
  </r>
  <r>
    <s v="HRM-94548-288"/>
    <x v="621"/>
    <x v="789"/>
    <s v="A-L-2.5"/>
    <n v="6"/>
    <x v="789"/>
    <s v="rsimaonv@simplemachines.org"/>
    <x v="0"/>
    <x v="2"/>
    <s v="L"/>
    <x v="2"/>
    <n v="29.784999999999997"/>
    <x v="39"/>
    <x v="2"/>
    <x v="1"/>
    <x v="1"/>
  </r>
  <r>
    <s v="UJG-34731-295"/>
    <x v="374"/>
    <x v="790"/>
    <s v="A-M-2.5"/>
    <n v="1"/>
    <x v="790"/>
    <n v="0"/>
    <x v="0"/>
    <x v="2"/>
    <s v="M"/>
    <x v="2"/>
    <n v="25.874999999999996"/>
    <x v="145"/>
    <x v="2"/>
    <x v="0"/>
    <x v="1"/>
  </r>
  <r>
    <s v="TWD-70988-853"/>
    <x v="345"/>
    <x v="791"/>
    <s v="L-D-1"/>
    <n v="6"/>
    <x v="791"/>
    <s v="nchisholmnx@example.com"/>
    <x v="0"/>
    <x v="3"/>
    <s v="D"/>
    <x v="0"/>
    <n v="12.95"/>
    <x v="17"/>
    <x v="3"/>
    <x v="2"/>
    <x v="0"/>
  </r>
  <r>
    <s v="CIX-22904-641"/>
    <x v="622"/>
    <x v="792"/>
    <s v="R-M-1"/>
    <n v="1"/>
    <x v="792"/>
    <s v="goatsny@live.com"/>
    <x v="0"/>
    <x v="0"/>
    <s v="M"/>
    <x v="0"/>
    <n v="9.9499999999999993"/>
    <x v="138"/>
    <x v="0"/>
    <x v="0"/>
    <x v="0"/>
  </r>
  <r>
    <s v="DLV-65840-759"/>
    <x v="623"/>
    <x v="793"/>
    <s v="L-M-1"/>
    <n v="2"/>
    <x v="793"/>
    <s v="mbirkinnz@java.com"/>
    <x v="0"/>
    <x v="3"/>
    <s v="M"/>
    <x v="0"/>
    <n v="14.55"/>
    <x v="194"/>
    <x v="3"/>
    <x v="0"/>
    <x v="0"/>
  </r>
  <r>
    <s v="RXN-55491-201"/>
    <x v="354"/>
    <x v="794"/>
    <s v="R-L-0.2"/>
    <n v="6"/>
    <x v="794"/>
    <s v="rpysono0@constantcontact.com"/>
    <x v="1"/>
    <x v="0"/>
    <s v="L"/>
    <x v="3"/>
    <n v="3.5849999999999995"/>
    <x v="137"/>
    <x v="0"/>
    <x v="1"/>
    <x v="1"/>
  </r>
  <r>
    <s v="UHK-63283-868"/>
    <x v="624"/>
    <x v="795"/>
    <s v="A-M-0.5"/>
    <n v="1"/>
    <x v="795"/>
    <s v="mmacconnechieo9@reuters.com"/>
    <x v="0"/>
    <x v="2"/>
    <s v="M"/>
    <x v="1"/>
    <n v="6.75"/>
    <x v="52"/>
    <x v="2"/>
    <x v="0"/>
    <x v="0"/>
  </r>
  <r>
    <s v="PJC-31401-893"/>
    <x v="561"/>
    <x v="796"/>
    <s v="A-D-0.5"/>
    <n v="3"/>
    <x v="796"/>
    <s v="rtreachero2@usa.gov"/>
    <x v="1"/>
    <x v="2"/>
    <s v="D"/>
    <x v="1"/>
    <n v="5.97"/>
    <x v="8"/>
    <x v="2"/>
    <x v="2"/>
    <x v="1"/>
  </r>
  <r>
    <s v="HHO-79903-185"/>
    <x v="42"/>
    <x v="797"/>
    <s v="A-L-2.5"/>
    <n v="1"/>
    <x v="797"/>
    <s v="bfattorinio3@quantcast.com"/>
    <x v="1"/>
    <x v="2"/>
    <s v="L"/>
    <x v="2"/>
    <n v="29.784999999999997"/>
    <x v="91"/>
    <x v="2"/>
    <x v="1"/>
    <x v="0"/>
  </r>
  <r>
    <s v="YWM-07310-594"/>
    <x v="267"/>
    <x v="798"/>
    <s v="E-M-0.5"/>
    <n v="5"/>
    <x v="798"/>
    <s v="mpalleskeo4@nyu.edu"/>
    <x v="0"/>
    <x v="1"/>
    <s v="M"/>
    <x v="1"/>
    <n v="8.25"/>
    <x v="1"/>
    <x v="1"/>
    <x v="0"/>
    <x v="0"/>
  </r>
  <r>
    <s v="FHD-94983-982"/>
    <x v="625"/>
    <x v="799"/>
    <s v="R-M-0.5"/>
    <n v="3"/>
    <x v="799"/>
    <n v="0"/>
    <x v="0"/>
    <x v="0"/>
    <s v="M"/>
    <x v="1"/>
    <n v="5.97"/>
    <x v="8"/>
    <x v="0"/>
    <x v="0"/>
    <x v="0"/>
  </r>
  <r>
    <s v="WQK-10857-119"/>
    <x v="616"/>
    <x v="800"/>
    <s v="E-D-0.5"/>
    <n v="1"/>
    <x v="800"/>
    <s v="fantcliffeo6@amazon.co.jp"/>
    <x v="1"/>
    <x v="1"/>
    <s v="D"/>
    <x v="1"/>
    <n v="7.29"/>
    <x v="35"/>
    <x v="1"/>
    <x v="2"/>
    <x v="0"/>
  </r>
  <r>
    <s v="DXA-50313-073"/>
    <x v="626"/>
    <x v="801"/>
    <s v="E-L-1"/>
    <n v="2"/>
    <x v="801"/>
    <s v="pmatignono7@harvard.edu"/>
    <x v="2"/>
    <x v="1"/>
    <s v="L"/>
    <x v="0"/>
    <n v="14.85"/>
    <x v="195"/>
    <x v="1"/>
    <x v="1"/>
    <x v="0"/>
  </r>
  <r>
    <s v="ONW-00560-570"/>
    <x v="52"/>
    <x v="802"/>
    <s v="A-M-1"/>
    <n v="2"/>
    <x v="802"/>
    <s v="cweondo8@theglobeandmail.com"/>
    <x v="0"/>
    <x v="2"/>
    <s v="M"/>
    <x v="0"/>
    <n v="11.25"/>
    <x v="122"/>
    <x v="2"/>
    <x v="0"/>
    <x v="1"/>
  </r>
  <r>
    <s v="BRJ-19414-277"/>
    <x v="622"/>
    <x v="795"/>
    <s v="R-M-0.2"/>
    <n v="4"/>
    <x v="795"/>
    <s v="mmacconnechieo9@reuters.com"/>
    <x v="0"/>
    <x v="0"/>
    <s v="M"/>
    <x v="3"/>
    <n v="2.9849999999999999"/>
    <x v="22"/>
    <x v="0"/>
    <x v="0"/>
    <x v="0"/>
  </r>
  <r>
    <s v="MIQ-16322-908"/>
    <x v="627"/>
    <x v="803"/>
    <s v="A-L-1"/>
    <n v="2"/>
    <x v="803"/>
    <s v="jskentelberyoa@paypal.com"/>
    <x v="0"/>
    <x v="2"/>
    <s v="L"/>
    <x v="0"/>
    <n v="12.95"/>
    <x v="109"/>
    <x v="2"/>
    <x v="1"/>
    <x v="1"/>
  </r>
  <r>
    <s v="MVO-39328-830"/>
    <x v="628"/>
    <x v="804"/>
    <s v="L-M-0.5"/>
    <n v="5"/>
    <x v="804"/>
    <s v="ocomberob@goo.gl"/>
    <x v="1"/>
    <x v="3"/>
    <s v="M"/>
    <x v="1"/>
    <n v="8.73"/>
    <x v="34"/>
    <x v="3"/>
    <x v="0"/>
    <x v="1"/>
  </r>
  <r>
    <s v="MVO-39328-830"/>
    <x v="628"/>
    <x v="804"/>
    <s v="A-L-0.5"/>
    <n v="6"/>
    <x v="804"/>
    <s v="ocomberob@goo.gl"/>
    <x v="1"/>
    <x v="2"/>
    <s v="L"/>
    <x v="1"/>
    <n v="7.77"/>
    <x v="162"/>
    <x v="2"/>
    <x v="1"/>
    <x v="1"/>
  </r>
  <r>
    <s v="NTJ-88319-746"/>
    <x v="629"/>
    <x v="805"/>
    <s v="L-L-0.5"/>
    <n v="3"/>
    <x v="805"/>
    <s v="ztramelod@netlog.com"/>
    <x v="0"/>
    <x v="3"/>
    <s v="L"/>
    <x v="1"/>
    <n v="9.51"/>
    <x v="32"/>
    <x v="3"/>
    <x v="1"/>
    <x v="1"/>
  </r>
  <r>
    <s v="LCY-24377-948"/>
    <x v="630"/>
    <x v="806"/>
    <s v="R-L-2.5"/>
    <n v="1"/>
    <x v="806"/>
    <n v="0"/>
    <x v="0"/>
    <x v="0"/>
    <s v="L"/>
    <x v="2"/>
    <n v="27.484999999999996"/>
    <x v="142"/>
    <x v="0"/>
    <x v="1"/>
    <x v="0"/>
  </r>
  <r>
    <s v="FWD-85967-769"/>
    <x v="631"/>
    <x v="807"/>
    <s v="E-D-0.2"/>
    <n v="3"/>
    <x v="807"/>
    <n v="0"/>
    <x v="0"/>
    <x v="1"/>
    <s v="D"/>
    <x v="3"/>
    <n v="3.645"/>
    <x v="47"/>
    <x v="1"/>
    <x v="2"/>
    <x v="1"/>
  </r>
  <r>
    <s v="KTO-53793-109"/>
    <x v="229"/>
    <x v="808"/>
    <s v="R-L-0.2"/>
    <n v="2"/>
    <x v="808"/>
    <s v="chatfullog@ebay.com"/>
    <x v="0"/>
    <x v="0"/>
    <s v="L"/>
    <x v="3"/>
    <n v="3.5849999999999995"/>
    <x v="53"/>
    <x v="0"/>
    <x v="1"/>
    <x v="1"/>
  </r>
  <r>
    <s v="OCK-89033-348"/>
    <x v="632"/>
    <x v="809"/>
    <s v="A-L-0.2"/>
    <n v="6"/>
    <x v="809"/>
    <n v="0"/>
    <x v="0"/>
    <x v="2"/>
    <s v="L"/>
    <x v="3"/>
    <n v="3.8849999999999998"/>
    <x v="102"/>
    <x v="2"/>
    <x v="1"/>
    <x v="0"/>
  </r>
  <r>
    <s v="GPZ-36017-366"/>
    <x v="633"/>
    <x v="810"/>
    <s v="A-D-2.5"/>
    <n v="5"/>
    <x v="810"/>
    <s v="kmarrisonoq@dropbox.com"/>
    <x v="0"/>
    <x v="2"/>
    <s v="D"/>
    <x v="2"/>
    <n v="22.884999999999998"/>
    <x v="15"/>
    <x v="2"/>
    <x v="2"/>
    <x v="0"/>
  </r>
  <r>
    <s v="BZP-33213-637"/>
    <x v="95"/>
    <x v="811"/>
    <s v="A-M-2.5"/>
    <n v="3"/>
    <x v="811"/>
    <s v="lagnolooj@pinterest.com"/>
    <x v="0"/>
    <x v="2"/>
    <s v="M"/>
    <x v="2"/>
    <n v="25.874999999999996"/>
    <x v="57"/>
    <x v="2"/>
    <x v="0"/>
    <x v="0"/>
  </r>
  <r>
    <s v="WFH-21507-708"/>
    <x v="521"/>
    <x v="812"/>
    <s v="R-D-0.5"/>
    <n v="1"/>
    <x v="812"/>
    <s v="dkiddyok@fda.gov"/>
    <x v="0"/>
    <x v="0"/>
    <s v="D"/>
    <x v="1"/>
    <n v="5.3699999999999992"/>
    <x v="147"/>
    <x v="0"/>
    <x v="2"/>
    <x v="0"/>
  </r>
  <r>
    <s v="HST-96923-073"/>
    <x v="76"/>
    <x v="813"/>
    <s v="R-D-2.5"/>
    <n v="6"/>
    <x v="813"/>
    <s v="hpetroulisol@state.tx.us"/>
    <x v="1"/>
    <x v="0"/>
    <s v="D"/>
    <x v="2"/>
    <n v="20.584999999999997"/>
    <x v="99"/>
    <x v="0"/>
    <x v="2"/>
    <x v="1"/>
  </r>
  <r>
    <s v="ENN-79947-323"/>
    <x v="634"/>
    <x v="814"/>
    <s v="L-M-0.5"/>
    <n v="2"/>
    <x v="814"/>
    <s v="mschollom@taobao.com"/>
    <x v="0"/>
    <x v="3"/>
    <s v="M"/>
    <x v="1"/>
    <n v="8.73"/>
    <x v="92"/>
    <x v="3"/>
    <x v="0"/>
    <x v="1"/>
  </r>
  <r>
    <s v="BHA-47429-889"/>
    <x v="635"/>
    <x v="815"/>
    <s v="E-L-0.2"/>
    <n v="3"/>
    <x v="815"/>
    <s v="kfersonon@g.co"/>
    <x v="0"/>
    <x v="1"/>
    <s v="L"/>
    <x v="3"/>
    <n v="4.4550000000000001"/>
    <x v="77"/>
    <x v="1"/>
    <x v="1"/>
    <x v="1"/>
  </r>
  <r>
    <s v="SZY-63017-318"/>
    <x v="636"/>
    <x v="816"/>
    <s v="A-L-0.2"/>
    <n v="2"/>
    <x v="816"/>
    <s v="bkellowayoo@omniture.com"/>
    <x v="0"/>
    <x v="2"/>
    <s v="L"/>
    <x v="3"/>
    <n v="3.8849999999999998"/>
    <x v="41"/>
    <x v="2"/>
    <x v="1"/>
    <x v="0"/>
  </r>
  <r>
    <s v="LCU-93317-340"/>
    <x v="637"/>
    <x v="817"/>
    <s v="R-D-0.2"/>
    <n v="1"/>
    <x v="817"/>
    <s v="soliffeop@yellowbook.com"/>
    <x v="0"/>
    <x v="0"/>
    <s v="D"/>
    <x v="3"/>
    <n v="2.6849999999999996"/>
    <x v="97"/>
    <x v="0"/>
    <x v="2"/>
    <x v="0"/>
  </r>
  <r>
    <s v="UOM-71431-481"/>
    <x v="182"/>
    <x v="810"/>
    <s v="R-D-2.5"/>
    <n v="1"/>
    <x v="810"/>
    <s v="kmarrisonoq@dropbox.com"/>
    <x v="0"/>
    <x v="0"/>
    <s v="D"/>
    <x v="2"/>
    <n v="20.584999999999997"/>
    <x v="123"/>
    <x v="0"/>
    <x v="2"/>
    <x v="0"/>
  </r>
  <r>
    <s v="PJH-42618-877"/>
    <x v="479"/>
    <x v="818"/>
    <s v="A-D-2.5"/>
    <n v="5"/>
    <x v="818"/>
    <s v="cdolohuntyor@dailymail.co.uk"/>
    <x v="0"/>
    <x v="2"/>
    <s v="D"/>
    <x v="2"/>
    <n v="22.884999999999998"/>
    <x v="15"/>
    <x v="2"/>
    <x v="2"/>
    <x v="0"/>
  </r>
  <r>
    <s v="XED-90333-402"/>
    <x v="638"/>
    <x v="819"/>
    <s v="E-M-0.2"/>
    <n v="5"/>
    <x v="819"/>
    <s v="pvasilenkoos@addtoany.com"/>
    <x v="2"/>
    <x v="1"/>
    <s v="M"/>
    <x v="3"/>
    <n v="4.125"/>
    <x v="132"/>
    <x v="1"/>
    <x v="0"/>
    <x v="1"/>
  </r>
  <r>
    <s v="IKK-62234-199"/>
    <x v="639"/>
    <x v="820"/>
    <s v="L-L-0.5"/>
    <n v="6"/>
    <x v="820"/>
    <s v="rschankelborgot@ameblo.jp"/>
    <x v="0"/>
    <x v="3"/>
    <s v="L"/>
    <x v="1"/>
    <n v="9.51"/>
    <x v="30"/>
    <x v="3"/>
    <x v="1"/>
    <x v="0"/>
  </r>
  <r>
    <s v="KAW-95195-329"/>
    <x v="640"/>
    <x v="821"/>
    <s v="R-D-2.5"/>
    <n v="4"/>
    <x v="821"/>
    <n v="0"/>
    <x v="1"/>
    <x v="0"/>
    <s v="D"/>
    <x v="2"/>
    <n v="20.584999999999997"/>
    <x v="18"/>
    <x v="0"/>
    <x v="2"/>
    <x v="0"/>
  </r>
  <r>
    <s v="QDO-57268-842"/>
    <x v="612"/>
    <x v="822"/>
    <s v="E-M-2.5"/>
    <n v="5"/>
    <x v="822"/>
    <n v="0"/>
    <x v="0"/>
    <x v="1"/>
    <s v="M"/>
    <x v="2"/>
    <n v="31.624999999999996"/>
    <x v="196"/>
    <x v="1"/>
    <x v="0"/>
    <x v="1"/>
  </r>
  <r>
    <s v="IIZ-24416-212"/>
    <x v="641"/>
    <x v="823"/>
    <s v="R-D-0.5"/>
    <n v="6"/>
    <x v="823"/>
    <s v="bcargenow@geocities.jp"/>
    <x v="0"/>
    <x v="0"/>
    <s v="D"/>
    <x v="1"/>
    <n v="5.3699999999999992"/>
    <x v="111"/>
    <x v="0"/>
    <x v="2"/>
    <x v="0"/>
  </r>
  <r>
    <s v="AWP-11469-510"/>
    <x v="36"/>
    <x v="824"/>
    <s v="E-D-1"/>
    <n v="2"/>
    <x v="824"/>
    <s v="rsticklerox@printfriendly.com"/>
    <x v="2"/>
    <x v="1"/>
    <s v="D"/>
    <x v="0"/>
    <n v="12.15"/>
    <x v="76"/>
    <x v="1"/>
    <x v="2"/>
    <x v="1"/>
  </r>
  <r>
    <s v="KXA-27983-918"/>
    <x v="642"/>
    <x v="825"/>
    <s v="R-L-0.5"/>
    <n v="5"/>
    <x v="825"/>
    <n v="0"/>
    <x v="0"/>
    <x v="0"/>
    <s v="L"/>
    <x v="1"/>
    <n v="7.169999999999999"/>
    <x v="66"/>
    <x v="0"/>
    <x v="1"/>
    <x v="1"/>
  </r>
  <r>
    <s v="VKQ-39009-292"/>
    <x v="219"/>
    <x v="822"/>
    <s v="L-M-1"/>
    <n v="5"/>
    <x v="822"/>
    <n v="0"/>
    <x v="0"/>
    <x v="3"/>
    <s v="M"/>
    <x v="0"/>
    <n v="14.55"/>
    <x v="45"/>
    <x v="3"/>
    <x v="0"/>
    <x v="1"/>
  </r>
  <r>
    <s v="PDB-98743-282"/>
    <x v="643"/>
    <x v="826"/>
    <s v="L-L-1"/>
    <n v="3"/>
    <x v="826"/>
    <n v="0"/>
    <x v="1"/>
    <x v="3"/>
    <s v="L"/>
    <x v="0"/>
    <n v="15.85"/>
    <x v="46"/>
    <x v="3"/>
    <x v="1"/>
    <x v="1"/>
  </r>
  <r>
    <s v="SXW-34014-556"/>
    <x v="644"/>
    <x v="827"/>
    <s v="R-L-0.2"/>
    <n v="1"/>
    <x v="827"/>
    <s v="djevonp1@ibm.com"/>
    <x v="0"/>
    <x v="0"/>
    <s v="L"/>
    <x v="3"/>
    <n v="3.5849999999999995"/>
    <x v="60"/>
    <x v="0"/>
    <x v="1"/>
    <x v="0"/>
  </r>
  <r>
    <s v="QOJ-38788-727"/>
    <x v="136"/>
    <x v="828"/>
    <s v="E-M-2.5"/>
    <n v="5"/>
    <x v="828"/>
    <s v="hrannerp2@omniture.com"/>
    <x v="0"/>
    <x v="1"/>
    <s v="M"/>
    <x v="2"/>
    <n v="31.624999999999996"/>
    <x v="196"/>
    <x v="1"/>
    <x v="0"/>
    <x v="1"/>
  </r>
  <r>
    <s v="TGF-38649-658"/>
    <x v="645"/>
    <x v="829"/>
    <s v="L-M-0.5"/>
    <n v="2"/>
    <x v="829"/>
    <s v="bimriep3@addtoany.com"/>
    <x v="0"/>
    <x v="3"/>
    <s v="M"/>
    <x v="1"/>
    <n v="8.73"/>
    <x v="92"/>
    <x v="3"/>
    <x v="0"/>
    <x v="1"/>
  </r>
  <r>
    <s v="EAI-25194-209"/>
    <x v="646"/>
    <x v="830"/>
    <s v="A-L-2.5"/>
    <n v="5"/>
    <x v="830"/>
    <s v="dsopperp4@eventbrite.com"/>
    <x v="0"/>
    <x v="2"/>
    <s v="L"/>
    <x v="2"/>
    <n v="29.784999999999997"/>
    <x v="74"/>
    <x v="2"/>
    <x v="1"/>
    <x v="1"/>
  </r>
  <r>
    <s v="IJK-34441-720"/>
    <x v="647"/>
    <x v="831"/>
    <s v="A-M-0.5"/>
    <n v="6"/>
    <x v="831"/>
    <n v="0"/>
    <x v="0"/>
    <x v="2"/>
    <s v="M"/>
    <x v="1"/>
    <n v="6.75"/>
    <x v="61"/>
    <x v="2"/>
    <x v="0"/>
    <x v="0"/>
  </r>
  <r>
    <s v="ZMC-00336-619"/>
    <x v="591"/>
    <x v="832"/>
    <s v="A-M-0.5"/>
    <n v="4"/>
    <x v="832"/>
    <s v="lledgleyp6@de.vu"/>
    <x v="0"/>
    <x v="2"/>
    <s v="M"/>
    <x v="1"/>
    <n v="6.75"/>
    <x v="25"/>
    <x v="2"/>
    <x v="0"/>
    <x v="0"/>
  </r>
  <r>
    <s v="UPX-54529-618"/>
    <x v="648"/>
    <x v="833"/>
    <s v="L-D-1"/>
    <n v="3"/>
    <x v="833"/>
    <s v="tmenaryp7@phoca.cz"/>
    <x v="0"/>
    <x v="3"/>
    <s v="D"/>
    <x v="0"/>
    <n v="12.95"/>
    <x v="5"/>
    <x v="3"/>
    <x v="2"/>
    <x v="1"/>
  </r>
  <r>
    <s v="DLX-01059-899"/>
    <x v="191"/>
    <x v="834"/>
    <s v="R-L-1"/>
    <n v="5"/>
    <x v="834"/>
    <s v="gciccottip8@so-net.ne.jp"/>
    <x v="0"/>
    <x v="0"/>
    <s v="L"/>
    <x v="0"/>
    <n v="11.95"/>
    <x v="143"/>
    <x v="0"/>
    <x v="1"/>
    <x v="1"/>
  </r>
  <r>
    <s v="MEK-85120-243"/>
    <x v="649"/>
    <x v="835"/>
    <s v="R-L-0.2"/>
    <n v="3"/>
    <x v="835"/>
    <n v="0"/>
    <x v="0"/>
    <x v="0"/>
    <s v="L"/>
    <x v="3"/>
    <n v="3.5849999999999995"/>
    <x v="127"/>
    <x v="0"/>
    <x v="1"/>
    <x v="1"/>
  </r>
  <r>
    <s v="NFI-37188-246"/>
    <x v="553"/>
    <x v="836"/>
    <s v="A-D-2.5"/>
    <n v="4"/>
    <x v="836"/>
    <s v="wjallinpa@pcworld.com"/>
    <x v="0"/>
    <x v="2"/>
    <s v="D"/>
    <x v="2"/>
    <n v="22.884999999999998"/>
    <x v="21"/>
    <x v="2"/>
    <x v="2"/>
    <x v="1"/>
  </r>
  <r>
    <s v="BXH-62195-013"/>
    <x v="584"/>
    <x v="837"/>
    <s v="A-M-1"/>
    <n v="4"/>
    <x v="837"/>
    <s v="mbogeypb@thetimes.co.uk"/>
    <x v="0"/>
    <x v="2"/>
    <s v="M"/>
    <x v="0"/>
    <n v="11.25"/>
    <x v="157"/>
    <x v="2"/>
    <x v="0"/>
    <x v="0"/>
  </r>
  <r>
    <s v="YLK-78851-470"/>
    <x v="650"/>
    <x v="838"/>
    <s v="R-M-2.5"/>
    <n v="6"/>
    <x v="838"/>
    <n v="0"/>
    <x v="0"/>
    <x v="0"/>
    <s v="M"/>
    <x v="2"/>
    <n v="22.884999999999998"/>
    <x v="170"/>
    <x v="0"/>
    <x v="0"/>
    <x v="0"/>
  </r>
  <r>
    <s v="DXY-76225-633"/>
    <x v="121"/>
    <x v="839"/>
    <s v="A-M-0.5"/>
    <n v="1"/>
    <x v="839"/>
    <s v="mcobbledickpd@ucsd.edu"/>
    <x v="0"/>
    <x v="2"/>
    <s v="M"/>
    <x v="1"/>
    <n v="6.75"/>
    <x v="52"/>
    <x v="2"/>
    <x v="0"/>
    <x v="1"/>
  </r>
  <r>
    <s v="UHP-24614-199"/>
    <x v="472"/>
    <x v="840"/>
    <s v="A-M-1"/>
    <n v="4"/>
    <x v="840"/>
    <s v="alewrype@whitehouse.gov"/>
    <x v="0"/>
    <x v="2"/>
    <s v="M"/>
    <x v="0"/>
    <n v="11.25"/>
    <x v="157"/>
    <x v="2"/>
    <x v="0"/>
    <x v="1"/>
  </r>
  <r>
    <s v="HBY-35655-049"/>
    <x v="594"/>
    <x v="841"/>
    <s v="E-D-2.5"/>
    <n v="3"/>
    <x v="841"/>
    <s v="ihesselpf@ox.ac.uk"/>
    <x v="0"/>
    <x v="1"/>
    <s v="D"/>
    <x v="2"/>
    <n v="27.945"/>
    <x v="171"/>
    <x v="1"/>
    <x v="2"/>
    <x v="0"/>
  </r>
  <r>
    <s v="DCE-22886-861"/>
    <x v="89"/>
    <x v="842"/>
    <s v="E-D-0.2"/>
    <n v="1"/>
    <x v="842"/>
    <n v="0"/>
    <x v="1"/>
    <x v="1"/>
    <s v="D"/>
    <x v="3"/>
    <n v="3.645"/>
    <x v="186"/>
    <x v="1"/>
    <x v="2"/>
    <x v="0"/>
  </r>
  <r>
    <s v="QTG-93823-843"/>
    <x v="651"/>
    <x v="843"/>
    <s v="A-M-0.5"/>
    <n v="1"/>
    <x v="843"/>
    <s v="csorrellph@amazon.com"/>
    <x v="2"/>
    <x v="2"/>
    <s v="M"/>
    <x v="1"/>
    <n v="6.75"/>
    <x v="52"/>
    <x v="2"/>
    <x v="0"/>
    <x v="1"/>
  </r>
  <r>
    <s v="QTG-93823-843"/>
    <x v="651"/>
    <x v="843"/>
    <s v="E-D-0.5"/>
    <n v="3"/>
    <x v="843"/>
    <s v="csorrellph@amazon.com"/>
    <x v="2"/>
    <x v="1"/>
    <s v="D"/>
    <x v="1"/>
    <n v="7.29"/>
    <x v="6"/>
    <x v="1"/>
    <x v="2"/>
    <x v="1"/>
  </r>
  <r>
    <s v="WFT-16178-396"/>
    <x v="249"/>
    <x v="844"/>
    <s v="R-D-0.2"/>
    <n v="5"/>
    <x v="844"/>
    <s v="qheavysidepj@unc.edu"/>
    <x v="0"/>
    <x v="0"/>
    <s v="D"/>
    <x v="3"/>
    <n v="2.6849999999999996"/>
    <x v="148"/>
    <x v="0"/>
    <x v="2"/>
    <x v="0"/>
  </r>
  <r>
    <s v="ERC-54560-934"/>
    <x v="652"/>
    <x v="845"/>
    <s v="R-D-2.5"/>
    <n v="6"/>
    <x v="845"/>
    <s v="hreuvenpk@whitehouse.gov"/>
    <x v="0"/>
    <x v="0"/>
    <s v="D"/>
    <x v="2"/>
    <n v="20.584999999999997"/>
    <x v="99"/>
    <x v="0"/>
    <x v="2"/>
    <x v="1"/>
  </r>
  <r>
    <s v="RUK-78200-416"/>
    <x v="653"/>
    <x v="846"/>
    <s v="L-D-0.2"/>
    <n v="2"/>
    <x v="846"/>
    <s v="mattwoolpl@nba.com"/>
    <x v="0"/>
    <x v="3"/>
    <s v="D"/>
    <x v="3"/>
    <n v="3.8849999999999998"/>
    <x v="41"/>
    <x v="3"/>
    <x v="2"/>
    <x v="1"/>
  </r>
  <r>
    <s v="KHK-13105-388"/>
    <x v="177"/>
    <x v="847"/>
    <s v="A-M-1"/>
    <n v="6"/>
    <x v="847"/>
    <n v="0"/>
    <x v="0"/>
    <x v="2"/>
    <s v="M"/>
    <x v="0"/>
    <n v="11.25"/>
    <x v="173"/>
    <x v="2"/>
    <x v="0"/>
    <x v="0"/>
  </r>
  <r>
    <s v="NJR-03699-189"/>
    <x v="22"/>
    <x v="848"/>
    <s v="E-D-2.5"/>
    <n v="1"/>
    <x v="848"/>
    <s v="gwynespn@dagondesign.com"/>
    <x v="0"/>
    <x v="1"/>
    <s v="D"/>
    <x v="2"/>
    <n v="27.945"/>
    <x v="140"/>
    <x v="1"/>
    <x v="2"/>
    <x v="1"/>
  </r>
  <r>
    <s v="PJV-20427-019"/>
    <x v="508"/>
    <x v="849"/>
    <s v="A-L-2.5"/>
    <n v="3"/>
    <x v="849"/>
    <s v="cmaccourtpo@amazon.com"/>
    <x v="0"/>
    <x v="2"/>
    <s v="L"/>
    <x v="2"/>
    <n v="29.784999999999997"/>
    <x v="49"/>
    <x v="2"/>
    <x v="1"/>
    <x v="1"/>
  </r>
  <r>
    <s v="UGK-07613-982"/>
    <x v="654"/>
    <x v="822"/>
    <s v="A-M-0.5"/>
    <n v="3"/>
    <x v="822"/>
    <n v="0"/>
    <x v="0"/>
    <x v="2"/>
    <s v="M"/>
    <x v="1"/>
    <n v="6.75"/>
    <x v="16"/>
    <x v="2"/>
    <x v="0"/>
    <x v="1"/>
  </r>
  <r>
    <s v="OLA-68289-577"/>
    <x v="524"/>
    <x v="850"/>
    <s v="A-M-0.5"/>
    <n v="5"/>
    <x v="850"/>
    <s v="ewilsonepq@eepurl.com"/>
    <x v="0"/>
    <x v="2"/>
    <s v="M"/>
    <x v="1"/>
    <n v="6.75"/>
    <x v="65"/>
    <x v="2"/>
    <x v="0"/>
    <x v="0"/>
  </r>
  <r>
    <s v="TNR-84447-052"/>
    <x v="655"/>
    <x v="851"/>
    <s v="E-D-2.5"/>
    <n v="4"/>
    <x v="851"/>
    <s v="dduffiepr@time.com"/>
    <x v="0"/>
    <x v="1"/>
    <s v="D"/>
    <x v="2"/>
    <n v="27.945"/>
    <x v="150"/>
    <x v="1"/>
    <x v="2"/>
    <x v="1"/>
  </r>
  <r>
    <s v="FBZ-64200-586"/>
    <x v="523"/>
    <x v="852"/>
    <s v="E-M-2.5"/>
    <n v="2"/>
    <x v="852"/>
    <s v="mmatiasekps@ucoz.ru"/>
    <x v="0"/>
    <x v="1"/>
    <s v="M"/>
    <x v="2"/>
    <n v="31.624999999999996"/>
    <x v="40"/>
    <x v="1"/>
    <x v="0"/>
    <x v="0"/>
  </r>
  <r>
    <s v="OBN-66334-505"/>
    <x v="656"/>
    <x v="853"/>
    <s v="E-L-0.2"/>
    <n v="2"/>
    <x v="853"/>
    <s v="jcamillopt@shinystat.com"/>
    <x v="0"/>
    <x v="1"/>
    <s v="L"/>
    <x v="3"/>
    <n v="4.4550000000000001"/>
    <x v="161"/>
    <x v="1"/>
    <x v="1"/>
    <x v="0"/>
  </r>
  <r>
    <s v="NXM-89323-646"/>
    <x v="657"/>
    <x v="854"/>
    <s v="E-D-1"/>
    <n v="1"/>
    <x v="854"/>
    <s v="kphilbrickpu@cdc.gov"/>
    <x v="0"/>
    <x v="1"/>
    <s v="D"/>
    <x v="0"/>
    <n v="12.15"/>
    <x v="87"/>
    <x v="1"/>
    <x v="2"/>
    <x v="0"/>
  </r>
  <r>
    <s v="NHI-23264-055"/>
    <x v="658"/>
    <x v="855"/>
    <s v="A-D-0.5"/>
    <n v="4"/>
    <x v="855"/>
    <n v="0"/>
    <x v="0"/>
    <x v="2"/>
    <s v="D"/>
    <x v="1"/>
    <n v="5.97"/>
    <x v="86"/>
    <x v="2"/>
    <x v="2"/>
    <x v="0"/>
  </r>
  <r>
    <s v="EQH-53569-934"/>
    <x v="659"/>
    <x v="856"/>
    <s v="E-M-1"/>
    <n v="4"/>
    <x v="856"/>
    <s v="bsillispw@istockphoto.com"/>
    <x v="0"/>
    <x v="1"/>
    <s v="M"/>
    <x v="0"/>
    <n v="13.75"/>
    <x v="193"/>
    <x v="1"/>
    <x v="0"/>
    <x v="1"/>
  </r>
  <r>
    <s v="XKK-06692-189"/>
    <x v="558"/>
    <x v="857"/>
    <s v="R-D-1"/>
    <n v="3"/>
    <x v="857"/>
    <n v="0"/>
    <x v="0"/>
    <x v="0"/>
    <s v="D"/>
    <x v="0"/>
    <n v="8.9499999999999993"/>
    <x v="166"/>
    <x v="0"/>
    <x v="2"/>
    <x v="0"/>
  </r>
  <r>
    <s v="BYP-16005-016"/>
    <x v="660"/>
    <x v="858"/>
    <s v="R-M-2.5"/>
    <n v="5"/>
    <x v="858"/>
    <s v="rcuttspy@techcrunch.com"/>
    <x v="0"/>
    <x v="0"/>
    <s v="M"/>
    <x v="2"/>
    <n v="22.884999999999998"/>
    <x v="15"/>
    <x v="0"/>
    <x v="0"/>
    <x v="1"/>
  </r>
  <r>
    <s v="LWS-13938-905"/>
    <x v="661"/>
    <x v="859"/>
    <s v="A-M-2.5"/>
    <n v="6"/>
    <x v="859"/>
    <s v="mdelvespz@nature.com"/>
    <x v="0"/>
    <x v="2"/>
    <s v="M"/>
    <x v="2"/>
    <n v="25.874999999999996"/>
    <x v="71"/>
    <x v="2"/>
    <x v="0"/>
    <x v="0"/>
  </r>
  <r>
    <s v="OLH-95722-362"/>
    <x v="662"/>
    <x v="860"/>
    <s v="L-D-0.5"/>
    <n v="3"/>
    <x v="860"/>
    <s v="dgrittonq0@nydailynews.com"/>
    <x v="0"/>
    <x v="3"/>
    <s v="D"/>
    <x v="1"/>
    <n v="7.77"/>
    <x v="102"/>
    <x v="3"/>
    <x v="2"/>
    <x v="0"/>
  </r>
  <r>
    <s v="OLH-95722-362"/>
    <x v="662"/>
    <x v="860"/>
    <s v="R-M-2.5"/>
    <n v="4"/>
    <x v="860"/>
    <s v="dgrittonq0@nydailynews.com"/>
    <x v="0"/>
    <x v="0"/>
    <s v="M"/>
    <x v="2"/>
    <n v="22.884999999999998"/>
    <x v="21"/>
    <x v="0"/>
    <x v="0"/>
    <x v="0"/>
  </r>
  <r>
    <s v="KCW-50949-318"/>
    <x v="184"/>
    <x v="861"/>
    <s v="E-L-1"/>
    <n v="5"/>
    <x v="861"/>
    <s v="dgutq2@umich.edu"/>
    <x v="0"/>
    <x v="1"/>
    <s v="L"/>
    <x v="0"/>
    <n v="14.85"/>
    <x v="159"/>
    <x v="1"/>
    <x v="1"/>
    <x v="0"/>
  </r>
  <r>
    <s v="JGZ-16947-591"/>
    <x v="663"/>
    <x v="862"/>
    <s v="L-L-0.2"/>
    <n v="6"/>
    <x v="862"/>
    <s v="wpummeryq3@topsy.com"/>
    <x v="0"/>
    <x v="3"/>
    <s v="L"/>
    <x v="3"/>
    <n v="4.7549999999999999"/>
    <x v="32"/>
    <x v="3"/>
    <x v="1"/>
    <x v="1"/>
  </r>
  <r>
    <s v="LXS-63326-144"/>
    <x v="334"/>
    <x v="863"/>
    <s v="R-L-0.5"/>
    <n v="2"/>
    <x v="863"/>
    <s v="gsiudaq4@nytimes.com"/>
    <x v="0"/>
    <x v="0"/>
    <s v="L"/>
    <x v="1"/>
    <n v="7.169999999999999"/>
    <x v="79"/>
    <x v="0"/>
    <x v="1"/>
    <x v="0"/>
  </r>
  <r>
    <s v="CZG-86544-655"/>
    <x v="664"/>
    <x v="864"/>
    <s v="A-L-0.5"/>
    <n v="2"/>
    <x v="864"/>
    <s v="hcrowneq5@wufoo.com"/>
    <x v="1"/>
    <x v="2"/>
    <s v="L"/>
    <x v="1"/>
    <n v="7.77"/>
    <x v="42"/>
    <x v="2"/>
    <x v="1"/>
    <x v="0"/>
  </r>
  <r>
    <s v="WFV-88138-247"/>
    <x v="24"/>
    <x v="865"/>
    <s v="R-L-1"/>
    <n v="3"/>
    <x v="865"/>
    <s v="vpawseyq6@tiny.cc"/>
    <x v="0"/>
    <x v="0"/>
    <s v="L"/>
    <x v="0"/>
    <n v="11.95"/>
    <x v="66"/>
    <x v="0"/>
    <x v="1"/>
    <x v="1"/>
  </r>
  <r>
    <s v="RFG-28227-288"/>
    <x v="12"/>
    <x v="866"/>
    <s v="A-L-0.5"/>
    <n v="6"/>
    <x v="866"/>
    <s v="awaterhouseq7@istockphoto.com"/>
    <x v="0"/>
    <x v="2"/>
    <s v="L"/>
    <x v="1"/>
    <n v="7.77"/>
    <x v="162"/>
    <x v="2"/>
    <x v="1"/>
    <x v="1"/>
  </r>
  <r>
    <s v="QAK-77286-758"/>
    <x v="105"/>
    <x v="867"/>
    <s v="R-L-0.5"/>
    <n v="5"/>
    <x v="867"/>
    <s v="fhaughianq8@1688.com"/>
    <x v="0"/>
    <x v="0"/>
    <s v="L"/>
    <x v="1"/>
    <n v="7.169999999999999"/>
    <x v="66"/>
    <x v="0"/>
    <x v="1"/>
    <x v="1"/>
  </r>
  <r>
    <s v="CZD-56716-840"/>
    <x v="665"/>
    <x v="868"/>
    <s v="L-D-2.5"/>
    <n v="4"/>
    <x v="868"/>
    <n v="0"/>
    <x v="0"/>
    <x v="3"/>
    <s v="D"/>
    <x v="2"/>
    <n v="29.784999999999997"/>
    <x v="129"/>
    <x v="3"/>
    <x v="2"/>
    <x v="1"/>
  </r>
  <r>
    <s v="UBI-59229-277"/>
    <x v="44"/>
    <x v="869"/>
    <s v="L-D-0.5"/>
    <n v="3"/>
    <x v="869"/>
    <n v="0"/>
    <x v="0"/>
    <x v="3"/>
    <s v="D"/>
    <x v="1"/>
    <n v="7.77"/>
    <x v="102"/>
    <x v="3"/>
    <x v="2"/>
    <x v="1"/>
  </r>
  <r>
    <s v="WJJ-37489-898"/>
    <x v="171"/>
    <x v="870"/>
    <s v="A-M-1"/>
    <n v="1"/>
    <x v="870"/>
    <s v="rfaltinqb@topsy.com"/>
    <x v="1"/>
    <x v="2"/>
    <s v="M"/>
    <x v="0"/>
    <n v="11.25"/>
    <x v="23"/>
    <x v="2"/>
    <x v="0"/>
    <x v="1"/>
  </r>
  <r>
    <s v="ORX-57454-917"/>
    <x v="328"/>
    <x v="871"/>
    <s v="E-D-2.5"/>
    <n v="3"/>
    <x v="871"/>
    <s v="gcheekeqc@sitemeter.com"/>
    <x v="2"/>
    <x v="1"/>
    <s v="D"/>
    <x v="2"/>
    <n v="27.945"/>
    <x v="171"/>
    <x v="1"/>
    <x v="2"/>
    <x v="0"/>
  </r>
  <r>
    <s v="GRB-68838-629"/>
    <x v="648"/>
    <x v="872"/>
    <s v="R-L-2.5"/>
    <n v="4"/>
    <x v="872"/>
    <s v="grattqd@phpbb.com"/>
    <x v="1"/>
    <x v="0"/>
    <s v="L"/>
    <x v="2"/>
    <n v="27.484999999999996"/>
    <x v="108"/>
    <x v="0"/>
    <x v="1"/>
    <x v="1"/>
  </r>
  <r>
    <s v="SHT-04865-419"/>
    <x v="666"/>
    <x v="873"/>
    <s v="R-L-0.2"/>
    <n v="4"/>
    <x v="873"/>
    <n v="0"/>
    <x v="0"/>
    <x v="0"/>
    <s v="L"/>
    <x v="3"/>
    <n v="3.5849999999999995"/>
    <x v="79"/>
    <x v="0"/>
    <x v="1"/>
    <x v="0"/>
  </r>
  <r>
    <s v="UQI-28177-865"/>
    <x v="577"/>
    <x v="874"/>
    <s v="R-L-0.2"/>
    <n v="6"/>
    <x v="874"/>
    <s v="ieberleinqf@hc360.com"/>
    <x v="0"/>
    <x v="0"/>
    <s v="L"/>
    <x v="3"/>
    <n v="3.5849999999999995"/>
    <x v="137"/>
    <x v="0"/>
    <x v="1"/>
    <x v="1"/>
  </r>
  <r>
    <s v="OIB-13664-879"/>
    <x v="114"/>
    <x v="875"/>
    <s v="A-M-1"/>
    <n v="2"/>
    <x v="875"/>
    <s v="jdrengqg@uiuc.edu"/>
    <x v="1"/>
    <x v="2"/>
    <s v="M"/>
    <x v="0"/>
    <n v="11.25"/>
    <x v="122"/>
    <x v="2"/>
    <x v="0"/>
    <x v="0"/>
  </r>
  <r>
    <s v="PJS-30996-485"/>
    <x v="4"/>
    <x v="857"/>
    <s v="A-L-0.2"/>
    <n v="1"/>
    <x v="857"/>
    <n v="0"/>
    <x v="0"/>
    <x v="2"/>
    <s v="L"/>
    <x v="3"/>
    <n v="3.8849999999999998"/>
    <x v="84"/>
    <x v="2"/>
    <x v="1"/>
    <x v="0"/>
  </r>
  <r>
    <s v="HEL-86709-449"/>
    <x v="667"/>
    <x v="857"/>
    <s v="E-D-2.5"/>
    <n v="1"/>
    <x v="857"/>
    <n v="0"/>
    <x v="0"/>
    <x v="1"/>
    <s v="D"/>
    <x v="2"/>
    <n v="27.945"/>
    <x v="140"/>
    <x v="1"/>
    <x v="2"/>
    <x v="0"/>
  </r>
  <r>
    <s v="NCH-55389-562"/>
    <x v="110"/>
    <x v="857"/>
    <s v="E-L-2.5"/>
    <n v="5"/>
    <x v="857"/>
    <n v="0"/>
    <x v="0"/>
    <x v="1"/>
    <s v="L"/>
    <x v="2"/>
    <n v="34.154999999999994"/>
    <x v="11"/>
    <x v="1"/>
    <x v="1"/>
    <x v="0"/>
  </r>
  <r>
    <s v="NCH-55389-562"/>
    <x v="110"/>
    <x v="857"/>
    <s v="R-L-2.5"/>
    <n v="2"/>
    <x v="857"/>
    <n v="0"/>
    <x v="0"/>
    <x v="0"/>
    <s v="L"/>
    <x v="2"/>
    <n v="27.484999999999996"/>
    <x v="4"/>
    <x v="0"/>
    <x v="1"/>
    <x v="0"/>
  </r>
  <r>
    <s v="NCH-55389-562"/>
    <x v="110"/>
    <x v="857"/>
    <s v="E-L-1"/>
    <n v="1"/>
    <x v="857"/>
    <n v="0"/>
    <x v="0"/>
    <x v="1"/>
    <s v="L"/>
    <x v="0"/>
    <n v="14.85"/>
    <x v="151"/>
    <x v="1"/>
    <x v="1"/>
    <x v="0"/>
  </r>
  <r>
    <s v="NCH-55389-562"/>
    <x v="110"/>
    <x v="857"/>
    <s v="A-L-0.2"/>
    <n v="2"/>
    <x v="857"/>
    <n v="0"/>
    <x v="0"/>
    <x v="2"/>
    <s v="L"/>
    <x v="3"/>
    <n v="3.8849999999999998"/>
    <x v="41"/>
    <x v="2"/>
    <x v="1"/>
    <x v="0"/>
  </r>
  <r>
    <s v="GUG-45603-775"/>
    <x v="668"/>
    <x v="876"/>
    <s v="L-L-0.2"/>
    <n v="5"/>
    <x v="876"/>
    <s v="rstrathernqn@devhub.com"/>
    <x v="0"/>
    <x v="3"/>
    <s v="L"/>
    <x v="3"/>
    <n v="4.7549999999999999"/>
    <x v="29"/>
    <x v="3"/>
    <x v="1"/>
    <x v="0"/>
  </r>
  <r>
    <s v="KJB-98240-098"/>
    <x v="422"/>
    <x v="877"/>
    <s v="L-L-1"/>
    <n v="5"/>
    <x v="877"/>
    <s v="cmiguelqo@exblog.jp"/>
    <x v="0"/>
    <x v="3"/>
    <s v="L"/>
    <x v="0"/>
    <n v="15.85"/>
    <x v="180"/>
    <x v="3"/>
    <x v="1"/>
    <x v="0"/>
  </r>
  <r>
    <s v="JMS-48374-462"/>
    <x v="669"/>
    <x v="878"/>
    <s v="A-D-2.5"/>
    <n v="2"/>
    <x v="878"/>
    <n v="0"/>
    <x v="0"/>
    <x v="2"/>
    <s v="D"/>
    <x v="2"/>
    <n v="22.884999999999998"/>
    <x v="135"/>
    <x v="2"/>
    <x v="2"/>
    <x v="0"/>
  </r>
  <r>
    <s v="YIT-15877-117"/>
    <x v="670"/>
    <x v="879"/>
    <s v="R-D-1"/>
    <n v="1"/>
    <x v="879"/>
    <s v="mrocksqq@exblog.jp"/>
    <x v="1"/>
    <x v="0"/>
    <s v="D"/>
    <x v="0"/>
    <n v="8.9499999999999993"/>
    <x v="192"/>
    <x v="0"/>
    <x v="2"/>
    <x v="0"/>
  </r>
  <r>
    <s v="YVK-82679-655"/>
    <x v="341"/>
    <x v="880"/>
    <s v="R-M-0.5"/>
    <n v="4"/>
    <x v="880"/>
    <s v="yburrellsqr@vinaora.com"/>
    <x v="0"/>
    <x v="0"/>
    <s v="M"/>
    <x v="1"/>
    <n v="5.97"/>
    <x v="86"/>
    <x v="0"/>
    <x v="0"/>
    <x v="0"/>
  </r>
  <r>
    <s v="TYH-81940-054"/>
    <x v="671"/>
    <x v="881"/>
    <s v="E-L-0.2"/>
    <n v="5"/>
    <x v="881"/>
    <s v="cgoodrumqs@goodreads.com"/>
    <x v="0"/>
    <x v="1"/>
    <s v="L"/>
    <x v="3"/>
    <n v="4.4550000000000001"/>
    <x v="110"/>
    <x v="1"/>
    <x v="1"/>
    <x v="1"/>
  </r>
  <r>
    <s v="HTY-30660-254"/>
    <x v="672"/>
    <x v="882"/>
    <s v="R-M-1"/>
    <n v="3"/>
    <x v="882"/>
    <s v="jjefferysqt@blog.com"/>
    <x v="0"/>
    <x v="0"/>
    <s v="M"/>
    <x v="0"/>
    <n v="9.9499999999999993"/>
    <x v="44"/>
    <x v="0"/>
    <x v="0"/>
    <x v="0"/>
  </r>
  <r>
    <s v="GPW-43956-761"/>
    <x v="673"/>
    <x v="883"/>
    <s v="E-L-0.5"/>
    <n v="6"/>
    <x v="883"/>
    <s v="bwardellqu@adobe.com"/>
    <x v="0"/>
    <x v="1"/>
    <s v="L"/>
    <x v="1"/>
    <n v="8.91"/>
    <x v="119"/>
    <x v="1"/>
    <x v="1"/>
    <x v="0"/>
  </r>
  <r>
    <s v="DWY-56352-412"/>
    <x v="674"/>
    <x v="884"/>
    <s v="R-D-0.2"/>
    <n v="1"/>
    <x v="884"/>
    <s v="zwalisiakqv@ucsd.edu"/>
    <x v="1"/>
    <x v="0"/>
    <s v="D"/>
    <x v="3"/>
    <n v="2.6849999999999996"/>
    <x v="97"/>
    <x v="0"/>
    <x v="2"/>
    <x v="0"/>
  </r>
  <r>
    <s v="PUH-55647-976"/>
    <x v="675"/>
    <x v="885"/>
    <s v="R-M-0.2"/>
    <n v="2"/>
    <x v="885"/>
    <s v="wleopoldqw@blogspot.com"/>
    <x v="0"/>
    <x v="0"/>
    <s v="M"/>
    <x v="3"/>
    <n v="2.9849999999999999"/>
    <x v="9"/>
    <x v="0"/>
    <x v="0"/>
    <x v="1"/>
  </r>
  <r>
    <s v="DTB-71371-705"/>
    <x v="539"/>
    <x v="886"/>
    <s v="L-D-1"/>
    <n v="1"/>
    <x v="886"/>
    <s v="cshaldersqx@cisco.com"/>
    <x v="0"/>
    <x v="3"/>
    <s v="D"/>
    <x v="0"/>
    <n v="12.95"/>
    <x v="2"/>
    <x v="3"/>
    <x v="2"/>
    <x v="0"/>
  </r>
  <r>
    <s v="ZDC-64769-740"/>
    <x v="676"/>
    <x v="887"/>
    <s v="E-M-0.5"/>
    <n v="1"/>
    <x v="887"/>
    <n v="0"/>
    <x v="0"/>
    <x v="1"/>
    <s v="M"/>
    <x v="1"/>
    <n v="8.25"/>
    <x v="112"/>
    <x v="1"/>
    <x v="0"/>
    <x v="1"/>
  </r>
  <r>
    <s v="TED-81959-419"/>
    <x v="677"/>
    <x v="888"/>
    <s v="A-L-2.5"/>
    <n v="5"/>
    <x v="888"/>
    <s v="nfurberqz@jugem.jp"/>
    <x v="0"/>
    <x v="2"/>
    <s v="L"/>
    <x v="2"/>
    <n v="29.784999999999997"/>
    <x v="74"/>
    <x v="2"/>
    <x v="1"/>
    <x v="1"/>
  </r>
  <r>
    <s v="FDO-25756-141"/>
    <x v="629"/>
    <x v="889"/>
    <s v="A-L-2.5"/>
    <n v="3"/>
    <x v="889"/>
    <n v="0"/>
    <x v="1"/>
    <x v="2"/>
    <s v="L"/>
    <x v="2"/>
    <n v="29.784999999999997"/>
    <x v="49"/>
    <x v="2"/>
    <x v="1"/>
    <x v="0"/>
  </r>
  <r>
    <s v="HKN-31467-517"/>
    <x v="662"/>
    <x v="890"/>
    <s v="L-M-1"/>
    <n v="6"/>
    <x v="890"/>
    <s v="ckeaver1@ucoz.com"/>
    <x v="0"/>
    <x v="3"/>
    <s v="M"/>
    <x v="0"/>
    <n v="14.55"/>
    <x v="75"/>
    <x v="3"/>
    <x v="0"/>
    <x v="1"/>
  </r>
  <r>
    <s v="POF-29666-012"/>
    <x v="102"/>
    <x v="891"/>
    <s v="R-D-0.5"/>
    <n v="1"/>
    <x v="891"/>
    <s v="sroseboroughr2@virginia.edu"/>
    <x v="0"/>
    <x v="0"/>
    <s v="D"/>
    <x v="1"/>
    <n v="5.3699999999999992"/>
    <x v="147"/>
    <x v="0"/>
    <x v="2"/>
    <x v="0"/>
  </r>
  <r>
    <s v="IRX-59256-644"/>
    <x v="678"/>
    <x v="892"/>
    <s v="A-D-0.2"/>
    <n v="3"/>
    <x v="892"/>
    <s v="ckingwellr3@squarespace.com"/>
    <x v="1"/>
    <x v="2"/>
    <s v="D"/>
    <x v="3"/>
    <n v="2.9849999999999999"/>
    <x v="169"/>
    <x v="2"/>
    <x v="2"/>
    <x v="0"/>
  </r>
  <r>
    <s v="LTN-89139-350"/>
    <x v="679"/>
    <x v="893"/>
    <s v="R-L-2.5"/>
    <n v="5"/>
    <x v="893"/>
    <s v="kcantor4@gmpg.org"/>
    <x v="0"/>
    <x v="0"/>
    <s v="L"/>
    <x v="2"/>
    <n v="27.484999999999996"/>
    <x v="187"/>
    <x v="0"/>
    <x v="1"/>
    <x v="0"/>
  </r>
  <r>
    <s v="TXF-79780-017"/>
    <x v="112"/>
    <x v="894"/>
    <s v="R-L-1"/>
    <n v="5"/>
    <x v="894"/>
    <s v="mblakemorer5@nsw.gov.au"/>
    <x v="0"/>
    <x v="0"/>
    <s v="L"/>
    <x v="0"/>
    <n v="11.95"/>
    <x v="143"/>
    <x v="0"/>
    <x v="1"/>
    <x v="1"/>
  </r>
  <r>
    <s v="ALM-80762-974"/>
    <x v="55"/>
    <x v="890"/>
    <s v="A-L-0.5"/>
    <n v="3"/>
    <x v="890"/>
    <s v="ckeaver1@ucoz.com"/>
    <x v="0"/>
    <x v="2"/>
    <s v="L"/>
    <x v="1"/>
    <n v="7.77"/>
    <x v="102"/>
    <x v="2"/>
    <x v="1"/>
    <x v="1"/>
  </r>
  <r>
    <s v="NXF-15738-707"/>
    <x v="680"/>
    <x v="895"/>
    <s v="R-D-0.5"/>
    <n v="2"/>
    <x v="895"/>
    <n v="0"/>
    <x v="0"/>
    <x v="0"/>
    <s v="D"/>
    <x v="1"/>
    <n v="5.3699999999999992"/>
    <x v="175"/>
    <x v="0"/>
    <x v="2"/>
    <x v="1"/>
  </r>
  <r>
    <s v="MVV-19034-198"/>
    <x v="94"/>
    <x v="896"/>
    <s v="E-D-2.5"/>
    <n v="6"/>
    <x v="896"/>
    <n v="0"/>
    <x v="0"/>
    <x v="1"/>
    <s v="D"/>
    <x v="2"/>
    <n v="27.945"/>
    <x v="164"/>
    <x v="1"/>
    <x v="2"/>
    <x v="0"/>
  </r>
  <r>
    <s v="KUX-19632-830"/>
    <x v="160"/>
    <x v="897"/>
    <s v="E-D-0.2"/>
    <n v="6"/>
    <x v="897"/>
    <s v="cbernardotr9@wix.com"/>
    <x v="0"/>
    <x v="1"/>
    <s v="D"/>
    <x v="3"/>
    <n v="3.645"/>
    <x v="6"/>
    <x v="1"/>
    <x v="2"/>
    <x v="0"/>
  </r>
  <r>
    <s v="SNZ-44595-152"/>
    <x v="681"/>
    <x v="898"/>
    <s v="R-L-1"/>
    <n v="2"/>
    <x v="898"/>
    <s v="kkemeryra@t.co"/>
    <x v="0"/>
    <x v="0"/>
    <s v="L"/>
    <x v="0"/>
    <n v="11.95"/>
    <x v="178"/>
    <x v="0"/>
    <x v="1"/>
    <x v="0"/>
  </r>
  <r>
    <s v="GQA-37241-629"/>
    <x v="502"/>
    <x v="899"/>
    <s v="A-M-0.2"/>
    <n v="2"/>
    <x v="899"/>
    <s v="fparlotrb@forbes.com"/>
    <x v="0"/>
    <x v="2"/>
    <s v="M"/>
    <x v="3"/>
    <n v="3.375"/>
    <x v="52"/>
    <x v="2"/>
    <x v="0"/>
    <x v="0"/>
  </r>
  <r>
    <s v="WVV-79948-067"/>
    <x v="682"/>
    <x v="900"/>
    <s v="E-M-2.5"/>
    <n v="1"/>
    <x v="900"/>
    <s v="rcheakrc@tripadvisor.com"/>
    <x v="1"/>
    <x v="1"/>
    <s v="M"/>
    <x v="2"/>
    <n v="31.624999999999996"/>
    <x v="176"/>
    <x v="1"/>
    <x v="0"/>
    <x v="0"/>
  </r>
  <r>
    <s v="LHX-81117-166"/>
    <x v="683"/>
    <x v="901"/>
    <s v="R-L-1"/>
    <n v="4"/>
    <x v="901"/>
    <s v="kogeneayrd@utexas.edu"/>
    <x v="0"/>
    <x v="0"/>
    <s v="L"/>
    <x v="0"/>
    <n v="11.95"/>
    <x v="62"/>
    <x v="0"/>
    <x v="1"/>
    <x v="1"/>
  </r>
  <r>
    <s v="GCD-75444-320"/>
    <x v="594"/>
    <x v="902"/>
    <s v="L-M-2.5"/>
    <n v="1"/>
    <x v="902"/>
    <s v="cayrere@symantec.com"/>
    <x v="0"/>
    <x v="3"/>
    <s v="M"/>
    <x v="2"/>
    <n v="33.464999999999996"/>
    <x v="116"/>
    <x v="3"/>
    <x v="0"/>
    <x v="1"/>
  </r>
  <r>
    <s v="SGA-30059-217"/>
    <x v="389"/>
    <x v="903"/>
    <s v="A-D-0.5"/>
    <n v="5"/>
    <x v="903"/>
    <s v="lkynetonrf@macromedia.com"/>
    <x v="2"/>
    <x v="2"/>
    <s v="D"/>
    <x v="1"/>
    <n v="5.97"/>
    <x v="44"/>
    <x v="2"/>
    <x v="2"/>
    <x v="0"/>
  </r>
  <r>
    <s v="GNL-98714-885"/>
    <x v="583"/>
    <x v="904"/>
    <s v="R-M-1"/>
    <n v="3"/>
    <x v="904"/>
    <n v="0"/>
    <x v="2"/>
    <x v="0"/>
    <s v="M"/>
    <x v="0"/>
    <n v="9.9499999999999993"/>
    <x v="44"/>
    <x v="0"/>
    <x v="0"/>
    <x v="0"/>
  </r>
  <r>
    <s v="OQA-93249-841"/>
    <x v="647"/>
    <x v="905"/>
    <s v="A-M-2.5"/>
    <n v="6"/>
    <x v="905"/>
    <n v="0"/>
    <x v="0"/>
    <x v="2"/>
    <s v="M"/>
    <x v="2"/>
    <n v="25.874999999999996"/>
    <x v="71"/>
    <x v="2"/>
    <x v="0"/>
    <x v="0"/>
  </r>
  <r>
    <s v="DUV-12075-132"/>
    <x v="366"/>
    <x v="906"/>
    <s v="E-D-0.2"/>
    <n v="5"/>
    <x v="906"/>
    <n v="0"/>
    <x v="0"/>
    <x v="1"/>
    <s v="D"/>
    <x v="3"/>
    <n v="3.645"/>
    <x v="94"/>
    <x v="1"/>
    <x v="2"/>
    <x v="1"/>
  </r>
  <r>
    <s v="DUV-12075-132"/>
    <x v="366"/>
    <x v="906"/>
    <s v="L-D-0.5"/>
    <n v="2"/>
    <x v="906"/>
    <n v="0"/>
    <x v="0"/>
    <x v="3"/>
    <s v="D"/>
    <x v="1"/>
    <n v="7.77"/>
    <x v="42"/>
    <x v="3"/>
    <x v="2"/>
    <x v="1"/>
  </r>
  <r>
    <s v="KPO-24942-184"/>
    <x v="684"/>
    <x v="907"/>
    <s v="L-L-2.5"/>
    <n v="3"/>
    <x v="907"/>
    <n v="0"/>
    <x v="1"/>
    <x v="3"/>
    <s v="L"/>
    <x v="2"/>
    <n v="36.454999999999998"/>
    <x v="63"/>
    <x v="3"/>
    <x v="1"/>
    <x v="1"/>
  </r>
  <r>
    <s v="SRJ-79353-838"/>
    <x v="506"/>
    <x v="908"/>
    <s v="A-L-1"/>
    <n v="6"/>
    <x v="908"/>
    <n v="0"/>
    <x v="0"/>
    <x v="2"/>
    <s v="L"/>
    <x v="0"/>
    <n v="12.95"/>
    <x v="17"/>
    <x v="2"/>
    <x v="1"/>
    <x v="1"/>
  </r>
  <r>
    <s v="XBV-40336-071"/>
    <x v="685"/>
    <x v="909"/>
    <s v="A-D-0.2"/>
    <n v="3"/>
    <x v="909"/>
    <n v="0"/>
    <x v="1"/>
    <x v="2"/>
    <s v="D"/>
    <x v="3"/>
    <n v="2.9849999999999999"/>
    <x v="169"/>
    <x v="2"/>
    <x v="2"/>
    <x v="1"/>
  </r>
  <r>
    <s v="RLM-96511-467"/>
    <x v="191"/>
    <x v="910"/>
    <s v="R-L-2.5"/>
    <n v="1"/>
    <x v="910"/>
    <s v="jtewelsonrn@samsung.com"/>
    <x v="0"/>
    <x v="0"/>
    <s v="L"/>
    <x v="2"/>
    <n v="27.484999999999996"/>
    <x v="142"/>
    <x v="0"/>
    <x v="1"/>
    <x v="1"/>
  </r>
  <r>
    <s v="AEZ-13242-456"/>
    <x v="686"/>
    <x v="906"/>
    <s v="R-M-0.5"/>
    <n v="5"/>
    <x v="906"/>
    <n v="0"/>
    <x v="0"/>
    <x v="0"/>
    <s v="M"/>
    <x v="1"/>
    <n v="5.97"/>
    <x v="44"/>
    <x v="0"/>
    <x v="0"/>
    <x v="1"/>
  </r>
  <r>
    <s v="UME-75640-698"/>
    <x v="687"/>
    <x v="906"/>
    <s v="A-M-0.5"/>
    <n v="4"/>
    <x v="906"/>
    <n v="0"/>
    <x v="0"/>
    <x v="2"/>
    <s v="M"/>
    <x v="1"/>
    <n v="6.75"/>
    <x v="25"/>
    <x v="2"/>
    <x v="0"/>
    <x v="1"/>
  </r>
  <r>
    <s v="GJC-66474-557"/>
    <x v="629"/>
    <x v="911"/>
    <s v="A-D-1"/>
    <n v="1"/>
    <x v="911"/>
    <s v="njennyrq@bigcartel.com"/>
    <x v="0"/>
    <x v="2"/>
    <s v="D"/>
    <x v="0"/>
    <n v="9.9499999999999993"/>
    <x v="138"/>
    <x v="2"/>
    <x v="2"/>
    <x v="1"/>
  </r>
  <r>
    <s v="IRV-20769-219"/>
    <x v="688"/>
    <x v="912"/>
    <s v="E-M-0.2"/>
    <n v="3"/>
    <x v="912"/>
    <n v="0"/>
    <x v="2"/>
    <x v="1"/>
    <s v="M"/>
    <x v="3"/>
    <n v="4.125"/>
    <x v="24"/>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BEDC79-E38F-48FA-8E1C-E493E161D37F}" name="PivotTable3"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A3:B8" firstHeaderRow="1" firstDataRow="1" firstDataCol="1"/>
  <pivotFields count="18">
    <pivotField showAll="0"/>
    <pivotField numFmtId="167" showAll="0">
      <items count="15">
        <item x="0"/>
        <item x="1"/>
        <item x="2"/>
        <item x="3"/>
        <item x="4"/>
        <item x="5"/>
        <item x="6"/>
        <item x="7"/>
        <item x="8"/>
        <item x="9"/>
        <item x="10"/>
        <item x="11"/>
        <item x="12"/>
        <item x="13"/>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axis="axisRow" showAll="0" measureFilter="1" sortType="de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5"/>
  </rowFields>
  <rowItems count="5">
    <i>
      <x v="28"/>
    </i>
    <i>
      <x v="125"/>
    </i>
    <i>
      <x v="831"/>
    </i>
    <i>
      <x v="646"/>
    </i>
    <i>
      <x v="255"/>
    </i>
  </rowItems>
  <colItems count="1">
    <i/>
  </colItems>
  <dataFields count="1">
    <dataField name="Sum of sale" fld="12" baseField="5" baseItem="28" numFmtId="168"/>
  </dataFields>
  <formats count="2">
    <format dxfId="4">
      <pivotArea outline="0" collapsedLevelsAreSubtotals="1" fieldPosition="0"/>
    </format>
    <format dxfId="3">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AA5672-E390-4A75-8C49-9CC7B89F5768}"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18">
    <pivotField showAll="0"/>
    <pivotField numFmtId="167"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4">
    <i>
      <x v="2"/>
    </i>
    <i>
      <x/>
    </i>
    <i>
      <x v="1"/>
    </i>
    <i t="grand">
      <x/>
    </i>
  </rowItems>
  <colItems count="1">
    <i/>
  </colItems>
  <dataFields count="1">
    <dataField name="Sum of sale" fld="12" baseField="0" baseItem="0" numFmtId="168"/>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9434C5-6319-4F9B-9A55-D0F786646C5B}" name="PivotTable2" cacheId="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5" rowHeaderCaption="years">
  <location ref="A4:F9" firstHeaderRow="1" firstDataRow="2" firstDataCol="1"/>
  <pivotFields count="18">
    <pivotField showAll="0"/>
    <pivotField axis="axisRow" numFmtId="167" showAll="0">
      <items count="15">
        <item x="0"/>
        <item x="1"/>
        <item x="2"/>
        <item x="3"/>
        <item x="4"/>
        <item x="5"/>
        <item x="6"/>
        <item x="7"/>
        <item x="8"/>
        <item x="9"/>
        <item x="10"/>
        <item x="11"/>
        <item x="12"/>
        <item x="13"/>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pivotField showAll="0"/>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pivotField axis="axisCol" showAll="0">
      <items count="5">
        <item x="2"/>
        <item x="1"/>
        <item x="3"/>
        <item x="0"/>
        <item t="default"/>
      </items>
    </pivotField>
    <pivotField showAll="0">
      <items count="4">
        <item x="2"/>
        <item x="1"/>
        <item x="0"/>
        <item t="default"/>
      </items>
    </pivotField>
    <pivotField showAll="0">
      <items count="3">
        <item x="1"/>
        <item x="0"/>
        <item t="default"/>
      </items>
    </pivotField>
    <pivotField showAll="0">
      <items count="7">
        <item sd="0" x="0"/>
        <item sd="0" x="1"/>
        <item sd="0" x="2"/>
        <item sd="0" x="3"/>
        <item sd="0" x="4"/>
        <item sd="0" x="5"/>
        <item t="default"/>
      </items>
    </pivotField>
    <pivotField axis="axisRow" multipleItemSelectionAllowed="1" showAll="0">
      <items count="7">
        <item sd="0" x="0"/>
        <item sd="0" x="1"/>
        <item sd="0" x="2"/>
        <item sd="0" x="3"/>
        <item sd="0" x="4"/>
        <item sd="0" x="5"/>
        <item t="default" sd="0"/>
      </items>
    </pivotField>
  </pivotFields>
  <rowFields count="2">
    <field x="17"/>
    <field x="1"/>
  </rowFields>
  <rowItems count="4">
    <i>
      <x v="1"/>
    </i>
    <i>
      <x v="2"/>
    </i>
    <i>
      <x v="3"/>
    </i>
    <i>
      <x v="4"/>
    </i>
  </rowItems>
  <colFields count="1">
    <field x="13"/>
  </colFields>
  <colItems count="5">
    <i>
      <x/>
    </i>
    <i>
      <x v="1"/>
    </i>
    <i>
      <x v="2"/>
    </i>
    <i>
      <x v="3"/>
    </i>
    <i t="grand">
      <x/>
    </i>
  </colItems>
  <dataFields count="1">
    <dataField name="Sum of sale" fld="12" baseField="0" baseItem="0" numFmtId="169"/>
  </dataFields>
  <formats count="1">
    <format dxfId="1">
      <pivotArea outline="0" collapsedLevelsAreSubtotals="1" fieldPosition="0"/>
    </format>
  </formats>
  <chartFormats count="1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4" format="8" series="1">
      <pivotArea type="data" outline="0" fieldPosition="0">
        <references count="2">
          <reference field="4294967294" count="1" selected="0">
            <x v="0"/>
          </reference>
          <reference field="13" count="1" selected="0">
            <x v="0"/>
          </reference>
        </references>
      </pivotArea>
    </chartFormat>
    <chartFormat chart="4" format="9" series="1">
      <pivotArea type="data" outline="0" fieldPosition="0">
        <references count="2">
          <reference field="4294967294" count="1" selected="0">
            <x v="0"/>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2"/>
          </reference>
        </references>
      </pivotArea>
    </chartFormat>
    <chartFormat chart="4" format="11" series="1">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273390-282C-412F-9179-C90172864749}" name="PivotTable5"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6">
  <location ref="A3:C6" firstHeaderRow="0" firstDataRow="1" firstDataCol="1"/>
  <pivotFields count="18">
    <pivotField showAll="0"/>
    <pivotField numFmtId="167" showAll="0">
      <items count="15">
        <item x="0"/>
        <item x="1"/>
        <item x="2"/>
        <item x="3"/>
        <item x="4"/>
        <item x="5"/>
        <item x="6"/>
        <item x="7"/>
        <item x="8"/>
        <item x="9"/>
        <item x="10"/>
        <item x="11"/>
        <item x="12"/>
        <item x="13"/>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numFmtId="166" showAll="0">
      <items count="5">
        <item x="3"/>
        <item x="1"/>
        <item x="0"/>
        <item x="2"/>
        <item t="default"/>
      </items>
    </pivotField>
    <pivotField numFmtId="165" showAll="0"/>
    <pivotField numFmtId="44"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3">
    <i>
      <x v="2"/>
    </i>
    <i>
      <x/>
    </i>
    <i>
      <x v="1"/>
    </i>
  </rowItems>
  <colFields count="1">
    <field x="-2"/>
  </colFields>
  <colItems count="2">
    <i>
      <x/>
    </i>
    <i i="1">
      <x v="1"/>
    </i>
  </colItems>
  <dataFields count="2">
    <dataField name="Count of Customer ID" fld="2" subtotal="count" baseField="0" baseItem="0"/>
    <dataField name="Customer Distribution (%)" fld="2" subtotal="count" showDataAs="percentOfTotal" baseField="7" baseItem="2" numFmtId="10"/>
  </dataFields>
  <formats count="1">
    <format dxfId="0">
      <pivotArea outline="0" collapsedLevelsAreSubtotals="1" fieldPosition="0">
        <references count="1">
          <reference field="4294967294" count="1" selected="0">
            <x v="1"/>
          </reference>
        </references>
      </pivotArea>
    </format>
  </formats>
  <chartFormats count="16">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7" count="1" selected="0">
            <x v="2"/>
          </reference>
        </references>
      </pivotArea>
    </chartFormat>
    <chartFormat chart="5" format="12">
      <pivotArea type="data" outline="0" fieldPosition="0">
        <references count="2">
          <reference field="4294967294" count="1" selected="0">
            <x v="0"/>
          </reference>
          <reference field="7" count="1" selected="0">
            <x v="0"/>
          </reference>
        </references>
      </pivotArea>
    </chartFormat>
    <chartFormat chart="5" format="13">
      <pivotArea type="data" outline="0" fieldPosition="0">
        <references count="2">
          <reference field="4294967294" count="1" selected="0">
            <x v="0"/>
          </reference>
          <reference field="7" count="1" selected="0">
            <x v="1"/>
          </reference>
        </references>
      </pivotArea>
    </chartFormat>
    <chartFormat chart="5" format="14" series="1">
      <pivotArea type="data" outline="0" fieldPosition="0">
        <references count="1">
          <reference field="4294967294" count="1" selected="0">
            <x v="1"/>
          </reference>
        </references>
      </pivotArea>
    </chartFormat>
    <chartFormat chart="5" format="15">
      <pivotArea type="data" outline="0" fieldPosition="0">
        <references count="2">
          <reference field="4294967294" count="1" selected="0">
            <x v="1"/>
          </reference>
          <reference field="7" count="1" selected="0">
            <x v="2"/>
          </reference>
        </references>
      </pivotArea>
    </chartFormat>
    <chartFormat chart="5" format="16">
      <pivotArea type="data" outline="0" fieldPosition="0">
        <references count="2">
          <reference field="4294967294" count="1" selected="0">
            <x v="1"/>
          </reference>
          <reference field="7" count="1" selected="0">
            <x v="0"/>
          </reference>
        </references>
      </pivotArea>
    </chartFormat>
    <chartFormat chart="5" format="17">
      <pivotArea type="data" outline="0" fieldPosition="0">
        <references count="2">
          <reference field="4294967294" count="1" selected="0">
            <x v="1"/>
          </reference>
          <reference field="7"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7" count="1" selected="0">
            <x v="2"/>
          </reference>
        </references>
      </pivotArea>
    </chartFormat>
    <chartFormat chart="0" format="5">
      <pivotArea type="data" outline="0" fieldPosition="0">
        <references count="2">
          <reference field="4294967294" count="1" selected="0">
            <x v="0"/>
          </reference>
          <reference field="7" count="1" selected="0">
            <x v="0"/>
          </reference>
        </references>
      </pivotArea>
    </chartFormat>
    <chartFormat chart="0" format="6">
      <pivotArea type="data" outline="0" fieldPosition="0">
        <references count="2">
          <reference field="4294967294" count="1" selected="0">
            <x v="0"/>
          </reference>
          <reference field="7" count="1" selected="0">
            <x v="1"/>
          </reference>
        </references>
      </pivotArea>
    </chartFormat>
    <chartFormat chart="0" format="7">
      <pivotArea type="data" outline="0" fieldPosition="0">
        <references count="2">
          <reference field="4294967294" count="1" selected="0">
            <x v="1"/>
          </reference>
          <reference field="7" count="1" selected="0">
            <x v="2"/>
          </reference>
        </references>
      </pivotArea>
    </chartFormat>
    <chartFormat chart="0" format="8">
      <pivotArea type="data" outline="0" fieldPosition="0">
        <references count="2">
          <reference field="4294967294" count="1" selected="0">
            <x v="1"/>
          </reference>
          <reference field="7" count="1" selected="0">
            <x v="0"/>
          </reference>
        </references>
      </pivotArea>
    </chartFormat>
    <chartFormat chart="0" format="9">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st_Type_Name" xr10:uid="{E548A2B1-A32F-4AB8-A2F0-510E514325A4}" sourceName="Rost Type Name">
  <pivotTables>
    <pivotTable tabId="7" name="PivotTable3"/>
    <pivotTable tabId="5" name="PivotTable2"/>
    <pivotTable tabId="10" name="PivotTable4"/>
    <pivotTable tabId="13" name="PivotTable5"/>
  </pivotTables>
  <data>
    <tabular pivotCacheId="167614307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C61CBE-2503-4AFB-8786-11CBA380724B}" sourceName="Years">
  <pivotTables>
    <pivotTable tabId="5" name="PivotTable2"/>
    <pivotTable tabId="7" name="PivotTable3"/>
    <pivotTable tabId="10" name="PivotTable4"/>
    <pivotTable tabId="13" name="PivotTable5"/>
  </pivotTables>
  <data>
    <tabular pivotCacheId="1676143075">
      <items count="6">
        <i x="1" s="1"/>
        <i x="2" s="1"/>
        <i x="3" s="1"/>
        <i x="4" s="1"/>
        <i x="0" s="1" nd="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31E5978C-C28B-47BF-9104-956ED84A4084}" sourceName="Coffee type">
  <pivotTables>
    <pivotTable tabId="10" name="PivotTable4"/>
    <pivotTable tabId="13" name="PivotTable5"/>
    <pivotTable tabId="7" name="PivotTable3"/>
    <pivotTable tabId="5" name="PivotTable2"/>
  </pivotTables>
  <data>
    <tabular pivotCacheId="1676143075">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st Type Name 1" xr10:uid="{FC1032C9-A61F-4268-91FA-79F4F45F681C}" cache="Slicer_Rost_Type_Name" caption="Rost Type Name" rowHeight="234950"/>
  <slicer name="Years 1" xr10:uid="{05C1F56A-34B4-4AEE-AA6B-E6AEC2540612}" cache="Slicer_Years" caption="Years" rowHeight="234950"/>
  <slicer name="Coffee type" xr10:uid="{491AFE3A-9148-42AC-97B2-F772264ABC2A}" cache="Slicer_Coffee_type" caption="Coffee typ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48EAE-70D4-4835-8AC1-30E8D9CC8DB6}">
  <dimension ref="A1:I1001"/>
  <sheetViews>
    <sheetView workbookViewId="0">
      <selection activeCell="J4" sqref="J4"/>
    </sheetView>
  </sheetViews>
  <sheetFormatPr defaultRowHeight="14.4" x14ac:dyDescent="0.3"/>
  <cols>
    <col min="1" max="1" width="16" bestFit="1" customWidth="1"/>
    <col min="2" max="2" width="21.77734375" bestFit="1" customWidth="1"/>
    <col min="3" max="3" width="35.5546875" bestFit="1" customWidth="1"/>
    <col min="4" max="4" width="17.88671875" bestFit="1" customWidth="1"/>
    <col min="5" max="5" width="25.21875" bestFit="1" customWidth="1"/>
    <col min="6" max="6" width="19" bestFit="1" customWidth="1"/>
    <col min="7" max="7" width="14" bestFit="1" customWidth="1"/>
    <col min="8" max="8" width="8.5546875" bestFit="1" customWidth="1"/>
    <col min="9" max="9" width="11.109375" bestFit="1" customWidth="1"/>
  </cols>
  <sheetData>
    <row r="1" spans="1:9" x14ac:dyDescent="0.3">
      <c r="A1" s="3" t="s">
        <v>2</v>
      </c>
      <c r="B1" s="3" t="s">
        <v>1923</v>
      </c>
      <c r="C1" s="3" t="s">
        <v>1924</v>
      </c>
      <c r="D1" s="3" t="s">
        <v>1925</v>
      </c>
      <c r="E1" s="3" t="s">
        <v>1926</v>
      </c>
      <c r="F1" s="3" t="s">
        <v>1927</v>
      </c>
      <c r="G1" s="3" t="s">
        <v>1928</v>
      </c>
      <c r="H1" s="3" t="s">
        <v>1929</v>
      </c>
      <c r="I1" s="3" t="s">
        <v>1930</v>
      </c>
    </row>
    <row r="2" spans="1:9" x14ac:dyDescent="0.3">
      <c r="A2" s="1" t="s">
        <v>6</v>
      </c>
      <c r="B2" s="1" t="s">
        <v>1931</v>
      </c>
      <c r="C2" s="1" t="s">
        <v>1932</v>
      </c>
      <c r="D2" s="1" t="s">
        <v>1933</v>
      </c>
      <c r="E2" s="1" t="s">
        <v>1934</v>
      </c>
      <c r="F2" s="1" t="s">
        <v>1935</v>
      </c>
      <c r="G2" s="1" t="s">
        <v>1936</v>
      </c>
      <c r="H2" s="1">
        <v>7505</v>
      </c>
      <c r="I2" t="s">
        <v>1937</v>
      </c>
    </row>
    <row r="3" spans="1:9" x14ac:dyDescent="0.3">
      <c r="A3" s="1" t="s">
        <v>1938</v>
      </c>
      <c r="B3" s="1" t="s">
        <v>1939</v>
      </c>
      <c r="C3" s="1" t="s">
        <v>1940</v>
      </c>
      <c r="D3" s="1" t="s">
        <v>1941</v>
      </c>
      <c r="E3" s="1" t="s">
        <v>1942</v>
      </c>
      <c r="F3" s="1" t="s">
        <v>1943</v>
      </c>
      <c r="G3" s="1" t="s">
        <v>1944</v>
      </c>
      <c r="H3" s="1" t="s">
        <v>1945</v>
      </c>
      <c r="I3" t="s">
        <v>1946</v>
      </c>
    </row>
    <row r="4" spans="1:9" x14ac:dyDescent="0.3">
      <c r="A4" s="1" t="s">
        <v>10</v>
      </c>
      <c r="B4" s="1" t="s">
        <v>1947</v>
      </c>
      <c r="C4" s="1" t="s">
        <v>1948</v>
      </c>
      <c r="D4" s="1" t="s">
        <v>1949</v>
      </c>
      <c r="E4" s="1" t="s">
        <v>1950</v>
      </c>
      <c r="F4" s="1" t="s">
        <v>1951</v>
      </c>
      <c r="G4" s="1" t="s">
        <v>1936</v>
      </c>
      <c r="H4" s="1">
        <v>78205</v>
      </c>
      <c r="I4" t="s">
        <v>1937</v>
      </c>
    </row>
    <row r="5" spans="1:9" x14ac:dyDescent="0.3">
      <c r="A5" s="1" t="s">
        <v>1952</v>
      </c>
      <c r="B5" s="1" t="s">
        <v>1953</v>
      </c>
      <c r="C5" s="1" t="s">
        <v>1954</v>
      </c>
      <c r="D5" s="1" t="s">
        <v>1955</v>
      </c>
      <c r="E5" s="1" t="s">
        <v>1956</v>
      </c>
      <c r="F5" s="1" t="s">
        <v>1957</v>
      </c>
      <c r="G5" s="1" t="s">
        <v>1936</v>
      </c>
      <c r="H5" s="1">
        <v>62711</v>
      </c>
      <c r="I5" t="s">
        <v>1937</v>
      </c>
    </row>
    <row r="6" spans="1:9" x14ac:dyDescent="0.3">
      <c r="A6" s="1" t="s">
        <v>13</v>
      </c>
      <c r="B6" s="1" t="s">
        <v>1958</v>
      </c>
      <c r="C6" s="1"/>
      <c r="D6" s="1" t="s">
        <v>1959</v>
      </c>
      <c r="E6" s="1" t="s">
        <v>1960</v>
      </c>
      <c r="F6" s="1" t="s">
        <v>1961</v>
      </c>
      <c r="G6" s="1" t="s">
        <v>1944</v>
      </c>
      <c r="H6" s="1" t="s">
        <v>1962</v>
      </c>
      <c r="I6" t="s">
        <v>1946</v>
      </c>
    </row>
    <row r="7" spans="1:9" x14ac:dyDescent="0.3">
      <c r="A7" s="1" t="s">
        <v>17</v>
      </c>
      <c r="B7" s="1" t="s">
        <v>1963</v>
      </c>
      <c r="C7" s="1"/>
      <c r="D7" s="1" t="s">
        <v>1964</v>
      </c>
      <c r="E7" s="1" t="s">
        <v>1965</v>
      </c>
      <c r="F7" s="1" t="s">
        <v>1966</v>
      </c>
      <c r="G7" s="1" t="s">
        <v>1936</v>
      </c>
      <c r="H7" s="1">
        <v>18505</v>
      </c>
      <c r="I7" t="s">
        <v>1946</v>
      </c>
    </row>
    <row r="8" spans="1:9" x14ac:dyDescent="0.3">
      <c r="A8" s="1" t="s">
        <v>20</v>
      </c>
      <c r="B8" s="1" t="s">
        <v>1967</v>
      </c>
      <c r="C8" s="1" t="s">
        <v>1968</v>
      </c>
      <c r="D8" s="1" t="s">
        <v>1969</v>
      </c>
      <c r="E8" s="1" t="s">
        <v>1970</v>
      </c>
      <c r="F8" s="1" t="s">
        <v>1971</v>
      </c>
      <c r="G8" s="1" t="s">
        <v>1936</v>
      </c>
      <c r="H8" s="1">
        <v>45440</v>
      </c>
      <c r="I8" t="s">
        <v>1937</v>
      </c>
    </row>
    <row r="9" spans="1:9" x14ac:dyDescent="0.3">
      <c r="A9" s="1" t="s">
        <v>23</v>
      </c>
      <c r="B9" s="1" t="s">
        <v>1972</v>
      </c>
      <c r="C9" s="1"/>
      <c r="D9" s="1" t="s">
        <v>1973</v>
      </c>
      <c r="E9" s="1" t="s">
        <v>1974</v>
      </c>
      <c r="F9" s="1" t="s">
        <v>1975</v>
      </c>
      <c r="G9" s="1" t="s">
        <v>1944</v>
      </c>
      <c r="H9" s="1" t="s">
        <v>1976</v>
      </c>
      <c r="I9" t="s">
        <v>1937</v>
      </c>
    </row>
    <row r="10" spans="1:9" x14ac:dyDescent="0.3">
      <c r="A10" s="1" t="s">
        <v>26</v>
      </c>
      <c r="B10" s="1" t="s">
        <v>1977</v>
      </c>
      <c r="C10" s="1" t="s">
        <v>1978</v>
      </c>
      <c r="D10" s="1" t="s">
        <v>1979</v>
      </c>
      <c r="E10" s="1" t="s">
        <v>1980</v>
      </c>
      <c r="F10" s="1" t="s">
        <v>1981</v>
      </c>
      <c r="G10" s="1" t="s">
        <v>1936</v>
      </c>
      <c r="H10" s="1">
        <v>90045</v>
      </c>
      <c r="I10" t="s">
        <v>1946</v>
      </c>
    </row>
    <row r="11" spans="1:9" x14ac:dyDescent="0.3">
      <c r="A11" s="1" t="s">
        <v>29</v>
      </c>
      <c r="B11" s="1" t="s">
        <v>1982</v>
      </c>
      <c r="C11" s="1" t="s">
        <v>1983</v>
      </c>
      <c r="D11" s="1" t="s">
        <v>1984</v>
      </c>
      <c r="E11" s="1" t="s">
        <v>1985</v>
      </c>
      <c r="F11" s="1" t="s">
        <v>1981</v>
      </c>
      <c r="G11" s="1" t="s">
        <v>1936</v>
      </c>
      <c r="H11" s="1">
        <v>90065</v>
      </c>
      <c r="I11" t="s">
        <v>1946</v>
      </c>
    </row>
    <row r="12" spans="1:9" x14ac:dyDescent="0.3">
      <c r="A12" s="1" t="s">
        <v>31</v>
      </c>
      <c r="B12" s="1" t="s">
        <v>1986</v>
      </c>
      <c r="C12" s="1" t="s">
        <v>1987</v>
      </c>
      <c r="D12" s="1" t="s">
        <v>1988</v>
      </c>
      <c r="E12" s="1" t="s">
        <v>1989</v>
      </c>
      <c r="F12" s="1" t="s">
        <v>1990</v>
      </c>
      <c r="G12" s="1" t="s">
        <v>1936</v>
      </c>
      <c r="H12" s="1">
        <v>95160</v>
      </c>
      <c r="I12" t="s">
        <v>1946</v>
      </c>
    </row>
    <row r="13" spans="1:9" x14ac:dyDescent="0.3">
      <c r="A13" s="1" t="s">
        <v>34</v>
      </c>
      <c r="B13" s="1" t="s">
        <v>1991</v>
      </c>
      <c r="C13" s="1" t="s">
        <v>1992</v>
      </c>
      <c r="D13" s="1" t="s">
        <v>1993</v>
      </c>
      <c r="E13" s="1" t="s">
        <v>1994</v>
      </c>
      <c r="F13" s="1" t="s">
        <v>1990</v>
      </c>
      <c r="G13" s="1" t="s">
        <v>1936</v>
      </c>
      <c r="H13" s="1">
        <v>95194</v>
      </c>
      <c r="I13" t="s">
        <v>1937</v>
      </c>
    </row>
    <row r="14" spans="1:9" x14ac:dyDescent="0.3">
      <c r="A14" s="1" t="s">
        <v>37</v>
      </c>
      <c r="B14" s="1" t="s">
        <v>1995</v>
      </c>
      <c r="C14" s="1" t="s">
        <v>1996</v>
      </c>
      <c r="D14" s="1" t="s">
        <v>1997</v>
      </c>
      <c r="E14" s="1" t="s">
        <v>1998</v>
      </c>
      <c r="F14" s="1" t="s">
        <v>1999</v>
      </c>
      <c r="G14" s="1" t="s">
        <v>1936</v>
      </c>
      <c r="H14" s="1">
        <v>23285</v>
      </c>
      <c r="I14" t="s">
        <v>1946</v>
      </c>
    </row>
    <row r="15" spans="1:9" x14ac:dyDescent="0.3">
      <c r="A15" s="1" t="s">
        <v>39</v>
      </c>
      <c r="B15" s="1" t="s">
        <v>2000</v>
      </c>
      <c r="C15" s="1" t="s">
        <v>2001</v>
      </c>
      <c r="D15" s="1"/>
      <c r="E15" s="1" t="s">
        <v>2002</v>
      </c>
      <c r="F15" s="1" t="s">
        <v>2003</v>
      </c>
      <c r="G15" s="1" t="s">
        <v>1936</v>
      </c>
      <c r="H15" s="1">
        <v>41905</v>
      </c>
      <c r="I15" t="s">
        <v>1946</v>
      </c>
    </row>
    <row r="16" spans="1:9" x14ac:dyDescent="0.3">
      <c r="A16" s="1" t="s">
        <v>42</v>
      </c>
      <c r="B16" s="1" t="s">
        <v>2004</v>
      </c>
      <c r="C16" s="1" t="s">
        <v>2005</v>
      </c>
      <c r="D16" s="1" t="s">
        <v>2006</v>
      </c>
      <c r="E16" s="1" t="s">
        <v>2007</v>
      </c>
      <c r="F16" s="1" t="s">
        <v>2008</v>
      </c>
      <c r="G16" s="1" t="s">
        <v>1936</v>
      </c>
      <c r="H16" s="1">
        <v>63131</v>
      </c>
      <c r="I16" t="s">
        <v>1937</v>
      </c>
    </row>
    <row r="17" spans="1:9" x14ac:dyDescent="0.3">
      <c r="A17" s="1" t="s">
        <v>45</v>
      </c>
      <c r="B17" s="1" t="s">
        <v>2009</v>
      </c>
      <c r="C17" s="1" t="s">
        <v>2010</v>
      </c>
      <c r="D17" s="1"/>
      <c r="E17" s="1" t="s">
        <v>2011</v>
      </c>
      <c r="F17" s="1" t="s">
        <v>2012</v>
      </c>
      <c r="G17" s="1" t="s">
        <v>1936</v>
      </c>
      <c r="H17" s="1">
        <v>19172</v>
      </c>
      <c r="I17" t="s">
        <v>1946</v>
      </c>
    </row>
    <row r="18" spans="1:9" x14ac:dyDescent="0.3">
      <c r="A18" s="1" t="s">
        <v>48</v>
      </c>
      <c r="B18" s="1" t="s">
        <v>2013</v>
      </c>
      <c r="C18" s="1" t="s">
        <v>2014</v>
      </c>
      <c r="D18" s="1" t="s">
        <v>2015</v>
      </c>
      <c r="E18" s="1" t="s">
        <v>2016</v>
      </c>
      <c r="F18" s="1" t="s">
        <v>2017</v>
      </c>
      <c r="G18" s="1" t="s">
        <v>1936</v>
      </c>
      <c r="H18" s="1">
        <v>97271</v>
      </c>
      <c r="I18" t="s">
        <v>1946</v>
      </c>
    </row>
    <row r="19" spans="1:9" x14ac:dyDescent="0.3">
      <c r="A19" s="1" t="s">
        <v>51</v>
      </c>
      <c r="B19" s="1" t="s">
        <v>2018</v>
      </c>
      <c r="C19" s="1" t="s">
        <v>2019</v>
      </c>
      <c r="D19" s="1" t="s">
        <v>2020</v>
      </c>
      <c r="E19" s="1" t="s">
        <v>2021</v>
      </c>
      <c r="F19" s="1" t="s">
        <v>2022</v>
      </c>
      <c r="G19" s="1" t="s">
        <v>1936</v>
      </c>
      <c r="H19" s="1">
        <v>77240</v>
      </c>
      <c r="I19" t="s">
        <v>1946</v>
      </c>
    </row>
    <row r="20" spans="1:9" x14ac:dyDescent="0.3">
      <c r="A20" s="1" t="s">
        <v>53</v>
      </c>
      <c r="B20" s="1" t="s">
        <v>2023</v>
      </c>
      <c r="C20" s="1" t="s">
        <v>2024</v>
      </c>
      <c r="D20" s="1"/>
      <c r="E20" s="1" t="s">
        <v>2025</v>
      </c>
      <c r="F20" s="1" t="s">
        <v>2026</v>
      </c>
      <c r="G20" s="1" t="s">
        <v>1944</v>
      </c>
      <c r="H20" s="1" t="s">
        <v>2027</v>
      </c>
      <c r="I20" t="s">
        <v>1937</v>
      </c>
    </row>
    <row r="21" spans="1:9" x14ac:dyDescent="0.3">
      <c r="A21" s="1" t="s">
        <v>55</v>
      </c>
      <c r="B21" s="1" t="s">
        <v>2028</v>
      </c>
      <c r="C21" s="1" t="s">
        <v>2029</v>
      </c>
      <c r="D21" s="1" t="s">
        <v>2030</v>
      </c>
      <c r="E21" s="1" t="s">
        <v>2031</v>
      </c>
      <c r="F21" s="1" t="s">
        <v>2032</v>
      </c>
      <c r="G21" s="1" t="s">
        <v>1936</v>
      </c>
      <c r="H21" s="1">
        <v>10060</v>
      </c>
      <c r="I21" t="s">
        <v>1937</v>
      </c>
    </row>
    <row r="22" spans="1:9" x14ac:dyDescent="0.3">
      <c r="A22" s="1" t="s">
        <v>2033</v>
      </c>
      <c r="B22" s="1" t="s">
        <v>2034</v>
      </c>
      <c r="C22" s="1"/>
      <c r="D22" s="1" t="s">
        <v>2035</v>
      </c>
      <c r="E22" s="1" t="s">
        <v>2036</v>
      </c>
      <c r="F22" s="1" t="s">
        <v>2037</v>
      </c>
      <c r="G22" s="1" t="s">
        <v>1944</v>
      </c>
      <c r="H22" s="1" t="s">
        <v>2038</v>
      </c>
      <c r="I22" t="s">
        <v>1937</v>
      </c>
    </row>
    <row r="23" spans="1:9" x14ac:dyDescent="0.3">
      <c r="A23" s="1" t="s">
        <v>58</v>
      </c>
      <c r="B23" s="1" t="s">
        <v>2039</v>
      </c>
      <c r="C23" s="1" t="s">
        <v>2040</v>
      </c>
      <c r="D23" s="1" t="s">
        <v>2041</v>
      </c>
      <c r="E23" s="1" t="s">
        <v>2042</v>
      </c>
      <c r="F23" s="1" t="s">
        <v>2043</v>
      </c>
      <c r="G23" s="1" t="s">
        <v>1936</v>
      </c>
      <c r="H23" s="1">
        <v>49560</v>
      </c>
      <c r="I23" t="s">
        <v>1946</v>
      </c>
    </row>
    <row r="24" spans="1:9" x14ac:dyDescent="0.3">
      <c r="A24" s="1" t="s">
        <v>61</v>
      </c>
      <c r="B24" s="1" t="s">
        <v>2044</v>
      </c>
      <c r="C24" s="1" t="s">
        <v>2045</v>
      </c>
      <c r="D24" s="1" t="s">
        <v>2046</v>
      </c>
      <c r="E24" s="1" t="s">
        <v>2047</v>
      </c>
      <c r="F24" s="1" t="s">
        <v>2048</v>
      </c>
      <c r="G24" s="1" t="s">
        <v>1936</v>
      </c>
      <c r="H24" s="1">
        <v>33982</v>
      </c>
      <c r="I24" t="s">
        <v>1937</v>
      </c>
    </row>
    <row r="25" spans="1:9" x14ac:dyDescent="0.3">
      <c r="A25" s="1" t="s">
        <v>63</v>
      </c>
      <c r="B25" s="1" t="s">
        <v>2049</v>
      </c>
      <c r="C25" s="1" t="s">
        <v>2050</v>
      </c>
      <c r="D25" s="1" t="s">
        <v>2051</v>
      </c>
      <c r="E25" s="1" t="s">
        <v>2052</v>
      </c>
      <c r="F25" s="1" t="s">
        <v>2053</v>
      </c>
      <c r="G25" s="1" t="s">
        <v>1936</v>
      </c>
      <c r="H25" s="1">
        <v>98682</v>
      </c>
      <c r="I25" t="s">
        <v>1937</v>
      </c>
    </row>
    <row r="26" spans="1:9" x14ac:dyDescent="0.3">
      <c r="A26" s="1" t="s">
        <v>65</v>
      </c>
      <c r="B26" s="1" t="s">
        <v>2054</v>
      </c>
      <c r="C26" s="1" t="s">
        <v>2055</v>
      </c>
      <c r="D26" s="1" t="s">
        <v>2056</v>
      </c>
      <c r="E26" s="1" t="s">
        <v>2057</v>
      </c>
      <c r="F26" s="1" t="s">
        <v>2058</v>
      </c>
      <c r="G26" s="1" t="s">
        <v>1936</v>
      </c>
      <c r="H26" s="1">
        <v>80150</v>
      </c>
      <c r="I26" t="s">
        <v>1946</v>
      </c>
    </row>
    <row r="27" spans="1:9" x14ac:dyDescent="0.3">
      <c r="A27" s="1" t="s">
        <v>68</v>
      </c>
      <c r="B27" s="1" t="s">
        <v>2059</v>
      </c>
      <c r="C27" s="1"/>
      <c r="D27" s="1" t="s">
        <v>2060</v>
      </c>
      <c r="E27" s="1" t="s">
        <v>2061</v>
      </c>
      <c r="F27" s="1" t="s">
        <v>2048</v>
      </c>
      <c r="G27" s="1" t="s">
        <v>1936</v>
      </c>
      <c r="H27" s="1">
        <v>33982</v>
      </c>
      <c r="I27" t="s">
        <v>1937</v>
      </c>
    </row>
    <row r="28" spans="1:9" x14ac:dyDescent="0.3">
      <c r="A28" s="1" t="s">
        <v>71</v>
      </c>
      <c r="B28" s="1" t="s">
        <v>2062</v>
      </c>
      <c r="C28" s="1" t="s">
        <v>2063</v>
      </c>
      <c r="D28" s="1" t="s">
        <v>2064</v>
      </c>
      <c r="E28" s="1" t="s">
        <v>2065</v>
      </c>
      <c r="F28" s="1" t="s">
        <v>2066</v>
      </c>
      <c r="G28" s="1" t="s">
        <v>1936</v>
      </c>
      <c r="H28" s="1">
        <v>94975</v>
      </c>
      <c r="I28" t="s">
        <v>1937</v>
      </c>
    </row>
    <row r="29" spans="1:9" x14ac:dyDescent="0.3">
      <c r="A29" s="1" t="s">
        <v>74</v>
      </c>
      <c r="B29" s="1" t="s">
        <v>2067</v>
      </c>
      <c r="C29" s="1" t="s">
        <v>2068</v>
      </c>
      <c r="D29" s="1" t="s">
        <v>2069</v>
      </c>
      <c r="E29" s="1" t="s">
        <v>2070</v>
      </c>
      <c r="F29" s="1" t="s">
        <v>2071</v>
      </c>
      <c r="G29" s="1" t="s">
        <v>1944</v>
      </c>
      <c r="H29" s="1" t="s">
        <v>2072</v>
      </c>
      <c r="I29" t="s">
        <v>1946</v>
      </c>
    </row>
    <row r="30" spans="1:9" x14ac:dyDescent="0.3">
      <c r="A30" s="1" t="s">
        <v>76</v>
      </c>
      <c r="B30" s="1" t="s">
        <v>2073</v>
      </c>
      <c r="C30" s="1" t="s">
        <v>2074</v>
      </c>
      <c r="D30" s="1" t="s">
        <v>2075</v>
      </c>
      <c r="E30" s="1" t="s">
        <v>2076</v>
      </c>
      <c r="F30" s="1" t="s">
        <v>2077</v>
      </c>
      <c r="G30" s="1" t="s">
        <v>1944</v>
      </c>
      <c r="H30" s="1" t="s">
        <v>2078</v>
      </c>
      <c r="I30" t="s">
        <v>1946</v>
      </c>
    </row>
    <row r="31" spans="1:9" x14ac:dyDescent="0.3">
      <c r="A31" s="1" t="s">
        <v>79</v>
      </c>
      <c r="B31" s="1" t="s">
        <v>2079</v>
      </c>
      <c r="C31" s="1" t="s">
        <v>2080</v>
      </c>
      <c r="D31" s="1" t="s">
        <v>2081</v>
      </c>
      <c r="E31" s="1" t="s">
        <v>2082</v>
      </c>
      <c r="F31" s="1" t="s">
        <v>2083</v>
      </c>
      <c r="G31" s="1" t="s">
        <v>1944</v>
      </c>
      <c r="H31" s="1" t="s">
        <v>2084</v>
      </c>
      <c r="I31" t="s">
        <v>1937</v>
      </c>
    </row>
    <row r="32" spans="1:9" x14ac:dyDescent="0.3">
      <c r="A32" s="1" t="s">
        <v>81</v>
      </c>
      <c r="B32" s="1" t="s">
        <v>2085</v>
      </c>
      <c r="C32" s="1"/>
      <c r="D32" s="1" t="s">
        <v>2086</v>
      </c>
      <c r="E32" s="1" t="s">
        <v>2087</v>
      </c>
      <c r="F32" s="1" t="s">
        <v>2088</v>
      </c>
      <c r="G32" s="1" t="s">
        <v>1936</v>
      </c>
      <c r="H32" s="1">
        <v>80044</v>
      </c>
      <c r="I32" t="s">
        <v>1946</v>
      </c>
    </row>
    <row r="33" spans="1:9" x14ac:dyDescent="0.3">
      <c r="A33" s="1" t="s">
        <v>2089</v>
      </c>
      <c r="B33" s="1" t="s">
        <v>2090</v>
      </c>
      <c r="C33" s="1" t="s">
        <v>2091</v>
      </c>
      <c r="D33" s="1" t="s">
        <v>2092</v>
      </c>
      <c r="E33" s="1" t="s">
        <v>2093</v>
      </c>
      <c r="F33" s="1" t="s">
        <v>2094</v>
      </c>
      <c r="G33" s="1" t="s">
        <v>1936</v>
      </c>
      <c r="H33" s="1">
        <v>11407</v>
      </c>
      <c r="I33" t="s">
        <v>1946</v>
      </c>
    </row>
    <row r="34" spans="1:9" x14ac:dyDescent="0.3">
      <c r="A34" s="1" t="s">
        <v>2095</v>
      </c>
      <c r="B34" s="1" t="s">
        <v>2096</v>
      </c>
      <c r="C34" s="1" t="s">
        <v>2097</v>
      </c>
      <c r="D34" s="1" t="s">
        <v>2098</v>
      </c>
      <c r="E34" s="1" t="s">
        <v>2099</v>
      </c>
      <c r="F34" s="1" t="s">
        <v>2100</v>
      </c>
      <c r="G34" s="1" t="s">
        <v>1944</v>
      </c>
      <c r="H34" s="1" t="s">
        <v>2101</v>
      </c>
      <c r="I34" t="s">
        <v>1937</v>
      </c>
    </row>
    <row r="35" spans="1:9" x14ac:dyDescent="0.3">
      <c r="A35" s="1" t="s">
        <v>85</v>
      </c>
      <c r="B35" s="1" t="s">
        <v>2102</v>
      </c>
      <c r="C35" s="1" t="s">
        <v>2103</v>
      </c>
      <c r="D35" s="1"/>
      <c r="E35" s="1" t="s">
        <v>2104</v>
      </c>
      <c r="F35" s="1" t="s">
        <v>2105</v>
      </c>
      <c r="G35" s="1" t="s">
        <v>1936</v>
      </c>
      <c r="H35" s="1">
        <v>58207</v>
      </c>
      <c r="I35" t="s">
        <v>1946</v>
      </c>
    </row>
    <row r="36" spans="1:9" x14ac:dyDescent="0.3">
      <c r="A36" s="1" t="s">
        <v>87</v>
      </c>
      <c r="B36" s="1" t="s">
        <v>2106</v>
      </c>
      <c r="C36" s="1" t="s">
        <v>2107</v>
      </c>
      <c r="D36" s="1" t="s">
        <v>2108</v>
      </c>
      <c r="E36" s="1" t="s">
        <v>2109</v>
      </c>
      <c r="F36" s="1" t="s">
        <v>2110</v>
      </c>
      <c r="G36" s="1" t="s">
        <v>2111</v>
      </c>
      <c r="H36" s="1" t="s">
        <v>2112</v>
      </c>
      <c r="I36" t="s">
        <v>1937</v>
      </c>
    </row>
    <row r="37" spans="1:9" x14ac:dyDescent="0.3">
      <c r="A37" s="1" t="s">
        <v>90</v>
      </c>
      <c r="B37" s="1" t="s">
        <v>2113</v>
      </c>
      <c r="C37" s="1" t="s">
        <v>2114</v>
      </c>
      <c r="D37" s="1" t="s">
        <v>2115</v>
      </c>
      <c r="E37" s="1" t="s">
        <v>2116</v>
      </c>
      <c r="F37" s="1" t="s">
        <v>2117</v>
      </c>
      <c r="G37" s="1" t="s">
        <v>1936</v>
      </c>
      <c r="H37" s="1">
        <v>25362</v>
      </c>
      <c r="I37" t="s">
        <v>1946</v>
      </c>
    </row>
    <row r="38" spans="1:9" x14ac:dyDescent="0.3">
      <c r="A38" s="1" t="s">
        <v>92</v>
      </c>
      <c r="B38" s="1" t="s">
        <v>2118</v>
      </c>
      <c r="C38" s="1" t="s">
        <v>2119</v>
      </c>
      <c r="D38" s="1" t="s">
        <v>2120</v>
      </c>
      <c r="E38" s="1" t="s">
        <v>2121</v>
      </c>
      <c r="F38" s="1" t="s">
        <v>2122</v>
      </c>
      <c r="G38" s="1" t="s">
        <v>1936</v>
      </c>
      <c r="H38" s="1">
        <v>72204</v>
      </c>
      <c r="I38" t="s">
        <v>1946</v>
      </c>
    </row>
    <row r="39" spans="1:9" x14ac:dyDescent="0.3">
      <c r="A39" s="1" t="s">
        <v>94</v>
      </c>
      <c r="B39" s="1" t="s">
        <v>2123</v>
      </c>
      <c r="C39" s="1" t="s">
        <v>2124</v>
      </c>
      <c r="D39" s="1" t="s">
        <v>2125</v>
      </c>
      <c r="E39" s="1" t="s">
        <v>2126</v>
      </c>
      <c r="F39" s="1" t="s">
        <v>2127</v>
      </c>
      <c r="G39" s="1" t="s">
        <v>1936</v>
      </c>
      <c r="H39" s="1">
        <v>80291</v>
      </c>
      <c r="I39" t="s">
        <v>1946</v>
      </c>
    </row>
    <row r="40" spans="1:9" x14ac:dyDescent="0.3">
      <c r="A40" s="1" t="s">
        <v>96</v>
      </c>
      <c r="B40" s="1" t="s">
        <v>2128</v>
      </c>
      <c r="C40" s="1" t="s">
        <v>2129</v>
      </c>
      <c r="D40" s="1" t="s">
        <v>2130</v>
      </c>
      <c r="E40" s="1" t="s">
        <v>2131</v>
      </c>
      <c r="F40" s="1" t="s">
        <v>2132</v>
      </c>
      <c r="G40" s="1" t="s">
        <v>1936</v>
      </c>
      <c r="H40" s="1">
        <v>55458</v>
      </c>
      <c r="I40" t="s">
        <v>1946</v>
      </c>
    </row>
    <row r="41" spans="1:9" x14ac:dyDescent="0.3">
      <c r="A41" s="1" t="s">
        <v>98</v>
      </c>
      <c r="B41" s="1" t="s">
        <v>2133</v>
      </c>
      <c r="C41" s="1"/>
      <c r="D41" s="1"/>
      <c r="E41" s="1" t="s">
        <v>2134</v>
      </c>
      <c r="F41" s="1" t="s">
        <v>2135</v>
      </c>
      <c r="G41" s="1" t="s">
        <v>1936</v>
      </c>
      <c r="H41" s="1">
        <v>85715</v>
      </c>
      <c r="I41" t="s">
        <v>1937</v>
      </c>
    </row>
    <row r="42" spans="1:9" x14ac:dyDescent="0.3">
      <c r="A42" s="1" t="s">
        <v>100</v>
      </c>
      <c r="B42" s="1" t="s">
        <v>2136</v>
      </c>
      <c r="C42" s="1"/>
      <c r="D42" s="1" t="s">
        <v>2137</v>
      </c>
      <c r="E42" s="1" t="s">
        <v>2138</v>
      </c>
      <c r="F42" s="1" t="s">
        <v>2139</v>
      </c>
      <c r="G42" s="1" t="s">
        <v>1936</v>
      </c>
      <c r="H42" s="1">
        <v>70116</v>
      </c>
      <c r="I42" t="s">
        <v>1946</v>
      </c>
    </row>
    <row r="43" spans="1:9" x14ac:dyDescent="0.3">
      <c r="A43" s="1" t="s">
        <v>103</v>
      </c>
      <c r="B43" s="1" t="s">
        <v>2140</v>
      </c>
      <c r="C43" s="1" t="s">
        <v>2141</v>
      </c>
      <c r="D43" s="1" t="s">
        <v>2142</v>
      </c>
      <c r="E43" s="1" t="s">
        <v>2143</v>
      </c>
      <c r="F43" s="1" t="s">
        <v>2144</v>
      </c>
      <c r="G43" s="1" t="s">
        <v>1936</v>
      </c>
      <c r="H43" s="1">
        <v>6183</v>
      </c>
      <c r="I43" t="s">
        <v>1937</v>
      </c>
    </row>
    <row r="44" spans="1:9" x14ac:dyDescent="0.3">
      <c r="A44" s="1" t="s">
        <v>105</v>
      </c>
      <c r="B44" s="1" t="s">
        <v>2145</v>
      </c>
      <c r="C44" s="1" t="s">
        <v>2146</v>
      </c>
      <c r="D44" s="1" t="s">
        <v>2147</v>
      </c>
      <c r="E44" s="1" t="s">
        <v>2148</v>
      </c>
      <c r="F44" s="1" t="s">
        <v>2149</v>
      </c>
      <c r="G44" s="1" t="s">
        <v>1936</v>
      </c>
      <c r="H44" s="1">
        <v>84409</v>
      </c>
      <c r="I44" t="s">
        <v>1937</v>
      </c>
    </row>
    <row r="45" spans="1:9" x14ac:dyDescent="0.3">
      <c r="A45" s="1" t="s">
        <v>108</v>
      </c>
      <c r="B45" s="1" t="s">
        <v>2150</v>
      </c>
      <c r="C45" s="1"/>
      <c r="D45" s="1" t="s">
        <v>2151</v>
      </c>
      <c r="E45" s="1" t="s">
        <v>2152</v>
      </c>
      <c r="F45" s="1" t="s">
        <v>2153</v>
      </c>
      <c r="G45" s="1" t="s">
        <v>1936</v>
      </c>
      <c r="H45" s="1">
        <v>2216</v>
      </c>
      <c r="I45" t="s">
        <v>1946</v>
      </c>
    </row>
    <row r="46" spans="1:9" x14ac:dyDescent="0.3">
      <c r="A46" s="1" t="s">
        <v>111</v>
      </c>
      <c r="B46" s="1" t="s">
        <v>2154</v>
      </c>
      <c r="C46" s="1" t="s">
        <v>2155</v>
      </c>
      <c r="D46" s="1" t="s">
        <v>2156</v>
      </c>
      <c r="E46" s="1" t="s">
        <v>2157</v>
      </c>
      <c r="F46" s="1" t="s">
        <v>2158</v>
      </c>
      <c r="G46" s="1" t="s">
        <v>1936</v>
      </c>
      <c r="H46" s="1">
        <v>14604</v>
      </c>
      <c r="I46" t="s">
        <v>1937</v>
      </c>
    </row>
    <row r="47" spans="1:9" x14ac:dyDescent="0.3">
      <c r="A47" s="1" t="s">
        <v>113</v>
      </c>
      <c r="B47" s="1" t="s">
        <v>2159</v>
      </c>
      <c r="C47" s="1" t="s">
        <v>2160</v>
      </c>
      <c r="D47" s="1" t="s">
        <v>2161</v>
      </c>
      <c r="E47" s="1" t="s">
        <v>2162</v>
      </c>
      <c r="F47" s="1" t="s">
        <v>2163</v>
      </c>
      <c r="G47" s="1" t="s">
        <v>1936</v>
      </c>
      <c r="H47" s="1">
        <v>10469</v>
      </c>
      <c r="I47" t="s">
        <v>1946</v>
      </c>
    </row>
    <row r="48" spans="1:9" x14ac:dyDescent="0.3">
      <c r="A48" s="1" t="s">
        <v>116</v>
      </c>
      <c r="B48" s="1" t="s">
        <v>2164</v>
      </c>
      <c r="C48" s="1"/>
      <c r="D48" s="1" t="s">
        <v>2165</v>
      </c>
      <c r="E48" s="1" t="s">
        <v>2166</v>
      </c>
      <c r="F48" s="1" t="s">
        <v>2167</v>
      </c>
      <c r="G48" s="1" t="s">
        <v>1936</v>
      </c>
      <c r="H48" s="1">
        <v>35205</v>
      </c>
      <c r="I48" t="s">
        <v>1937</v>
      </c>
    </row>
    <row r="49" spans="1:9" x14ac:dyDescent="0.3">
      <c r="A49" s="1" t="s">
        <v>119</v>
      </c>
      <c r="B49" s="1" t="s">
        <v>2168</v>
      </c>
      <c r="C49" s="1" t="s">
        <v>2169</v>
      </c>
      <c r="D49" s="1" t="s">
        <v>2170</v>
      </c>
      <c r="E49" s="1" t="s">
        <v>2171</v>
      </c>
      <c r="F49" s="1" t="s">
        <v>2172</v>
      </c>
      <c r="G49" s="1" t="s">
        <v>1936</v>
      </c>
      <c r="H49" s="1">
        <v>92415</v>
      </c>
      <c r="I49" t="s">
        <v>1937</v>
      </c>
    </row>
    <row r="50" spans="1:9" x14ac:dyDescent="0.3">
      <c r="A50" s="1" t="s">
        <v>122</v>
      </c>
      <c r="B50" s="1" t="s">
        <v>2173</v>
      </c>
      <c r="C50" s="1" t="s">
        <v>2174</v>
      </c>
      <c r="D50" s="1"/>
      <c r="E50" s="1" t="s">
        <v>2175</v>
      </c>
      <c r="F50" s="1" t="s">
        <v>2176</v>
      </c>
      <c r="G50" s="1" t="s">
        <v>1936</v>
      </c>
      <c r="H50" s="1">
        <v>23514</v>
      </c>
      <c r="I50" t="s">
        <v>1946</v>
      </c>
    </row>
    <row r="51" spans="1:9" x14ac:dyDescent="0.3">
      <c r="A51" s="1" t="s">
        <v>125</v>
      </c>
      <c r="B51" s="1" t="s">
        <v>2177</v>
      </c>
      <c r="C51" s="1" t="s">
        <v>2178</v>
      </c>
      <c r="D51" s="1" t="s">
        <v>2179</v>
      </c>
      <c r="E51" s="1" t="s">
        <v>2180</v>
      </c>
      <c r="F51" s="1" t="s">
        <v>2181</v>
      </c>
      <c r="G51" s="1" t="s">
        <v>1936</v>
      </c>
      <c r="H51" s="1">
        <v>20409</v>
      </c>
      <c r="I51" t="s">
        <v>1946</v>
      </c>
    </row>
    <row r="52" spans="1:9" x14ac:dyDescent="0.3">
      <c r="A52" s="1" t="s">
        <v>127</v>
      </c>
      <c r="B52" s="1" t="s">
        <v>2182</v>
      </c>
      <c r="C52" s="1" t="s">
        <v>2183</v>
      </c>
      <c r="D52" s="1" t="s">
        <v>2184</v>
      </c>
      <c r="E52" s="1" t="s">
        <v>2185</v>
      </c>
      <c r="F52" s="1" t="s">
        <v>2186</v>
      </c>
      <c r="G52" s="1" t="s">
        <v>1936</v>
      </c>
      <c r="H52" s="1">
        <v>33355</v>
      </c>
      <c r="I52" t="s">
        <v>1946</v>
      </c>
    </row>
    <row r="53" spans="1:9" x14ac:dyDescent="0.3">
      <c r="A53" s="1" t="s">
        <v>130</v>
      </c>
      <c r="B53" s="1" t="s">
        <v>2187</v>
      </c>
      <c r="C53" s="1" t="s">
        <v>2188</v>
      </c>
      <c r="D53" s="1" t="s">
        <v>2189</v>
      </c>
      <c r="E53" s="1" t="s">
        <v>2190</v>
      </c>
      <c r="F53" s="1" t="s">
        <v>1943</v>
      </c>
      <c r="G53" s="1" t="s">
        <v>1944</v>
      </c>
      <c r="H53" s="1" t="s">
        <v>1945</v>
      </c>
      <c r="I53" t="s">
        <v>1937</v>
      </c>
    </row>
    <row r="54" spans="1:9" x14ac:dyDescent="0.3">
      <c r="A54" s="1" t="s">
        <v>132</v>
      </c>
      <c r="B54" s="1" t="s">
        <v>2191</v>
      </c>
      <c r="C54" s="1" t="s">
        <v>2192</v>
      </c>
      <c r="D54" s="1"/>
      <c r="E54" s="1" t="s">
        <v>2193</v>
      </c>
      <c r="F54" s="1" t="s">
        <v>2194</v>
      </c>
      <c r="G54" s="1" t="s">
        <v>2111</v>
      </c>
      <c r="H54" s="1" t="s">
        <v>2195</v>
      </c>
      <c r="I54" t="s">
        <v>1946</v>
      </c>
    </row>
    <row r="55" spans="1:9" x14ac:dyDescent="0.3">
      <c r="A55" s="1" t="s">
        <v>2196</v>
      </c>
      <c r="B55" s="1" t="s">
        <v>2197</v>
      </c>
      <c r="C55" s="1" t="s">
        <v>2198</v>
      </c>
      <c r="D55" s="1" t="s">
        <v>2199</v>
      </c>
      <c r="E55" s="1" t="s">
        <v>2200</v>
      </c>
      <c r="F55" s="1" t="s">
        <v>2201</v>
      </c>
      <c r="G55" s="1" t="s">
        <v>1936</v>
      </c>
      <c r="H55" s="1">
        <v>84605</v>
      </c>
      <c r="I55" t="s">
        <v>1946</v>
      </c>
    </row>
    <row r="56" spans="1:9" x14ac:dyDescent="0.3">
      <c r="A56" s="1" t="s">
        <v>134</v>
      </c>
      <c r="B56" s="1" t="s">
        <v>2202</v>
      </c>
      <c r="C56" s="1" t="s">
        <v>2203</v>
      </c>
      <c r="D56" s="1" t="s">
        <v>2204</v>
      </c>
      <c r="E56" s="1" t="s">
        <v>2205</v>
      </c>
      <c r="F56" s="1" t="s">
        <v>2206</v>
      </c>
      <c r="G56" s="1" t="s">
        <v>1936</v>
      </c>
      <c r="H56" s="1">
        <v>43666</v>
      </c>
      <c r="I56" t="s">
        <v>1946</v>
      </c>
    </row>
    <row r="57" spans="1:9" x14ac:dyDescent="0.3">
      <c r="A57" s="1" t="s">
        <v>136</v>
      </c>
      <c r="B57" s="1" t="s">
        <v>2207</v>
      </c>
      <c r="C57" s="1"/>
      <c r="D57" s="1" t="s">
        <v>2208</v>
      </c>
      <c r="E57" s="1" t="s">
        <v>2209</v>
      </c>
      <c r="F57" s="1" t="s">
        <v>2210</v>
      </c>
      <c r="G57" s="1" t="s">
        <v>1936</v>
      </c>
      <c r="H57" s="1">
        <v>8650</v>
      </c>
      <c r="I57" t="s">
        <v>1946</v>
      </c>
    </row>
    <row r="58" spans="1:9" x14ac:dyDescent="0.3">
      <c r="A58" s="1" t="s">
        <v>139</v>
      </c>
      <c r="B58" s="1" t="s">
        <v>2211</v>
      </c>
      <c r="C58" s="1" t="s">
        <v>2212</v>
      </c>
      <c r="D58" s="1" t="s">
        <v>2213</v>
      </c>
      <c r="E58" s="1" t="s">
        <v>2214</v>
      </c>
      <c r="F58" s="1" t="s">
        <v>2215</v>
      </c>
      <c r="G58" s="1" t="s">
        <v>1936</v>
      </c>
      <c r="H58" s="1">
        <v>33686</v>
      </c>
      <c r="I58" t="s">
        <v>1937</v>
      </c>
    </row>
    <row r="59" spans="1:9" x14ac:dyDescent="0.3">
      <c r="A59" s="1" t="s">
        <v>141</v>
      </c>
      <c r="B59" s="1" t="s">
        <v>2216</v>
      </c>
      <c r="C59" s="1" t="s">
        <v>2217</v>
      </c>
      <c r="D59" s="1" t="s">
        <v>2218</v>
      </c>
      <c r="E59" s="1" t="s">
        <v>2219</v>
      </c>
      <c r="F59" s="1" t="s">
        <v>2220</v>
      </c>
      <c r="G59" s="1" t="s">
        <v>1936</v>
      </c>
      <c r="H59" s="1">
        <v>32590</v>
      </c>
      <c r="I59" t="s">
        <v>1946</v>
      </c>
    </row>
    <row r="60" spans="1:9" x14ac:dyDescent="0.3">
      <c r="A60" s="1" t="s">
        <v>144</v>
      </c>
      <c r="B60" s="1" t="s">
        <v>2221</v>
      </c>
      <c r="C60" s="1"/>
      <c r="D60" s="1" t="s">
        <v>2222</v>
      </c>
      <c r="E60" s="1" t="s">
        <v>2223</v>
      </c>
      <c r="F60" s="1" t="s">
        <v>2224</v>
      </c>
      <c r="G60" s="1" t="s">
        <v>1936</v>
      </c>
      <c r="H60" s="1">
        <v>33543</v>
      </c>
      <c r="I60" t="s">
        <v>1937</v>
      </c>
    </row>
    <row r="61" spans="1:9" x14ac:dyDescent="0.3">
      <c r="A61" s="1" t="s">
        <v>146</v>
      </c>
      <c r="B61" s="1" t="s">
        <v>2225</v>
      </c>
      <c r="C61" s="1" t="s">
        <v>2226</v>
      </c>
      <c r="D61" s="1"/>
      <c r="E61" s="1" t="s">
        <v>2227</v>
      </c>
      <c r="F61" s="1" t="s">
        <v>2228</v>
      </c>
      <c r="G61" s="1" t="s">
        <v>1936</v>
      </c>
      <c r="H61" s="1">
        <v>55123</v>
      </c>
      <c r="I61" t="s">
        <v>1937</v>
      </c>
    </row>
    <row r="62" spans="1:9" x14ac:dyDescent="0.3">
      <c r="A62" s="1" t="s">
        <v>148</v>
      </c>
      <c r="B62" s="1" t="s">
        <v>2229</v>
      </c>
      <c r="C62" s="1" t="s">
        <v>2230</v>
      </c>
      <c r="D62" s="1" t="s">
        <v>2231</v>
      </c>
      <c r="E62" s="1" t="s">
        <v>2232</v>
      </c>
      <c r="F62" s="1" t="s">
        <v>2233</v>
      </c>
      <c r="G62" s="1" t="s">
        <v>1936</v>
      </c>
      <c r="H62" s="1">
        <v>46862</v>
      </c>
      <c r="I62" t="s">
        <v>1946</v>
      </c>
    </row>
    <row r="63" spans="1:9" x14ac:dyDescent="0.3">
      <c r="A63" s="1" t="s">
        <v>150</v>
      </c>
      <c r="B63" s="1" t="s">
        <v>2234</v>
      </c>
      <c r="C63" s="1"/>
      <c r="D63" s="1" t="s">
        <v>2235</v>
      </c>
      <c r="E63" s="1" t="s">
        <v>2236</v>
      </c>
      <c r="F63" s="1" t="s">
        <v>2237</v>
      </c>
      <c r="G63" s="1" t="s">
        <v>2111</v>
      </c>
      <c r="H63" s="1" t="s">
        <v>2238</v>
      </c>
      <c r="I63" t="s">
        <v>1937</v>
      </c>
    </row>
    <row r="64" spans="1:9" x14ac:dyDescent="0.3">
      <c r="A64" s="1" t="s">
        <v>153</v>
      </c>
      <c r="B64" s="1" t="s">
        <v>2239</v>
      </c>
      <c r="C64" s="1"/>
      <c r="D64" s="1" t="s">
        <v>2240</v>
      </c>
      <c r="E64" s="1" t="s">
        <v>2241</v>
      </c>
      <c r="F64" s="1" t="s">
        <v>2242</v>
      </c>
      <c r="G64" s="1" t="s">
        <v>1936</v>
      </c>
      <c r="H64" s="1">
        <v>34114</v>
      </c>
      <c r="I64" t="s">
        <v>1937</v>
      </c>
    </row>
    <row r="65" spans="1:9" x14ac:dyDescent="0.3">
      <c r="A65" s="1" t="s">
        <v>155</v>
      </c>
      <c r="B65" s="1" t="s">
        <v>2243</v>
      </c>
      <c r="C65" s="1" t="s">
        <v>2244</v>
      </c>
      <c r="D65" s="1" t="s">
        <v>2245</v>
      </c>
      <c r="E65" s="1" t="s">
        <v>2246</v>
      </c>
      <c r="F65" s="1" t="s">
        <v>2247</v>
      </c>
      <c r="G65" s="1" t="s">
        <v>1936</v>
      </c>
      <c r="H65" s="1">
        <v>60681</v>
      </c>
      <c r="I65" t="s">
        <v>1946</v>
      </c>
    </row>
    <row r="66" spans="1:9" x14ac:dyDescent="0.3">
      <c r="A66" s="1" t="s">
        <v>157</v>
      </c>
      <c r="B66" s="1" t="s">
        <v>2248</v>
      </c>
      <c r="C66" s="1"/>
      <c r="D66" s="1" t="s">
        <v>2249</v>
      </c>
      <c r="E66" s="1" t="s">
        <v>2250</v>
      </c>
      <c r="F66" s="1" t="s">
        <v>2251</v>
      </c>
      <c r="G66" s="1" t="s">
        <v>1936</v>
      </c>
      <c r="H66" s="1">
        <v>7104</v>
      </c>
      <c r="I66" t="s">
        <v>1937</v>
      </c>
    </row>
    <row r="67" spans="1:9" x14ac:dyDescent="0.3">
      <c r="A67" s="1" t="s">
        <v>159</v>
      </c>
      <c r="B67" s="1" t="s">
        <v>2252</v>
      </c>
      <c r="C67" s="1" t="s">
        <v>2253</v>
      </c>
      <c r="D67" s="1" t="s">
        <v>2254</v>
      </c>
      <c r="E67" s="1" t="s">
        <v>2255</v>
      </c>
      <c r="F67" s="1" t="s">
        <v>2256</v>
      </c>
      <c r="G67" s="1" t="s">
        <v>1936</v>
      </c>
      <c r="H67" s="1">
        <v>22184</v>
      </c>
      <c r="I67" t="s">
        <v>1937</v>
      </c>
    </row>
    <row r="68" spans="1:9" x14ac:dyDescent="0.3">
      <c r="A68" s="1" t="s">
        <v>161</v>
      </c>
      <c r="B68" s="1" t="s">
        <v>2257</v>
      </c>
      <c r="C68" s="1" t="s">
        <v>2258</v>
      </c>
      <c r="D68" s="1" t="s">
        <v>2259</v>
      </c>
      <c r="E68" s="1" t="s">
        <v>2260</v>
      </c>
      <c r="F68" s="1" t="s">
        <v>2261</v>
      </c>
      <c r="G68" s="1" t="s">
        <v>1936</v>
      </c>
      <c r="H68" s="1">
        <v>76178</v>
      </c>
      <c r="I68" t="s">
        <v>1937</v>
      </c>
    </row>
    <row r="69" spans="1:9" x14ac:dyDescent="0.3">
      <c r="A69" s="1" t="s">
        <v>164</v>
      </c>
      <c r="B69" s="1" t="s">
        <v>2262</v>
      </c>
      <c r="C69" s="1" t="s">
        <v>2263</v>
      </c>
      <c r="D69" s="1" t="s">
        <v>2264</v>
      </c>
      <c r="E69" s="1" t="s">
        <v>2265</v>
      </c>
      <c r="F69" s="1" t="s">
        <v>2266</v>
      </c>
      <c r="G69" s="1" t="s">
        <v>1936</v>
      </c>
      <c r="H69" s="1">
        <v>91505</v>
      </c>
      <c r="I69" t="s">
        <v>1946</v>
      </c>
    </row>
    <row r="70" spans="1:9" x14ac:dyDescent="0.3">
      <c r="A70" s="1" t="s">
        <v>166</v>
      </c>
      <c r="B70" s="1" t="s">
        <v>2267</v>
      </c>
      <c r="C70" s="1" t="s">
        <v>2268</v>
      </c>
      <c r="D70" s="1" t="s">
        <v>2269</v>
      </c>
      <c r="E70" s="1" t="s">
        <v>2270</v>
      </c>
      <c r="F70" s="1" t="s">
        <v>2271</v>
      </c>
      <c r="G70" s="1" t="s">
        <v>1936</v>
      </c>
      <c r="H70" s="1">
        <v>37665</v>
      </c>
      <c r="I70" t="s">
        <v>1946</v>
      </c>
    </row>
    <row r="71" spans="1:9" x14ac:dyDescent="0.3">
      <c r="A71" s="1" t="s">
        <v>169</v>
      </c>
      <c r="B71" s="1" t="s">
        <v>2272</v>
      </c>
      <c r="C71" s="1" t="s">
        <v>2273</v>
      </c>
      <c r="D71" s="1" t="s">
        <v>2274</v>
      </c>
      <c r="E71" s="1" t="s">
        <v>2275</v>
      </c>
      <c r="F71" s="1" t="s">
        <v>2276</v>
      </c>
      <c r="G71" s="1" t="s">
        <v>2111</v>
      </c>
      <c r="H71" s="1" t="s">
        <v>2277</v>
      </c>
      <c r="I71" t="s">
        <v>1937</v>
      </c>
    </row>
    <row r="72" spans="1:9" x14ac:dyDescent="0.3">
      <c r="A72" s="1" t="s">
        <v>171</v>
      </c>
      <c r="B72" s="1" t="s">
        <v>2278</v>
      </c>
      <c r="C72" s="1" t="s">
        <v>2279</v>
      </c>
      <c r="D72" s="1" t="s">
        <v>2280</v>
      </c>
      <c r="E72" s="1" t="s">
        <v>2281</v>
      </c>
      <c r="F72" s="1" t="s">
        <v>2282</v>
      </c>
      <c r="G72" s="1" t="s">
        <v>1936</v>
      </c>
      <c r="H72" s="1">
        <v>43231</v>
      </c>
      <c r="I72" t="s">
        <v>1946</v>
      </c>
    </row>
    <row r="73" spans="1:9" x14ac:dyDescent="0.3">
      <c r="A73" s="1" t="s">
        <v>173</v>
      </c>
      <c r="B73" s="1" t="s">
        <v>2283</v>
      </c>
      <c r="C73" s="1" t="s">
        <v>2284</v>
      </c>
      <c r="D73" s="1" t="s">
        <v>2285</v>
      </c>
      <c r="E73" s="1" t="s">
        <v>2286</v>
      </c>
      <c r="F73" s="1" t="s">
        <v>2287</v>
      </c>
      <c r="G73" s="1" t="s">
        <v>1944</v>
      </c>
      <c r="H73" s="1" t="s">
        <v>2288</v>
      </c>
      <c r="I73" t="s">
        <v>1946</v>
      </c>
    </row>
    <row r="74" spans="1:9" x14ac:dyDescent="0.3">
      <c r="A74" s="1" t="s">
        <v>175</v>
      </c>
      <c r="B74" s="1" t="s">
        <v>2289</v>
      </c>
      <c r="C74" s="1"/>
      <c r="D74" s="1" t="s">
        <v>2290</v>
      </c>
      <c r="E74" s="1" t="s">
        <v>2291</v>
      </c>
      <c r="F74" s="1" t="s">
        <v>2139</v>
      </c>
      <c r="G74" s="1" t="s">
        <v>1936</v>
      </c>
      <c r="H74" s="1">
        <v>70183</v>
      </c>
      <c r="I74" t="s">
        <v>1946</v>
      </c>
    </row>
    <row r="75" spans="1:9" x14ac:dyDescent="0.3">
      <c r="A75" s="1" t="s">
        <v>178</v>
      </c>
      <c r="B75" s="1" t="s">
        <v>2292</v>
      </c>
      <c r="C75" s="1"/>
      <c r="D75" s="1" t="s">
        <v>2293</v>
      </c>
      <c r="E75" s="1" t="s">
        <v>2294</v>
      </c>
      <c r="F75" s="1" t="s">
        <v>2295</v>
      </c>
      <c r="G75" s="1" t="s">
        <v>1936</v>
      </c>
      <c r="H75" s="1">
        <v>28230</v>
      </c>
      <c r="I75" t="s">
        <v>1937</v>
      </c>
    </row>
    <row r="76" spans="1:9" x14ac:dyDescent="0.3">
      <c r="A76" s="1" t="s">
        <v>180</v>
      </c>
      <c r="B76" s="1" t="s">
        <v>2296</v>
      </c>
      <c r="C76" s="1" t="s">
        <v>2297</v>
      </c>
      <c r="D76" s="1" t="s">
        <v>2298</v>
      </c>
      <c r="E76" s="1" t="s">
        <v>2299</v>
      </c>
      <c r="F76" s="1" t="s">
        <v>1957</v>
      </c>
      <c r="G76" s="1" t="s">
        <v>1936</v>
      </c>
      <c r="H76" s="1">
        <v>1114</v>
      </c>
      <c r="I76" t="s">
        <v>1937</v>
      </c>
    </row>
    <row r="77" spans="1:9" x14ac:dyDescent="0.3">
      <c r="A77" s="1" t="s">
        <v>183</v>
      </c>
      <c r="B77" s="1" t="s">
        <v>2300</v>
      </c>
      <c r="C77" s="1" t="s">
        <v>2301</v>
      </c>
      <c r="D77" s="1" t="s">
        <v>2302</v>
      </c>
      <c r="E77" s="1" t="s">
        <v>2303</v>
      </c>
      <c r="F77" s="1" t="s">
        <v>2304</v>
      </c>
      <c r="G77" s="1" t="s">
        <v>1944</v>
      </c>
      <c r="H77" s="1" t="s">
        <v>2305</v>
      </c>
      <c r="I77" t="s">
        <v>1937</v>
      </c>
    </row>
    <row r="78" spans="1:9" x14ac:dyDescent="0.3">
      <c r="A78" s="1" t="s">
        <v>186</v>
      </c>
      <c r="B78" s="1" t="s">
        <v>2306</v>
      </c>
      <c r="C78" s="1"/>
      <c r="D78" s="1" t="s">
        <v>2307</v>
      </c>
      <c r="E78" s="1" t="s">
        <v>2308</v>
      </c>
      <c r="F78" s="1" t="s">
        <v>2309</v>
      </c>
      <c r="G78" s="1" t="s">
        <v>1944</v>
      </c>
      <c r="H78" s="1" t="s">
        <v>2310</v>
      </c>
      <c r="I78" t="s">
        <v>1937</v>
      </c>
    </row>
    <row r="79" spans="1:9" x14ac:dyDescent="0.3">
      <c r="A79" s="1" t="s">
        <v>189</v>
      </c>
      <c r="B79" s="1" t="s">
        <v>2311</v>
      </c>
      <c r="C79" s="1" t="s">
        <v>2312</v>
      </c>
      <c r="D79" s="1" t="s">
        <v>2313</v>
      </c>
      <c r="E79" s="1" t="s">
        <v>2314</v>
      </c>
      <c r="F79" s="1" t="s">
        <v>2315</v>
      </c>
      <c r="G79" s="1" t="s">
        <v>1936</v>
      </c>
      <c r="H79" s="1">
        <v>79705</v>
      </c>
      <c r="I79" t="s">
        <v>1946</v>
      </c>
    </row>
    <row r="80" spans="1:9" x14ac:dyDescent="0.3">
      <c r="A80" s="1" t="s">
        <v>191</v>
      </c>
      <c r="B80" s="1" t="s">
        <v>2316</v>
      </c>
      <c r="C80" s="1" t="s">
        <v>2317</v>
      </c>
      <c r="D80" s="1" t="s">
        <v>2318</v>
      </c>
      <c r="E80" s="1" t="s">
        <v>2319</v>
      </c>
      <c r="F80" s="1" t="s">
        <v>2320</v>
      </c>
      <c r="G80" s="1" t="s">
        <v>1936</v>
      </c>
      <c r="H80" s="1">
        <v>75323</v>
      </c>
      <c r="I80" t="s">
        <v>1937</v>
      </c>
    </row>
    <row r="81" spans="1:9" x14ac:dyDescent="0.3">
      <c r="A81" s="1" t="s">
        <v>193</v>
      </c>
      <c r="B81" s="1" t="s">
        <v>2321</v>
      </c>
      <c r="C81" s="1" t="s">
        <v>2322</v>
      </c>
      <c r="D81" s="1" t="s">
        <v>2323</v>
      </c>
      <c r="E81" s="1" t="s">
        <v>2324</v>
      </c>
      <c r="F81" s="1" t="s">
        <v>2325</v>
      </c>
      <c r="G81" s="1" t="s">
        <v>1936</v>
      </c>
      <c r="H81" s="1">
        <v>20189</v>
      </c>
      <c r="I81" t="s">
        <v>1946</v>
      </c>
    </row>
    <row r="82" spans="1:9" x14ac:dyDescent="0.3">
      <c r="A82" s="1" t="s">
        <v>196</v>
      </c>
      <c r="B82" s="1" t="s">
        <v>2326</v>
      </c>
      <c r="C82" s="1" t="s">
        <v>2327</v>
      </c>
      <c r="D82" s="1" t="s">
        <v>2328</v>
      </c>
      <c r="E82" s="1" t="s">
        <v>2329</v>
      </c>
      <c r="F82" s="1" t="s">
        <v>2330</v>
      </c>
      <c r="G82" s="1" t="s">
        <v>1936</v>
      </c>
      <c r="H82" s="1">
        <v>94627</v>
      </c>
      <c r="I82" t="s">
        <v>1937</v>
      </c>
    </row>
    <row r="83" spans="1:9" x14ac:dyDescent="0.3">
      <c r="A83" s="1" t="s">
        <v>199</v>
      </c>
      <c r="B83" s="1" t="s">
        <v>2331</v>
      </c>
      <c r="C83" s="1" t="s">
        <v>2332</v>
      </c>
      <c r="D83" s="1" t="s">
        <v>2333</v>
      </c>
      <c r="E83" s="1" t="s">
        <v>2334</v>
      </c>
      <c r="F83" s="1" t="s">
        <v>2335</v>
      </c>
      <c r="G83" s="1" t="s">
        <v>1936</v>
      </c>
      <c r="H83" s="1">
        <v>80930</v>
      </c>
      <c r="I83" t="s">
        <v>1937</v>
      </c>
    </row>
    <row r="84" spans="1:9" x14ac:dyDescent="0.3">
      <c r="A84" s="1" t="s">
        <v>201</v>
      </c>
      <c r="B84" s="1" t="s">
        <v>2336</v>
      </c>
      <c r="C84" s="1" t="s">
        <v>2337</v>
      </c>
      <c r="D84" s="1" t="s">
        <v>2338</v>
      </c>
      <c r="E84" s="1" t="s">
        <v>2339</v>
      </c>
      <c r="F84" s="1" t="s">
        <v>2340</v>
      </c>
      <c r="G84" s="1" t="s">
        <v>1944</v>
      </c>
      <c r="H84" s="1" t="s">
        <v>2341</v>
      </c>
      <c r="I84" t="s">
        <v>1937</v>
      </c>
    </row>
    <row r="85" spans="1:9" x14ac:dyDescent="0.3">
      <c r="A85" s="1" t="s">
        <v>204</v>
      </c>
      <c r="B85" s="1" t="s">
        <v>2342</v>
      </c>
      <c r="C85" s="1"/>
      <c r="D85" s="1" t="s">
        <v>2343</v>
      </c>
      <c r="E85" s="1" t="s">
        <v>2344</v>
      </c>
      <c r="F85" s="1" t="s">
        <v>2345</v>
      </c>
      <c r="G85" s="1" t="s">
        <v>1936</v>
      </c>
      <c r="H85" s="1">
        <v>14205</v>
      </c>
      <c r="I85" t="s">
        <v>1937</v>
      </c>
    </row>
    <row r="86" spans="1:9" x14ac:dyDescent="0.3">
      <c r="A86" s="1" t="s">
        <v>206</v>
      </c>
      <c r="B86" s="1" t="s">
        <v>2346</v>
      </c>
      <c r="C86" s="1" t="s">
        <v>2347</v>
      </c>
      <c r="D86" s="1" t="s">
        <v>2348</v>
      </c>
      <c r="E86" s="1" t="s">
        <v>2349</v>
      </c>
      <c r="F86" s="1" t="s">
        <v>2350</v>
      </c>
      <c r="G86" s="1" t="s">
        <v>1936</v>
      </c>
      <c r="H86" s="1">
        <v>93715</v>
      </c>
      <c r="I86" t="s">
        <v>1946</v>
      </c>
    </row>
    <row r="87" spans="1:9" x14ac:dyDescent="0.3">
      <c r="A87" s="1" t="s">
        <v>208</v>
      </c>
      <c r="B87" s="1" t="s">
        <v>2351</v>
      </c>
      <c r="C87" s="1" t="s">
        <v>2352</v>
      </c>
      <c r="D87" s="1"/>
      <c r="E87" s="1" t="s">
        <v>2353</v>
      </c>
      <c r="F87" s="1" t="s">
        <v>2261</v>
      </c>
      <c r="G87" s="1" t="s">
        <v>1936</v>
      </c>
      <c r="H87" s="1">
        <v>76121</v>
      </c>
      <c r="I87" t="s">
        <v>1946</v>
      </c>
    </row>
    <row r="88" spans="1:9" x14ac:dyDescent="0.3">
      <c r="A88" s="1" t="s">
        <v>305</v>
      </c>
      <c r="B88" s="1" t="s">
        <v>2354</v>
      </c>
      <c r="C88" s="1" t="s">
        <v>2355</v>
      </c>
      <c r="D88" s="1"/>
      <c r="E88" s="1" t="s">
        <v>2356</v>
      </c>
      <c r="F88" s="1" t="s">
        <v>2357</v>
      </c>
      <c r="G88" s="1" t="s">
        <v>1936</v>
      </c>
      <c r="H88" s="1">
        <v>73179</v>
      </c>
      <c r="I88" t="s">
        <v>1937</v>
      </c>
    </row>
    <row r="89" spans="1:9" x14ac:dyDescent="0.3">
      <c r="A89" s="1" t="s">
        <v>211</v>
      </c>
      <c r="B89" s="1" t="s">
        <v>2358</v>
      </c>
      <c r="C89" s="1" t="s">
        <v>2359</v>
      </c>
      <c r="D89" s="1"/>
      <c r="E89" s="1" t="s">
        <v>2360</v>
      </c>
      <c r="F89" s="1" t="s">
        <v>2361</v>
      </c>
      <c r="G89" s="1" t="s">
        <v>1936</v>
      </c>
      <c r="H89" s="1">
        <v>77705</v>
      </c>
      <c r="I89" t="s">
        <v>1946</v>
      </c>
    </row>
    <row r="90" spans="1:9" x14ac:dyDescent="0.3">
      <c r="A90" s="1" t="s">
        <v>213</v>
      </c>
      <c r="B90" s="1" t="s">
        <v>2362</v>
      </c>
      <c r="C90" s="1" t="s">
        <v>2363</v>
      </c>
      <c r="D90" s="1"/>
      <c r="E90" s="1" t="s">
        <v>2364</v>
      </c>
      <c r="F90" s="1" t="s">
        <v>2365</v>
      </c>
      <c r="G90" s="1" t="s">
        <v>1936</v>
      </c>
      <c r="H90" s="1">
        <v>89519</v>
      </c>
      <c r="I90" t="s">
        <v>1946</v>
      </c>
    </row>
    <row r="91" spans="1:9" x14ac:dyDescent="0.3">
      <c r="A91" s="1" t="s">
        <v>215</v>
      </c>
      <c r="B91" s="1" t="s">
        <v>2366</v>
      </c>
      <c r="C91" s="1" t="s">
        <v>2367</v>
      </c>
      <c r="D91" s="1" t="s">
        <v>2368</v>
      </c>
      <c r="E91" s="1" t="s">
        <v>2369</v>
      </c>
      <c r="F91" s="1" t="s">
        <v>2370</v>
      </c>
      <c r="G91" s="1" t="s">
        <v>1936</v>
      </c>
      <c r="H91" s="1">
        <v>64136</v>
      </c>
      <c r="I91" t="s">
        <v>1946</v>
      </c>
    </row>
    <row r="92" spans="1:9" x14ac:dyDescent="0.3">
      <c r="A92" s="1" t="s">
        <v>217</v>
      </c>
      <c r="B92" s="1" t="s">
        <v>2371</v>
      </c>
      <c r="C92" s="1"/>
      <c r="D92" s="1" t="s">
        <v>2372</v>
      </c>
      <c r="E92" s="1" t="s">
        <v>2373</v>
      </c>
      <c r="F92" s="1" t="s">
        <v>1943</v>
      </c>
      <c r="G92" s="1" t="s">
        <v>1944</v>
      </c>
      <c r="H92" s="1" t="s">
        <v>1945</v>
      </c>
      <c r="I92" t="s">
        <v>1937</v>
      </c>
    </row>
    <row r="93" spans="1:9" x14ac:dyDescent="0.3">
      <c r="A93" s="1" t="s">
        <v>219</v>
      </c>
      <c r="B93" s="1" t="s">
        <v>2374</v>
      </c>
      <c r="C93" s="1" t="s">
        <v>2375</v>
      </c>
      <c r="D93" s="1" t="s">
        <v>2376</v>
      </c>
      <c r="E93" s="1" t="s">
        <v>2377</v>
      </c>
      <c r="F93" s="1" t="s">
        <v>2378</v>
      </c>
      <c r="G93" s="1" t="s">
        <v>1936</v>
      </c>
      <c r="H93" s="1">
        <v>92878</v>
      </c>
      <c r="I93" t="s">
        <v>1946</v>
      </c>
    </row>
    <row r="94" spans="1:9" x14ac:dyDescent="0.3">
      <c r="A94" s="1" t="s">
        <v>221</v>
      </c>
      <c r="B94" s="1" t="s">
        <v>2379</v>
      </c>
      <c r="C94" s="1"/>
      <c r="D94" s="1" t="s">
        <v>2380</v>
      </c>
      <c r="E94" s="1" t="s">
        <v>2381</v>
      </c>
      <c r="F94" s="1" t="s">
        <v>2382</v>
      </c>
      <c r="G94" s="1" t="s">
        <v>1936</v>
      </c>
      <c r="H94" s="1">
        <v>78759</v>
      </c>
      <c r="I94" t="s">
        <v>1937</v>
      </c>
    </row>
    <row r="95" spans="1:9" x14ac:dyDescent="0.3">
      <c r="A95" s="1" t="s">
        <v>223</v>
      </c>
      <c r="B95" s="1" t="s">
        <v>2383</v>
      </c>
      <c r="C95" s="1" t="s">
        <v>2384</v>
      </c>
      <c r="D95" s="1" t="s">
        <v>2385</v>
      </c>
      <c r="E95" s="1" t="s">
        <v>2386</v>
      </c>
      <c r="F95" s="1" t="s">
        <v>2387</v>
      </c>
      <c r="G95" s="1" t="s">
        <v>2111</v>
      </c>
      <c r="H95" s="1" t="s">
        <v>2388</v>
      </c>
      <c r="I95" t="s">
        <v>1937</v>
      </c>
    </row>
    <row r="96" spans="1:9" x14ac:dyDescent="0.3">
      <c r="A96" s="1" t="s">
        <v>225</v>
      </c>
      <c r="B96" s="1" t="s">
        <v>2389</v>
      </c>
      <c r="C96" s="1"/>
      <c r="D96" s="1"/>
      <c r="E96" s="1" t="s">
        <v>2390</v>
      </c>
      <c r="F96" s="1" t="s">
        <v>2391</v>
      </c>
      <c r="G96" s="1" t="s">
        <v>1944</v>
      </c>
      <c r="H96" s="1" t="s">
        <v>2392</v>
      </c>
      <c r="I96" t="s">
        <v>1937</v>
      </c>
    </row>
    <row r="97" spans="1:9" x14ac:dyDescent="0.3">
      <c r="A97" s="1" t="s">
        <v>227</v>
      </c>
      <c r="B97" s="1" t="s">
        <v>2393</v>
      </c>
      <c r="C97" s="1" t="s">
        <v>2394</v>
      </c>
      <c r="D97" s="1"/>
      <c r="E97" s="1" t="s">
        <v>2395</v>
      </c>
      <c r="F97" s="1" t="s">
        <v>2350</v>
      </c>
      <c r="G97" s="1" t="s">
        <v>1936</v>
      </c>
      <c r="H97" s="1">
        <v>93762</v>
      </c>
      <c r="I97" t="s">
        <v>1946</v>
      </c>
    </row>
    <row r="98" spans="1:9" x14ac:dyDescent="0.3">
      <c r="A98" s="1" t="s">
        <v>229</v>
      </c>
      <c r="B98" s="1" t="s">
        <v>2396</v>
      </c>
      <c r="C98" s="1" t="s">
        <v>2397</v>
      </c>
      <c r="D98" s="1"/>
      <c r="E98" s="1" t="s">
        <v>2398</v>
      </c>
      <c r="F98" s="1" t="s">
        <v>2008</v>
      </c>
      <c r="G98" s="1" t="s">
        <v>1936</v>
      </c>
      <c r="H98" s="1">
        <v>63150</v>
      </c>
      <c r="I98" t="s">
        <v>1946</v>
      </c>
    </row>
    <row r="99" spans="1:9" x14ac:dyDescent="0.3">
      <c r="A99" s="1" t="s">
        <v>231</v>
      </c>
      <c r="B99" s="1" t="s">
        <v>2399</v>
      </c>
      <c r="C99" s="1" t="s">
        <v>2400</v>
      </c>
      <c r="D99" s="1" t="s">
        <v>2401</v>
      </c>
      <c r="E99" s="1" t="s">
        <v>2402</v>
      </c>
      <c r="F99" s="1" t="s">
        <v>2350</v>
      </c>
      <c r="G99" s="1" t="s">
        <v>1936</v>
      </c>
      <c r="H99" s="1">
        <v>93726</v>
      </c>
      <c r="I99" t="s">
        <v>1946</v>
      </c>
    </row>
    <row r="100" spans="1:9" x14ac:dyDescent="0.3">
      <c r="A100" s="1" t="s">
        <v>233</v>
      </c>
      <c r="B100" s="1" t="s">
        <v>2403</v>
      </c>
      <c r="C100" s="1"/>
      <c r="D100" s="1" t="s">
        <v>2404</v>
      </c>
      <c r="E100" s="1" t="s">
        <v>2405</v>
      </c>
      <c r="F100" s="1" t="s">
        <v>2406</v>
      </c>
      <c r="G100" s="1" t="s">
        <v>1944</v>
      </c>
      <c r="H100" s="1" t="s">
        <v>2407</v>
      </c>
      <c r="I100" t="s">
        <v>1946</v>
      </c>
    </row>
    <row r="101" spans="1:9" x14ac:dyDescent="0.3">
      <c r="A101" s="1" t="s">
        <v>235</v>
      </c>
      <c r="B101" s="1" t="s">
        <v>2408</v>
      </c>
      <c r="C101" s="1"/>
      <c r="D101" s="1" t="s">
        <v>2409</v>
      </c>
      <c r="E101" s="1" t="s">
        <v>2410</v>
      </c>
      <c r="F101" s="1" t="s">
        <v>2282</v>
      </c>
      <c r="G101" s="1" t="s">
        <v>1936</v>
      </c>
      <c r="H101" s="1">
        <v>43210</v>
      </c>
      <c r="I101" t="s">
        <v>1937</v>
      </c>
    </row>
    <row r="102" spans="1:9" x14ac:dyDescent="0.3">
      <c r="A102" s="1" t="s">
        <v>237</v>
      </c>
      <c r="B102" s="1" t="s">
        <v>2411</v>
      </c>
      <c r="C102" s="1"/>
      <c r="D102" s="1" t="s">
        <v>2412</v>
      </c>
      <c r="E102" s="1" t="s">
        <v>2413</v>
      </c>
      <c r="F102" s="1" t="s">
        <v>2414</v>
      </c>
      <c r="G102" s="1" t="s">
        <v>1936</v>
      </c>
      <c r="H102" s="1">
        <v>95205</v>
      </c>
      <c r="I102" t="s">
        <v>1937</v>
      </c>
    </row>
    <row r="103" spans="1:9" x14ac:dyDescent="0.3">
      <c r="A103" s="1" t="s">
        <v>239</v>
      </c>
      <c r="B103" s="1" t="s">
        <v>2415</v>
      </c>
      <c r="C103" s="1" t="s">
        <v>2416</v>
      </c>
      <c r="D103" s="1" t="s">
        <v>2417</v>
      </c>
      <c r="E103" s="1" t="s">
        <v>2418</v>
      </c>
      <c r="F103" s="1" t="s">
        <v>2419</v>
      </c>
      <c r="G103" s="1" t="s">
        <v>1944</v>
      </c>
      <c r="H103" s="1" t="s">
        <v>2420</v>
      </c>
      <c r="I103" t="s">
        <v>1937</v>
      </c>
    </row>
    <row r="104" spans="1:9" x14ac:dyDescent="0.3">
      <c r="A104" s="1" t="s">
        <v>241</v>
      </c>
      <c r="B104" s="1" t="s">
        <v>2421</v>
      </c>
      <c r="C104" s="1" t="s">
        <v>2422</v>
      </c>
      <c r="D104" s="1" t="s">
        <v>2423</v>
      </c>
      <c r="E104" s="1" t="s">
        <v>2424</v>
      </c>
      <c r="F104" s="1" t="s">
        <v>2425</v>
      </c>
      <c r="G104" s="1" t="s">
        <v>1944</v>
      </c>
      <c r="H104" s="1" t="s">
        <v>2407</v>
      </c>
      <c r="I104" t="s">
        <v>1937</v>
      </c>
    </row>
    <row r="105" spans="1:9" x14ac:dyDescent="0.3">
      <c r="A105" s="1" t="s">
        <v>243</v>
      </c>
      <c r="B105" s="1" t="s">
        <v>2426</v>
      </c>
      <c r="C105" s="1" t="s">
        <v>2427</v>
      </c>
      <c r="D105" s="1" t="s">
        <v>2428</v>
      </c>
      <c r="E105" s="1" t="s">
        <v>2429</v>
      </c>
      <c r="F105" s="1" t="s">
        <v>2158</v>
      </c>
      <c r="G105" s="1" t="s">
        <v>1936</v>
      </c>
      <c r="H105" s="1">
        <v>14652</v>
      </c>
      <c r="I105" t="s">
        <v>1946</v>
      </c>
    </row>
    <row r="106" spans="1:9" x14ac:dyDescent="0.3">
      <c r="A106" s="1" t="s">
        <v>245</v>
      </c>
      <c r="B106" s="1" t="s">
        <v>2430</v>
      </c>
      <c r="C106" s="1" t="s">
        <v>2431</v>
      </c>
      <c r="D106" s="1" t="s">
        <v>2432</v>
      </c>
      <c r="E106" s="1" t="s">
        <v>2433</v>
      </c>
      <c r="F106" s="1" t="s">
        <v>2434</v>
      </c>
      <c r="G106" s="1" t="s">
        <v>1936</v>
      </c>
      <c r="H106" s="1">
        <v>35487</v>
      </c>
      <c r="I106" t="s">
        <v>1946</v>
      </c>
    </row>
    <row r="107" spans="1:9" x14ac:dyDescent="0.3">
      <c r="A107" s="1" t="s">
        <v>247</v>
      </c>
      <c r="B107" s="1" t="s">
        <v>2435</v>
      </c>
      <c r="C107" s="1" t="s">
        <v>2436</v>
      </c>
      <c r="D107" s="1" t="s">
        <v>2437</v>
      </c>
      <c r="E107" s="1" t="s">
        <v>2438</v>
      </c>
      <c r="F107" s="1" t="s">
        <v>2022</v>
      </c>
      <c r="G107" s="1" t="s">
        <v>1936</v>
      </c>
      <c r="H107" s="1">
        <v>77260</v>
      </c>
      <c r="I107" t="s">
        <v>1937</v>
      </c>
    </row>
    <row r="108" spans="1:9" x14ac:dyDescent="0.3">
      <c r="A108" s="1" t="s">
        <v>249</v>
      </c>
      <c r="B108" s="1" t="s">
        <v>2439</v>
      </c>
      <c r="C108" s="1" t="s">
        <v>2440</v>
      </c>
      <c r="D108" s="1" t="s">
        <v>2441</v>
      </c>
      <c r="E108" s="1" t="s">
        <v>2442</v>
      </c>
      <c r="F108" s="1" t="s">
        <v>2443</v>
      </c>
      <c r="G108" s="1" t="s">
        <v>1936</v>
      </c>
      <c r="H108" s="1">
        <v>88514</v>
      </c>
      <c r="I108" t="s">
        <v>1946</v>
      </c>
    </row>
    <row r="109" spans="1:9" x14ac:dyDescent="0.3">
      <c r="A109" s="1" t="s">
        <v>252</v>
      </c>
      <c r="B109" s="1" t="s">
        <v>2444</v>
      </c>
      <c r="C109" s="1" t="s">
        <v>2445</v>
      </c>
      <c r="D109" s="1" t="s">
        <v>2446</v>
      </c>
      <c r="E109" s="1" t="s">
        <v>2447</v>
      </c>
      <c r="F109" s="1" t="s">
        <v>2335</v>
      </c>
      <c r="G109" s="1" t="s">
        <v>1936</v>
      </c>
      <c r="H109" s="1">
        <v>80935</v>
      </c>
      <c r="I109" t="s">
        <v>1937</v>
      </c>
    </row>
    <row r="110" spans="1:9" x14ac:dyDescent="0.3">
      <c r="A110" s="1" t="s">
        <v>254</v>
      </c>
      <c r="B110" s="1" t="s">
        <v>2448</v>
      </c>
      <c r="C110" s="1"/>
      <c r="D110" s="1" t="s">
        <v>2449</v>
      </c>
      <c r="E110" s="1" t="s">
        <v>2450</v>
      </c>
      <c r="F110" s="1" t="s">
        <v>2233</v>
      </c>
      <c r="G110" s="1" t="s">
        <v>1936</v>
      </c>
      <c r="H110" s="1">
        <v>46862</v>
      </c>
      <c r="I110" t="s">
        <v>1946</v>
      </c>
    </row>
    <row r="111" spans="1:9" x14ac:dyDescent="0.3">
      <c r="A111" s="1" t="s">
        <v>256</v>
      </c>
      <c r="B111" s="1" t="s">
        <v>2451</v>
      </c>
      <c r="C111" s="1" t="s">
        <v>2452</v>
      </c>
      <c r="D111" s="1" t="s">
        <v>2453</v>
      </c>
      <c r="E111" s="1" t="s">
        <v>2454</v>
      </c>
      <c r="F111" s="1" t="s">
        <v>2455</v>
      </c>
      <c r="G111" s="1" t="s">
        <v>1936</v>
      </c>
      <c r="H111" s="1">
        <v>11054</v>
      </c>
      <c r="I111" t="s">
        <v>1937</v>
      </c>
    </row>
    <row r="112" spans="1:9" x14ac:dyDescent="0.3">
      <c r="A112" s="1" t="s">
        <v>258</v>
      </c>
      <c r="B112" s="1" t="s">
        <v>2456</v>
      </c>
      <c r="C112" s="1" t="s">
        <v>2457</v>
      </c>
      <c r="D112" s="1" t="s">
        <v>2458</v>
      </c>
      <c r="E112" s="1" t="s">
        <v>2459</v>
      </c>
      <c r="F112" s="1" t="s">
        <v>1957</v>
      </c>
      <c r="G112" s="1" t="s">
        <v>1936</v>
      </c>
      <c r="H112" s="1">
        <v>1105</v>
      </c>
      <c r="I112" t="s">
        <v>1937</v>
      </c>
    </row>
    <row r="113" spans="1:9" x14ac:dyDescent="0.3">
      <c r="A113" s="1" t="s">
        <v>261</v>
      </c>
      <c r="B113" s="1" t="s">
        <v>2460</v>
      </c>
      <c r="C113" s="1" t="s">
        <v>2461</v>
      </c>
      <c r="D113" s="1"/>
      <c r="E113" s="1" t="s">
        <v>2462</v>
      </c>
      <c r="F113" s="1" t="s">
        <v>2220</v>
      </c>
      <c r="G113" s="1" t="s">
        <v>1936</v>
      </c>
      <c r="H113" s="1">
        <v>32575</v>
      </c>
      <c r="I113" t="s">
        <v>1946</v>
      </c>
    </row>
    <row r="114" spans="1:9" x14ac:dyDescent="0.3">
      <c r="A114" s="1" t="s">
        <v>263</v>
      </c>
      <c r="B114" s="1" t="s">
        <v>2463</v>
      </c>
      <c r="C114" s="1" t="s">
        <v>2464</v>
      </c>
      <c r="D114" s="1" t="s">
        <v>2465</v>
      </c>
      <c r="E114" s="1" t="s">
        <v>2466</v>
      </c>
      <c r="F114" s="1" t="s">
        <v>1999</v>
      </c>
      <c r="G114" s="1" t="s">
        <v>1936</v>
      </c>
      <c r="H114" s="1">
        <v>23242</v>
      </c>
      <c r="I114" t="s">
        <v>1946</v>
      </c>
    </row>
    <row r="115" spans="1:9" x14ac:dyDescent="0.3">
      <c r="A115" s="1" t="s">
        <v>265</v>
      </c>
      <c r="B115" s="1" t="s">
        <v>2467</v>
      </c>
      <c r="C115" s="1" t="s">
        <v>2468</v>
      </c>
      <c r="D115" s="1" t="s">
        <v>2469</v>
      </c>
      <c r="E115" s="1" t="s">
        <v>2470</v>
      </c>
      <c r="F115" s="1" t="s">
        <v>2471</v>
      </c>
      <c r="G115" s="1" t="s">
        <v>1944</v>
      </c>
      <c r="H115" s="1" t="s">
        <v>2472</v>
      </c>
      <c r="I115" t="s">
        <v>1946</v>
      </c>
    </row>
    <row r="116" spans="1:9" x14ac:dyDescent="0.3">
      <c r="A116" s="1" t="s">
        <v>267</v>
      </c>
      <c r="B116" s="1" t="s">
        <v>2473</v>
      </c>
      <c r="C116" s="1"/>
      <c r="D116" s="1" t="s">
        <v>2474</v>
      </c>
      <c r="E116" s="1" t="s">
        <v>2475</v>
      </c>
      <c r="F116" s="1" t="s">
        <v>2476</v>
      </c>
      <c r="G116" s="1" t="s">
        <v>1936</v>
      </c>
      <c r="H116" s="1">
        <v>25705</v>
      </c>
      <c r="I116" t="s">
        <v>1946</v>
      </c>
    </row>
    <row r="117" spans="1:9" x14ac:dyDescent="0.3">
      <c r="A117" s="1" t="s">
        <v>269</v>
      </c>
      <c r="B117" s="1" t="s">
        <v>2477</v>
      </c>
      <c r="C117" s="1" t="s">
        <v>2478</v>
      </c>
      <c r="D117" s="1" t="s">
        <v>2479</v>
      </c>
      <c r="E117" s="1" t="s">
        <v>2480</v>
      </c>
      <c r="F117" s="1" t="s">
        <v>2167</v>
      </c>
      <c r="G117" s="1" t="s">
        <v>2111</v>
      </c>
      <c r="H117" s="1" t="s">
        <v>2481</v>
      </c>
      <c r="I117" t="s">
        <v>1946</v>
      </c>
    </row>
    <row r="118" spans="1:9" x14ac:dyDescent="0.3">
      <c r="A118" s="1" t="s">
        <v>271</v>
      </c>
      <c r="B118" s="1" t="s">
        <v>2482</v>
      </c>
      <c r="C118" s="1" t="s">
        <v>2483</v>
      </c>
      <c r="D118" s="1" t="s">
        <v>2484</v>
      </c>
      <c r="E118" s="1" t="s">
        <v>2485</v>
      </c>
      <c r="F118" s="1" t="s">
        <v>2486</v>
      </c>
      <c r="G118" s="1" t="s">
        <v>1944</v>
      </c>
      <c r="H118" s="1" t="s">
        <v>2487</v>
      </c>
      <c r="I118" t="s">
        <v>1937</v>
      </c>
    </row>
    <row r="119" spans="1:9" x14ac:dyDescent="0.3">
      <c r="A119" s="1" t="s">
        <v>273</v>
      </c>
      <c r="B119" s="1" t="s">
        <v>2488</v>
      </c>
      <c r="C119" s="1" t="s">
        <v>2489</v>
      </c>
      <c r="D119" s="1" t="s">
        <v>2490</v>
      </c>
      <c r="E119" s="1" t="s">
        <v>2491</v>
      </c>
      <c r="F119" s="1" t="s">
        <v>1971</v>
      </c>
      <c r="G119" s="1" t="s">
        <v>1936</v>
      </c>
      <c r="H119" s="1">
        <v>45432</v>
      </c>
      <c r="I119" t="s">
        <v>1946</v>
      </c>
    </row>
    <row r="120" spans="1:9" x14ac:dyDescent="0.3">
      <c r="A120" s="1" t="s">
        <v>275</v>
      </c>
      <c r="B120" s="1" t="s">
        <v>2492</v>
      </c>
      <c r="C120" s="1" t="s">
        <v>2493</v>
      </c>
      <c r="D120" s="1" t="s">
        <v>2494</v>
      </c>
      <c r="E120" s="1" t="s">
        <v>2495</v>
      </c>
      <c r="F120" s="1" t="s">
        <v>2496</v>
      </c>
      <c r="G120" s="1" t="s">
        <v>1936</v>
      </c>
      <c r="H120" s="1">
        <v>99507</v>
      </c>
      <c r="I120" t="s">
        <v>1937</v>
      </c>
    </row>
    <row r="121" spans="1:9" x14ac:dyDescent="0.3">
      <c r="A121" s="1" t="s">
        <v>277</v>
      </c>
      <c r="B121" s="1" t="s">
        <v>2497</v>
      </c>
      <c r="C121" s="1" t="s">
        <v>2498</v>
      </c>
      <c r="D121" s="1" t="s">
        <v>2499</v>
      </c>
      <c r="E121" s="1" t="s">
        <v>2500</v>
      </c>
      <c r="F121" s="1" t="s">
        <v>2501</v>
      </c>
      <c r="G121" s="1" t="s">
        <v>1936</v>
      </c>
      <c r="H121" s="1">
        <v>37215</v>
      </c>
      <c r="I121" t="s">
        <v>1946</v>
      </c>
    </row>
    <row r="122" spans="1:9" x14ac:dyDescent="0.3">
      <c r="A122" s="1" t="s">
        <v>2502</v>
      </c>
      <c r="B122" s="1" t="s">
        <v>2503</v>
      </c>
      <c r="C122" s="1" t="s">
        <v>2504</v>
      </c>
      <c r="D122" s="1" t="s">
        <v>2505</v>
      </c>
      <c r="E122" s="1" t="s">
        <v>2506</v>
      </c>
      <c r="F122" s="1" t="s">
        <v>1981</v>
      </c>
      <c r="G122" s="1" t="s">
        <v>1936</v>
      </c>
      <c r="H122" s="1">
        <v>90040</v>
      </c>
      <c r="I122" t="s">
        <v>1937</v>
      </c>
    </row>
    <row r="123" spans="1:9" x14ac:dyDescent="0.3">
      <c r="A123" s="1" t="s">
        <v>2507</v>
      </c>
      <c r="B123" s="1" t="s">
        <v>2508</v>
      </c>
      <c r="C123" s="1" t="s">
        <v>2509</v>
      </c>
      <c r="D123" s="1" t="s">
        <v>2510</v>
      </c>
      <c r="E123" s="1" t="s">
        <v>2511</v>
      </c>
      <c r="F123" s="1" t="s">
        <v>2295</v>
      </c>
      <c r="G123" s="1" t="s">
        <v>1936</v>
      </c>
      <c r="H123" s="1">
        <v>28289</v>
      </c>
      <c r="I123" t="s">
        <v>1946</v>
      </c>
    </row>
    <row r="124" spans="1:9" x14ac:dyDescent="0.3">
      <c r="A124" s="1" t="s">
        <v>279</v>
      </c>
      <c r="B124" s="1" t="s">
        <v>2512</v>
      </c>
      <c r="C124" s="1" t="s">
        <v>2513</v>
      </c>
      <c r="D124" s="1" t="s">
        <v>2514</v>
      </c>
      <c r="E124" s="1" t="s">
        <v>2515</v>
      </c>
      <c r="F124" s="1" t="s">
        <v>2127</v>
      </c>
      <c r="G124" s="1" t="s">
        <v>1936</v>
      </c>
      <c r="H124" s="1">
        <v>80217</v>
      </c>
      <c r="I124" t="s">
        <v>1937</v>
      </c>
    </row>
    <row r="125" spans="1:9" x14ac:dyDescent="0.3">
      <c r="A125" s="1" t="s">
        <v>281</v>
      </c>
      <c r="B125" s="1" t="s">
        <v>2516</v>
      </c>
      <c r="C125" s="1" t="s">
        <v>2517</v>
      </c>
      <c r="D125" s="1" t="s">
        <v>2518</v>
      </c>
      <c r="E125" s="1" t="s">
        <v>2519</v>
      </c>
      <c r="F125" s="1" t="s">
        <v>2520</v>
      </c>
      <c r="G125" s="1" t="s">
        <v>1936</v>
      </c>
      <c r="H125" s="1">
        <v>6912</v>
      </c>
      <c r="I125" t="s">
        <v>1946</v>
      </c>
    </row>
    <row r="126" spans="1:9" x14ac:dyDescent="0.3">
      <c r="A126" s="1" t="s">
        <v>283</v>
      </c>
      <c r="B126" s="1" t="s">
        <v>2521</v>
      </c>
      <c r="C126" s="1" t="s">
        <v>2522</v>
      </c>
      <c r="D126" s="1" t="s">
        <v>2523</v>
      </c>
      <c r="E126" s="1" t="s">
        <v>2524</v>
      </c>
      <c r="F126" s="1" t="s">
        <v>2525</v>
      </c>
      <c r="G126" s="1" t="s">
        <v>1936</v>
      </c>
      <c r="H126" s="1">
        <v>23605</v>
      </c>
      <c r="I126" t="s">
        <v>1937</v>
      </c>
    </row>
    <row r="127" spans="1:9" x14ac:dyDescent="0.3">
      <c r="A127" s="1" t="s">
        <v>285</v>
      </c>
      <c r="B127" s="1" t="s">
        <v>2526</v>
      </c>
      <c r="C127" s="1" t="s">
        <v>2527</v>
      </c>
      <c r="D127" s="1" t="s">
        <v>2528</v>
      </c>
      <c r="E127" s="1" t="s">
        <v>2529</v>
      </c>
      <c r="F127" s="1" t="s">
        <v>2530</v>
      </c>
      <c r="G127" s="1" t="s">
        <v>1944</v>
      </c>
      <c r="H127" s="1" t="s">
        <v>2531</v>
      </c>
      <c r="I127" t="s">
        <v>1937</v>
      </c>
    </row>
    <row r="128" spans="1:9" x14ac:dyDescent="0.3">
      <c r="A128" s="1" t="s">
        <v>287</v>
      </c>
      <c r="B128" s="1" t="s">
        <v>2532</v>
      </c>
      <c r="C128" s="1" t="s">
        <v>2533</v>
      </c>
      <c r="D128" s="1" t="s">
        <v>2534</v>
      </c>
      <c r="E128" s="1" t="s">
        <v>2535</v>
      </c>
      <c r="F128" s="1" t="s">
        <v>2496</v>
      </c>
      <c r="G128" s="1" t="s">
        <v>1936</v>
      </c>
      <c r="H128" s="1">
        <v>99599</v>
      </c>
      <c r="I128" t="s">
        <v>1946</v>
      </c>
    </row>
    <row r="129" spans="1:9" x14ac:dyDescent="0.3">
      <c r="A129" s="1" t="s">
        <v>289</v>
      </c>
      <c r="B129" s="1" t="s">
        <v>2536</v>
      </c>
      <c r="C129" s="1" t="s">
        <v>2537</v>
      </c>
      <c r="D129" s="1" t="s">
        <v>2538</v>
      </c>
      <c r="E129" s="1" t="s">
        <v>2539</v>
      </c>
      <c r="F129" s="1" t="s">
        <v>2361</v>
      </c>
      <c r="G129" s="1" t="s">
        <v>1944</v>
      </c>
      <c r="H129" s="1" t="s">
        <v>2540</v>
      </c>
      <c r="I129" t="s">
        <v>1946</v>
      </c>
    </row>
    <row r="130" spans="1:9" x14ac:dyDescent="0.3">
      <c r="A130" s="1" t="s">
        <v>291</v>
      </c>
      <c r="B130" s="1" t="s">
        <v>2541</v>
      </c>
      <c r="C130" s="1" t="s">
        <v>2542</v>
      </c>
      <c r="D130" s="1" t="s">
        <v>2543</v>
      </c>
      <c r="E130" s="1" t="s">
        <v>2544</v>
      </c>
      <c r="F130" s="1" t="s">
        <v>2545</v>
      </c>
      <c r="G130" s="1" t="s">
        <v>1936</v>
      </c>
      <c r="H130" s="1">
        <v>58122</v>
      </c>
      <c r="I130" t="s">
        <v>1946</v>
      </c>
    </row>
    <row r="131" spans="1:9" x14ac:dyDescent="0.3">
      <c r="A131" s="1" t="s">
        <v>293</v>
      </c>
      <c r="B131" s="1" t="s">
        <v>2546</v>
      </c>
      <c r="C131" s="1" t="s">
        <v>2547</v>
      </c>
      <c r="D131" s="1" t="s">
        <v>2548</v>
      </c>
      <c r="E131" s="1" t="s">
        <v>2549</v>
      </c>
      <c r="F131" s="1" t="s">
        <v>2550</v>
      </c>
      <c r="G131" s="1" t="s">
        <v>1936</v>
      </c>
      <c r="H131" s="1">
        <v>47737</v>
      </c>
      <c r="I131" t="s">
        <v>1937</v>
      </c>
    </row>
    <row r="132" spans="1:9" x14ac:dyDescent="0.3">
      <c r="A132" s="1" t="s">
        <v>295</v>
      </c>
      <c r="B132" s="1" t="s">
        <v>2551</v>
      </c>
      <c r="C132" s="1"/>
      <c r="D132" s="1" t="s">
        <v>2552</v>
      </c>
      <c r="E132" s="1" t="s">
        <v>2553</v>
      </c>
      <c r="F132" s="1" t="s">
        <v>2471</v>
      </c>
      <c r="G132" s="1" t="s">
        <v>1944</v>
      </c>
      <c r="H132" s="1" t="s">
        <v>2472</v>
      </c>
      <c r="I132" t="s">
        <v>1937</v>
      </c>
    </row>
    <row r="133" spans="1:9" x14ac:dyDescent="0.3">
      <c r="A133" s="1" t="s">
        <v>297</v>
      </c>
      <c r="B133" s="1" t="s">
        <v>2554</v>
      </c>
      <c r="C133" s="1" t="s">
        <v>2555</v>
      </c>
      <c r="D133" s="1" t="s">
        <v>2556</v>
      </c>
      <c r="E133" s="1" t="s">
        <v>2557</v>
      </c>
      <c r="F133" s="1" t="s">
        <v>2295</v>
      </c>
      <c r="G133" s="1" t="s">
        <v>1936</v>
      </c>
      <c r="H133" s="1">
        <v>28210</v>
      </c>
      <c r="I133" t="s">
        <v>1937</v>
      </c>
    </row>
    <row r="134" spans="1:9" x14ac:dyDescent="0.3">
      <c r="A134" s="1" t="s">
        <v>299</v>
      </c>
      <c r="B134" s="1" t="s">
        <v>2558</v>
      </c>
      <c r="C134" s="1" t="s">
        <v>2559</v>
      </c>
      <c r="D134" s="1" t="s">
        <v>2560</v>
      </c>
      <c r="E134" s="1" t="s">
        <v>2561</v>
      </c>
      <c r="F134" s="1" t="s">
        <v>2562</v>
      </c>
      <c r="G134" s="1" t="s">
        <v>1936</v>
      </c>
      <c r="H134" s="1">
        <v>35815</v>
      </c>
      <c r="I134" t="s">
        <v>1937</v>
      </c>
    </row>
    <row r="135" spans="1:9" x14ac:dyDescent="0.3">
      <c r="A135" s="1" t="s">
        <v>301</v>
      </c>
      <c r="B135" s="1" t="s">
        <v>2563</v>
      </c>
      <c r="C135" s="1" t="s">
        <v>2564</v>
      </c>
      <c r="D135" s="1" t="s">
        <v>2565</v>
      </c>
      <c r="E135" s="1" t="s">
        <v>2566</v>
      </c>
      <c r="F135" s="1" t="s">
        <v>2567</v>
      </c>
      <c r="G135" s="1" t="s">
        <v>1936</v>
      </c>
      <c r="H135" s="1">
        <v>92725</v>
      </c>
      <c r="I135" t="s">
        <v>1946</v>
      </c>
    </row>
    <row r="136" spans="1:9" x14ac:dyDescent="0.3">
      <c r="A136" s="1" t="s">
        <v>303</v>
      </c>
      <c r="B136" s="1" t="s">
        <v>2568</v>
      </c>
      <c r="C136" s="1"/>
      <c r="D136" s="1"/>
      <c r="E136" s="1" t="s">
        <v>2569</v>
      </c>
      <c r="F136" s="1" t="s">
        <v>2181</v>
      </c>
      <c r="G136" s="1" t="s">
        <v>1936</v>
      </c>
      <c r="H136" s="1">
        <v>20520</v>
      </c>
      <c r="I136" t="s">
        <v>1937</v>
      </c>
    </row>
    <row r="137" spans="1:9" x14ac:dyDescent="0.3">
      <c r="A137" s="1" t="s">
        <v>2570</v>
      </c>
      <c r="B137" s="1" t="s">
        <v>2571</v>
      </c>
      <c r="C137" s="1" t="s">
        <v>2572</v>
      </c>
      <c r="D137" s="1" t="s">
        <v>2573</v>
      </c>
      <c r="E137" s="1" t="s">
        <v>2574</v>
      </c>
      <c r="F137" s="1" t="s">
        <v>2575</v>
      </c>
      <c r="G137" s="1" t="s">
        <v>1944</v>
      </c>
      <c r="H137" s="1" t="s">
        <v>2576</v>
      </c>
      <c r="I137" t="s">
        <v>1946</v>
      </c>
    </row>
    <row r="138" spans="1:9" x14ac:dyDescent="0.3">
      <c r="A138" s="1" t="s">
        <v>307</v>
      </c>
      <c r="B138" s="1" t="s">
        <v>2577</v>
      </c>
      <c r="C138" s="1" t="s">
        <v>2578</v>
      </c>
      <c r="D138" s="1" t="s">
        <v>2579</v>
      </c>
      <c r="E138" s="1" t="s">
        <v>2580</v>
      </c>
      <c r="F138" s="1" t="s">
        <v>2008</v>
      </c>
      <c r="G138" s="1" t="s">
        <v>1936</v>
      </c>
      <c r="H138" s="1">
        <v>63131</v>
      </c>
      <c r="I138" t="s">
        <v>1946</v>
      </c>
    </row>
    <row r="139" spans="1:9" x14ac:dyDescent="0.3">
      <c r="A139" s="1" t="s">
        <v>309</v>
      </c>
      <c r="B139" s="1" t="s">
        <v>2581</v>
      </c>
      <c r="C139" s="1"/>
      <c r="D139" s="1" t="s">
        <v>2582</v>
      </c>
      <c r="E139" s="1" t="s">
        <v>2583</v>
      </c>
      <c r="F139" s="1" t="s">
        <v>2100</v>
      </c>
      <c r="G139" s="1" t="s">
        <v>1944</v>
      </c>
      <c r="H139" s="1" t="s">
        <v>2101</v>
      </c>
      <c r="I139" t="s">
        <v>1946</v>
      </c>
    </row>
    <row r="140" spans="1:9" x14ac:dyDescent="0.3">
      <c r="A140" s="1" t="s">
        <v>311</v>
      </c>
      <c r="B140" s="1" t="s">
        <v>2584</v>
      </c>
      <c r="C140" s="1"/>
      <c r="D140" s="1" t="s">
        <v>2585</v>
      </c>
      <c r="E140" s="1" t="s">
        <v>2586</v>
      </c>
      <c r="F140" s="1" t="s">
        <v>2587</v>
      </c>
      <c r="G140" s="1" t="s">
        <v>1936</v>
      </c>
      <c r="H140" s="1">
        <v>96805</v>
      </c>
      <c r="I140" t="s">
        <v>1946</v>
      </c>
    </row>
    <row r="141" spans="1:9" x14ac:dyDescent="0.3">
      <c r="A141" s="1" t="s">
        <v>313</v>
      </c>
      <c r="B141" s="1" t="s">
        <v>2588</v>
      </c>
      <c r="C141" s="1"/>
      <c r="D141" s="1" t="s">
        <v>2589</v>
      </c>
      <c r="E141" s="1" t="s">
        <v>2590</v>
      </c>
      <c r="F141" s="1" t="s">
        <v>2378</v>
      </c>
      <c r="G141" s="1" t="s">
        <v>1936</v>
      </c>
      <c r="H141" s="1">
        <v>92878</v>
      </c>
      <c r="I141" t="s">
        <v>1937</v>
      </c>
    </row>
    <row r="142" spans="1:9" x14ac:dyDescent="0.3">
      <c r="A142" s="1" t="s">
        <v>315</v>
      </c>
      <c r="B142" s="1" t="s">
        <v>2591</v>
      </c>
      <c r="C142" s="1" t="s">
        <v>2592</v>
      </c>
      <c r="D142" s="1" t="s">
        <v>2593</v>
      </c>
      <c r="E142" s="1" t="s">
        <v>2594</v>
      </c>
      <c r="F142" s="1" t="s">
        <v>2595</v>
      </c>
      <c r="G142" s="1" t="s">
        <v>1944</v>
      </c>
      <c r="H142" s="1" t="s">
        <v>2540</v>
      </c>
      <c r="I142" t="s">
        <v>1937</v>
      </c>
    </row>
    <row r="143" spans="1:9" x14ac:dyDescent="0.3">
      <c r="A143" s="1" t="s">
        <v>317</v>
      </c>
      <c r="B143" s="1" t="s">
        <v>2596</v>
      </c>
      <c r="C143" s="1" t="s">
        <v>2597</v>
      </c>
      <c r="D143" s="1" t="s">
        <v>2598</v>
      </c>
      <c r="E143" s="1" t="s">
        <v>2599</v>
      </c>
      <c r="F143" s="1" t="s">
        <v>2181</v>
      </c>
      <c r="G143" s="1" t="s">
        <v>1936</v>
      </c>
      <c r="H143" s="1">
        <v>20520</v>
      </c>
      <c r="I143" t="s">
        <v>1937</v>
      </c>
    </row>
    <row r="144" spans="1:9" x14ac:dyDescent="0.3">
      <c r="A144" s="1" t="s">
        <v>319</v>
      </c>
      <c r="B144" s="1" t="s">
        <v>2600</v>
      </c>
      <c r="C144" s="1"/>
      <c r="D144" s="1"/>
      <c r="E144" s="1" t="s">
        <v>2601</v>
      </c>
      <c r="F144" s="1" t="s">
        <v>2602</v>
      </c>
      <c r="G144" s="1" t="s">
        <v>1944</v>
      </c>
      <c r="H144" s="1" t="s">
        <v>2305</v>
      </c>
      <c r="I144" t="s">
        <v>1937</v>
      </c>
    </row>
    <row r="145" spans="1:9" x14ac:dyDescent="0.3">
      <c r="A145" s="1" t="s">
        <v>321</v>
      </c>
      <c r="B145" s="1" t="s">
        <v>2603</v>
      </c>
      <c r="C145" s="1" t="s">
        <v>2604</v>
      </c>
      <c r="D145" s="1" t="s">
        <v>2605</v>
      </c>
      <c r="E145" s="1" t="s">
        <v>2606</v>
      </c>
      <c r="F145" s="1" t="s">
        <v>2022</v>
      </c>
      <c r="G145" s="1" t="s">
        <v>1936</v>
      </c>
      <c r="H145" s="1">
        <v>77281</v>
      </c>
      <c r="I145" t="s">
        <v>1946</v>
      </c>
    </row>
    <row r="146" spans="1:9" x14ac:dyDescent="0.3">
      <c r="A146" s="1" t="s">
        <v>323</v>
      </c>
      <c r="B146" s="1" t="s">
        <v>2607</v>
      </c>
      <c r="C146" s="1" t="s">
        <v>2608</v>
      </c>
      <c r="D146" s="1" t="s">
        <v>2609</v>
      </c>
      <c r="E146" s="1" t="s">
        <v>2610</v>
      </c>
      <c r="F146" s="1" t="s">
        <v>2611</v>
      </c>
      <c r="G146" s="1" t="s">
        <v>1936</v>
      </c>
      <c r="H146" s="1">
        <v>92668</v>
      </c>
      <c r="I146" t="s">
        <v>1937</v>
      </c>
    </row>
    <row r="147" spans="1:9" x14ac:dyDescent="0.3">
      <c r="A147" s="1" t="s">
        <v>325</v>
      </c>
      <c r="B147" s="1" t="s">
        <v>2612</v>
      </c>
      <c r="C147" s="1" t="s">
        <v>2613</v>
      </c>
      <c r="D147" s="1" t="s">
        <v>2614</v>
      </c>
      <c r="E147" s="1" t="s">
        <v>2615</v>
      </c>
      <c r="F147" s="1" t="s">
        <v>2443</v>
      </c>
      <c r="G147" s="1" t="s">
        <v>1936</v>
      </c>
      <c r="H147" s="1">
        <v>88553</v>
      </c>
      <c r="I147" t="s">
        <v>1946</v>
      </c>
    </row>
    <row r="148" spans="1:9" x14ac:dyDescent="0.3">
      <c r="A148" s="1" t="s">
        <v>327</v>
      </c>
      <c r="B148" s="1" t="s">
        <v>2616</v>
      </c>
      <c r="C148" s="1" t="s">
        <v>2617</v>
      </c>
      <c r="D148" s="1" t="s">
        <v>2618</v>
      </c>
      <c r="E148" s="1" t="s">
        <v>2619</v>
      </c>
      <c r="F148" s="1" t="s">
        <v>2620</v>
      </c>
      <c r="G148" s="1" t="s">
        <v>1936</v>
      </c>
      <c r="H148" s="1">
        <v>89714</v>
      </c>
      <c r="I148" t="s">
        <v>1946</v>
      </c>
    </row>
    <row r="149" spans="1:9" x14ac:dyDescent="0.3">
      <c r="A149" s="1" t="s">
        <v>2621</v>
      </c>
      <c r="B149" s="1" t="s">
        <v>2622</v>
      </c>
      <c r="C149" s="1" t="s">
        <v>2623</v>
      </c>
      <c r="D149" s="1" t="s">
        <v>2624</v>
      </c>
      <c r="E149" s="1" t="s">
        <v>2625</v>
      </c>
      <c r="F149" s="1" t="s">
        <v>2261</v>
      </c>
      <c r="G149" s="1" t="s">
        <v>1936</v>
      </c>
      <c r="H149" s="1">
        <v>76105</v>
      </c>
      <c r="I149" t="s">
        <v>1937</v>
      </c>
    </row>
    <row r="150" spans="1:9" x14ac:dyDescent="0.3">
      <c r="A150" s="1" t="s">
        <v>329</v>
      </c>
      <c r="B150" s="1" t="s">
        <v>2626</v>
      </c>
      <c r="C150" s="1" t="s">
        <v>2627</v>
      </c>
      <c r="D150" s="1" t="s">
        <v>2628</v>
      </c>
      <c r="E150" s="1" t="s">
        <v>2629</v>
      </c>
      <c r="F150" s="1" t="s">
        <v>2201</v>
      </c>
      <c r="G150" s="1" t="s">
        <v>1936</v>
      </c>
      <c r="H150" s="1">
        <v>84605</v>
      </c>
      <c r="I150" t="s">
        <v>1937</v>
      </c>
    </row>
    <row r="151" spans="1:9" x14ac:dyDescent="0.3">
      <c r="A151" s="1" t="s">
        <v>331</v>
      </c>
      <c r="B151" s="1" t="s">
        <v>2630</v>
      </c>
      <c r="C151" s="1"/>
      <c r="D151" s="1" t="s">
        <v>2631</v>
      </c>
      <c r="E151" s="1" t="s">
        <v>2632</v>
      </c>
      <c r="F151" s="1" t="s">
        <v>2633</v>
      </c>
      <c r="G151" s="1" t="s">
        <v>1936</v>
      </c>
      <c r="H151" s="1">
        <v>33487</v>
      </c>
      <c r="I151" t="s">
        <v>1937</v>
      </c>
    </row>
    <row r="152" spans="1:9" x14ac:dyDescent="0.3">
      <c r="A152" s="1" t="s">
        <v>333</v>
      </c>
      <c r="B152" s="1" t="s">
        <v>2634</v>
      </c>
      <c r="C152" s="1" t="s">
        <v>2635</v>
      </c>
      <c r="D152" s="1" t="s">
        <v>2636</v>
      </c>
      <c r="E152" s="1" t="s">
        <v>2637</v>
      </c>
      <c r="F152" s="1" t="s">
        <v>2638</v>
      </c>
      <c r="G152" s="1" t="s">
        <v>1936</v>
      </c>
      <c r="H152" s="1">
        <v>24040</v>
      </c>
      <c r="I152" t="s">
        <v>1937</v>
      </c>
    </row>
    <row r="153" spans="1:9" x14ac:dyDescent="0.3">
      <c r="A153" s="1" t="s">
        <v>335</v>
      </c>
      <c r="B153" s="1" t="s">
        <v>2639</v>
      </c>
      <c r="C153" s="1"/>
      <c r="D153" s="1" t="s">
        <v>2640</v>
      </c>
      <c r="E153" s="1" t="s">
        <v>2641</v>
      </c>
      <c r="F153" s="1" t="s">
        <v>2642</v>
      </c>
      <c r="G153" s="1" t="s">
        <v>1936</v>
      </c>
      <c r="H153" s="1">
        <v>50369</v>
      </c>
      <c r="I153" t="s">
        <v>1937</v>
      </c>
    </row>
    <row r="154" spans="1:9" x14ac:dyDescent="0.3">
      <c r="A154" s="1" t="s">
        <v>337</v>
      </c>
      <c r="B154" s="1" t="s">
        <v>2643</v>
      </c>
      <c r="C154" s="1" t="s">
        <v>2644</v>
      </c>
      <c r="D154" s="1" t="s">
        <v>2645</v>
      </c>
      <c r="E154" s="1" t="s">
        <v>2646</v>
      </c>
      <c r="F154" s="1" t="s">
        <v>2587</v>
      </c>
      <c r="G154" s="1" t="s">
        <v>1936</v>
      </c>
      <c r="H154" s="1">
        <v>96805</v>
      </c>
      <c r="I154" t="s">
        <v>1937</v>
      </c>
    </row>
    <row r="155" spans="1:9" x14ac:dyDescent="0.3">
      <c r="A155" s="1" t="s">
        <v>339</v>
      </c>
      <c r="B155" s="1" t="s">
        <v>2647</v>
      </c>
      <c r="C155" s="1"/>
      <c r="D155" s="1" t="s">
        <v>2648</v>
      </c>
      <c r="E155" s="1" t="s">
        <v>2649</v>
      </c>
      <c r="F155" s="1" t="s">
        <v>2186</v>
      </c>
      <c r="G155" s="1" t="s">
        <v>1936</v>
      </c>
      <c r="H155" s="1">
        <v>33345</v>
      </c>
      <c r="I155" t="s">
        <v>1946</v>
      </c>
    </row>
    <row r="156" spans="1:9" x14ac:dyDescent="0.3">
      <c r="A156" s="1" t="s">
        <v>341</v>
      </c>
      <c r="B156" s="1" t="s">
        <v>2650</v>
      </c>
      <c r="C156" s="1" t="s">
        <v>2651</v>
      </c>
      <c r="D156" s="1" t="s">
        <v>2652</v>
      </c>
      <c r="E156" s="1" t="s">
        <v>2653</v>
      </c>
      <c r="F156" s="1" t="s">
        <v>2012</v>
      </c>
      <c r="G156" s="1" t="s">
        <v>1936</v>
      </c>
      <c r="H156" s="1">
        <v>19172</v>
      </c>
      <c r="I156" t="s">
        <v>1946</v>
      </c>
    </row>
    <row r="157" spans="1:9" x14ac:dyDescent="0.3">
      <c r="A157" s="1" t="s">
        <v>343</v>
      </c>
      <c r="B157" s="1" t="s">
        <v>2654</v>
      </c>
      <c r="C157" s="1" t="s">
        <v>2655</v>
      </c>
      <c r="D157" s="1" t="s">
        <v>2656</v>
      </c>
      <c r="E157" s="1" t="s">
        <v>2657</v>
      </c>
      <c r="F157" s="1" t="s">
        <v>2658</v>
      </c>
      <c r="G157" s="1" t="s">
        <v>1936</v>
      </c>
      <c r="H157" s="1">
        <v>6854</v>
      </c>
      <c r="I157" t="s">
        <v>1937</v>
      </c>
    </row>
    <row r="158" spans="1:9" x14ac:dyDescent="0.3">
      <c r="A158" s="1" t="s">
        <v>345</v>
      </c>
      <c r="B158" s="1" t="s">
        <v>2659</v>
      </c>
      <c r="C158" s="1" t="s">
        <v>2660</v>
      </c>
      <c r="D158" s="1" t="s">
        <v>2661</v>
      </c>
      <c r="E158" s="1" t="s">
        <v>2662</v>
      </c>
      <c r="F158" s="1" t="s">
        <v>2663</v>
      </c>
      <c r="G158" s="1" t="s">
        <v>1936</v>
      </c>
      <c r="H158" s="1">
        <v>76011</v>
      </c>
      <c r="I158" t="s">
        <v>1937</v>
      </c>
    </row>
    <row r="159" spans="1:9" x14ac:dyDescent="0.3">
      <c r="A159" s="1" t="s">
        <v>347</v>
      </c>
      <c r="B159" s="1" t="s">
        <v>2664</v>
      </c>
      <c r="C159" s="1" t="s">
        <v>2665</v>
      </c>
      <c r="D159" s="1" t="s">
        <v>2666</v>
      </c>
      <c r="E159" s="1" t="s">
        <v>2667</v>
      </c>
      <c r="F159" s="1" t="s">
        <v>2668</v>
      </c>
      <c r="G159" s="1" t="s">
        <v>1944</v>
      </c>
      <c r="H159" s="1" t="s">
        <v>2669</v>
      </c>
      <c r="I159" t="s">
        <v>1946</v>
      </c>
    </row>
    <row r="160" spans="1:9" x14ac:dyDescent="0.3">
      <c r="A160" s="1" t="s">
        <v>349</v>
      </c>
      <c r="B160" s="1" t="s">
        <v>2670</v>
      </c>
      <c r="C160" s="1"/>
      <c r="D160" s="1" t="s">
        <v>2671</v>
      </c>
      <c r="E160" s="1" t="s">
        <v>2672</v>
      </c>
      <c r="F160" s="1" t="s">
        <v>2673</v>
      </c>
      <c r="G160" s="1" t="s">
        <v>1936</v>
      </c>
      <c r="H160" s="1">
        <v>37416</v>
      </c>
      <c r="I160" t="s">
        <v>1937</v>
      </c>
    </row>
    <row r="161" spans="1:9" x14ac:dyDescent="0.3">
      <c r="A161" s="1" t="s">
        <v>351</v>
      </c>
      <c r="B161" s="1" t="s">
        <v>2674</v>
      </c>
      <c r="C161" s="1"/>
      <c r="D161" s="1" t="s">
        <v>2675</v>
      </c>
      <c r="E161" s="1" t="s">
        <v>2676</v>
      </c>
      <c r="F161" s="1" t="s">
        <v>2017</v>
      </c>
      <c r="G161" s="1" t="s">
        <v>1936</v>
      </c>
      <c r="H161" s="1">
        <v>97296</v>
      </c>
      <c r="I161" t="s">
        <v>1946</v>
      </c>
    </row>
    <row r="162" spans="1:9" x14ac:dyDescent="0.3">
      <c r="A162" s="1" t="s">
        <v>353</v>
      </c>
      <c r="B162" s="1" t="s">
        <v>2677</v>
      </c>
      <c r="C162" s="1" t="s">
        <v>2678</v>
      </c>
      <c r="D162" s="1" t="s">
        <v>2679</v>
      </c>
      <c r="E162" s="1" t="s">
        <v>2680</v>
      </c>
      <c r="F162" s="1" t="s">
        <v>2357</v>
      </c>
      <c r="G162" s="1" t="s">
        <v>1936</v>
      </c>
      <c r="H162" s="1">
        <v>73135</v>
      </c>
      <c r="I162" t="s">
        <v>1946</v>
      </c>
    </row>
    <row r="163" spans="1:9" x14ac:dyDescent="0.3">
      <c r="A163" s="1" t="s">
        <v>355</v>
      </c>
      <c r="B163" s="1" t="s">
        <v>2681</v>
      </c>
      <c r="C163" s="1" t="s">
        <v>2682</v>
      </c>
      <c r="D163" s="1" t="s">
        <v>2683</v>
      </c>
      <c r="E163" s="1" t="s">
        <v>2684</v>
      </c>
      <c r="F163" s="1" t="s">
        <v>2181</v>
      </c>
      <c r="G163" s="1" t="s">
        <v>1936</v>
      </c>
      <c r="H163" s="1">
        <v>20520</v>
      </c>
      <c r="I163" t="s">
        <v>1946</v>
      </c>
    </row>
    <row r="164" spans="1:9" x14ac:dyDescent="0.3">
      <c r="A164" s="1" t="s">
        <v>357</v>
      </c>
      <c r="B164" s="1" t="s">
        <v>2685</v>
      </c>
      <c r="C164" s="1" t="s">
        <v>2686</v>
      </c>
      <c r="D164" s="1" t="s">
        <v>2687</v>
      </c>
      <c r="E164" s="1" t="s">
        <v>2688</v>
      </c>
      <c r="F164" s="1" t="s">
        <v>2689</v>
      </c>
      <c r="G164" s="1" t="s">
        <v>1936</v>
      </c>
      <c r="H164" s="1">
        <v>27415</v>
      </c>
      <c r="I164" t="s">
        <v>1937</v>
      </c>
    </row>
    <row r="165" spans="1:9" x14ac:dyDescent="0.3">
      <c r="A165" s="1" t="s">
        <v>359</v>
      </c>
      <c r="B165" s="1" t="s">
        <v>2690</v>
      </c>
      <c r="C165" s="1" t="s">
        <v>2691</v>
      </c>
      <c r="D165" s="1" t="s">
        <v>2692</v>
      </c>
      <c r="E165" s="1" t="s">
        <v>2693</v>
      </c>
      <c r="F165" s="1" t="s">
        <v>2694</v>
      </c>
      <c r="G165" s="1" t="s">
        <v>1936</v>
      </c>
      <c r="H165" s="1">
        <v>22313</v>
      </c>
      <c r="I165" t="s">
        <v>1946</v>
      </c>
    </row>
    <row r="166" spans="1:9" x14ac:dyDescent="0.3">
      <c r="A166" s="1" t="s">
        <v>361</v>
      </c>
      <c r="B166" s="1" t="s">
        <v>2695</v>
      </c>
      <c r="C166" s="1" t="s">
        <v>2696</v>
      </c>
      <c r="D166" s="1" t="s">
        <v>2697</v>
      </c>
      <c r="E166" s="1" t="s">
        <v>2698</v>
      </c>
      <c r="F166" s="1" t="s">
        <v>2699</v>
      </c>
      <c r="G166" s="1" t="s">
        <v>1944</v>
      </c>
      <c r="H166" s="1" t="s">
        <v>2700</v>
      </c>
      <c r="I166" t="s">
        <v>1946</v>
      </c>
    </row>
    <row r="167" spans="1:9" x14ac:dyDescent="0.3">
      <c r="A167" s="1" t="s">
        <v>363</v>
      </c>
      <c r="B167" s="1" t="s">
        <v>2701</v>
      </c>
      <c r="C167" s="1"/>
      <c r="D167" s="1" t="s">
        <v>2702</v>
      </c>
      <c r="E167" s="1" t="s">
        <v>2703</v>
      </c>
      <c r="F167" s="1" t="s">
        <v>2704</v>
      </c>
      <c r="G167" s="1" t="s">
        <v>1936</v>
      </c>
      <c r="H167" s="1">
        <v>53405</v>
      </c>
      <c r="I167" t="s">
        <v>1937</v>
      </c>
    </row>
    <row r="168" spans="1:9" x14ac:dyDescent="0.3">
      <c r="A168" s="1" t="s">
        <v>365</v>
      </c>
      <c r="B168" s="1" t="s">
        <v>2705</v>
      </c>
      <c r="C168" s="1"/>
      <c r="D168" s="1" t="s">
        <v>2706</v>
      </c>
      <c r="E168" s="1" t="s">
        <v>2707</v>
      </c>
      <c r="F168" s="1" t="s">
        <v>2708</v>
      </c>
      <c r="G168" s="1" t="s">
        <v>1936</v>
      </c>
      <c r="H168" s="1">
        <v>34629</v>
      </c>
      <c r="I168" t="s">
        <v>1937</v>
      </c>
    </row>
    <row r="169" spans="1:9" x14ac:dyDescent="0.3">
      <c r="A169" s="1" t="s">
        <v>367</v>
      </c>
      <c r="B169" s="1" t="s">
        <v>2709</v>
      </c>
      <c r="C169" s="1" t="s">
        <v>2710</v>
      </c>
      <c r="D169" s="1" t="s">
        <v>2711</v>
      </c>
      <c r="E169" s="1" t="s">
        <v>2712</v>
      </c>
      <c r="F169" s="1" t="s">
        <v>2704</v>
      </c>
      <c r="G169" s="1" t="s">
        <v>1936</v>
      </c>
      <c r="H169" s="1">
        <v>53405</v>
      </c>
      <c r="I169" t="s">
        <v>1937</v>
      </c>
    </row>
    <row r="170" spans="1:9" x14ac:dyDescent="0.3">
      <c r="A170" s="1" t="s">
        <v>369</v>
      </c>
      <c r="B170" s="1" t="s">
        <v>2713</v>
      </c>
      <c r="C170" s="1"/>
      <c r="D170" s="1" t="s">
        <v>2714</v>
      </c>
      <c r="E170" s="1" t="s">
        <v>2715</v>
      </c>
      <c r="F170" s="1" t="s">
        <v>2699</v>
      </c>
      <c r="G170" s="1" t="s">
        <v>1944</v>
      </c>
      <c r="H170" s="1" t="s">
        <v>2700</v>
      </c>
      <c r="I170" t="s">
        <v>1946</v>
      </c>
    </row>
    <row r="171" spans="1:9" x14ac:dyDescent="0.3">
      <c r="A171" s="1" t="s">
        <v>371</v>
      </c>
      <c r="B171" s="1" t="s">
        <v>2716</v>
      </c>
      <c r="C171" s="1" t="s">
        <v>2717</v>
      </c>
      <c r="D171" s="1" t="s">
        <v>2718</v>
      </c>
      <c r="E171" s="1" t="s">
        <v>2719</v>
      </c>
      <c r="F171" s="1" t="s">
        <v>2720</v>
      </c>
      <c r="G171" s="1" t="s">
        <v>1944</v>
      </c>
      <c r="H171" s="1" t="s">
        <v>2721</v>
      </c>
      <c r="I171" t="s">
        <v>1946</v>
      </c>
    </row>
    <row r="172" spans="1:9" x14ac:dyDescent="0.3">
      <c r="A172" s="1" t="s">
        <v>373</v>
      </c>
      <c r="B172" s="1" t="s">
        <v>2722</v>
      </c>
      <c r="C172" s="1" t="s">
        <v>2723</v>
      </c>
      <c r="D172" s="1"/>
      <c r="E172" s="1" t="s">
        <v>2724</v>
      </c>
      <c r="F172" s="1" t="s">
        <v>2725</v>
      </c>
      <c r="G172" s="1" t="s">
        <v>2111</v>
      </c>
      <c r="H172" s="1" t="s">
        <v>2726</v>
      </c>
      <c r="I172" t="s">
        <v>1946</v>
      </c>
    </row>
    <row r="173" spans="1:9" x14ac:dyDescent="0.3">
      <c r="A173" s="1" t="s">
        <v>375</v>
      </c>
      <c r="B173" s="1" t="s">
        <v>2727</v>
      </c>
      <c r="C173" s="1" t="s">
        <v>2728</v>
      </c>
      <c r="D173" s="1" t="s">
        <v>2729</v>
      </c>
      <c r="E173" s="1" t="s">
        <v>2730</v>
      </c>
      <c r="F173" s="1" t="s">
        <v>2215</v>
      </c>
      <c r="G173" s="1" t="s">
        <v>1936</v>
      </c>
      <c r="H173" s="1">
        <v>33686</v>
      </c>
      <c r="I173" t="s">
        <v>1937</v>
      </c>
    </row>
    <row r="174" spans="1:9" x14ac:dyDescent="0.3">
      <c r="A174" s="1" t="s">
        <v>377</v>
      </c>
      <c r="B174" s="1" t="s">
        <v>2731</v>
      </c>
      <c r="C174" s="1" t="s">
        <v>2732</v>
      </c>
      <c r="D174" s="1"/>
      <c r="E174" s="1" t="s">
        <v>2733</v>
      </c>
      <c r="F174" s="1" t="s">
        <v>2734</v>
      </c>
      <c r="G174" s="1" t="s">
        <v>1944</v>
      </c>
      <c r="H174" s="1" t="s">
        <v>2407</v>
      </c>
      <c r="I174" t="s">
        <v>1946</v>
      </c>
    </row>
    <row r="175" spans="1:9" x14ac:dyDescent="0.3">
      <c r="A175" s="1" t="s">
        <v>379</v>
      </c>
      <c r="B175" s="1" t="s">
        <v>2735</v>
      </c>
      <c r="C175" s="1" t="s">
        <v>2736</v>
      </c>
      <c r="D175" s="1" t="s">
        <v>2737</v>
      </c>
      <c r="E175" s="1" t="s">
        <v>2738</v>
      </c>
      <c r="F175" s="1" t="s">
        <v>2739</v>
      </c>
      <c r="G175" s="1" t="s">
        <v>1936</v>
      </c>
      <c r="H175" s="1">
        <v>36195</v>
      </c>
      <c r="I175" t="s">
        <v>1946</v>
      </c>
    </row>
    <row r="176" spans="1:9" x14ac:dyDescent="0.3">
      <c r="A176" s="1" t="s">
        <v>381</v>
      </c>
      <c r="B176" s="1" t="s">
        <v>2740</v>
      </c>
      <c r="C176" s="1"/>
      <c r="D176" s="1" t="s">
        <v>2741</v>
      </c>
      <c r="E176" s="1" t="s">
        <v>2742</v>
      </c>
      <c r="F176" s="1" t="s">
        <v>2743</v>
      </c>
      <c r="G176" s="1" t="s">
        <v>1936</v>
      </c>
      <c r="H176" s="1">
        <v>89436</v>
      </c>
      <c r="I176" t="s">
        <v>1937</v>
      </c>
    </row>
    <row r="177" spans="1:9" x14ac:dyDescent="0.3">
      <c r="A177" s="1" t="s">
        <v>383</v>
      </c>
      <c r="B177" s="1" t="s">
        <v>2744</v>
      </c>
      <c r="C177" s="1" t="s">
        <v>2745</v>
      </c>
      <c r="D177" s="1" t="s">
        <v>2746</v>
      </c>
      <c r="E177" s="1" t="s">
        <v>2747</v>
      </c>
      <c r="F177" s="1" t="s">
        <v>2748</v>
      </c>
      <c r="G177" s="1" t="s">
        <v>1936</v>
      </c>
      <c r="H177" s="1">
        <v>31205</v>
      </c>
      <c r="I177" t="s">
        <v>1937</v>
      </c>
    </row>
    <row r="178" spans="1:9" x14ac:dyDescent="0.3">
      <c r="A178" s="1" t="s">
        <v>385</v>
      </c>
      <c r="B178" s="1" t="s">
        <v>2749</v>
      </c>
      <c r="C178" s="1" t="s">
        <v>2750</v>
      </c>
      <c r="D178" s="1" t="s">
        <v>2751</v>
      </c>
      <c r="E178" s="1" t="s">
        <v>2752</v>
      </c>
      <c r="F178" s="1" t="s">
        <v>2753</v>
      </c>
      <c r="G178" s="1" t="s">
        <v>1936</v>
      </c>
      <c r="H178" s="1">
        <v>90605</v>
      </c>
      <c r="I178" t="s">
        <v>1937</v>
      </c>
    </row>
    <row r="179" spans="1:9" x14ac:dyDescent="0.3">
      <c r="A179" s="1" t="s">
        <v>387</v>
      </c>
      <c r="B179" s="1" t="s">
        <v>2754</v>
      </c>
      <c r="C179" s="1" t="s">
        <v>2755</v>
      </c>
      <c r="D179" s="1"/>
      <c r="E179" s="1" t="s">
        <v>2756</v>
      </c>
      <c r="F179" s="1" t="s">
        <v>2757</v>
      </c>
      <c r="G179" s="1" t="s">
        <v>1936</v>
      </c>
      <c r="H179" s="1">
        <v>37605</v>
      </c>
      <c r="I179" t="s">
        <v>1937</v>
      </c>
    </row>
    <row r="180" spans="1:9" x14ac:dyDescent="0.3">
      <c r="A180" s="1" t="s">
        <v>389</v>
      </c>
      <c r="B180" s="1" t="s">
        <v>2758</v>
      </c>
      <c r="C180" s="1" t="s">
        <v>2759</v>
      </c>
      <c r="D180" s="1" t="s">
        <v>2760</v>
      </c>
      <c r="E180" s="1" t="s">
        <v>2761</v>
      </c>
      <c r="F180" s="1" t="s">
        <v>2158</v>
      </c>
      <c r="G180" s="1" t="s">
        <v>1936</v>
      </c>
      <c r="H180" s="1">
        <v>14614</v>
      </c>
      <c r="I180" t="s">
        <v>1946</v>
      </c>
    </row>
    <row r="181" spans="1:9" x14ac:dyDescent="0.3">
      <c r="A181" s="1" t="s">
        <v>391</v>
      </c>
      <c r="B181" s="1" t="s">
        <v>2762</v>
      </c>
      <c r="C181" s="1"/>
      <c r="D181" s="1" t="s">
        <v>2763</v>
      </c>
      <c r="E181" s="1" t="s">
        <v>2764</v>
      </c>
      <c r="F181" s="1" t="s">
        <v>2765</v>
      </c>
      <c r="G181" s="1" t="s">
        <v>1944</v>
      </c>
      <c r="H181" s="1" t="s">
        <v>2766</v>
      </c>
      <c r="I181" t="s">
        <v>1946</v>
      </c>
    </row>
    <row r="182" spans="1:9" x14ac:dyDescent="0.3">
      <c r="A182" s="1" t="s">
        <v>393</v>
      </c>
      <c r="B182" s="1" t="s">
        <v>2767</v>
      </c>
      <c r="C182" s="1" t="s">
        <v>2768</v>
      </c>
      <c r="D182" s="1" t="s">
        <v>2769</v>
      </c>
      <c r="E182" s="1" t="s">
        <v>2770</v>
      </c>
      <c r="F182" s="1" t="s">
        <v>2771</v>
      </c>
      <c r="G182" s="1" t="s">
        <v>1936</v>
      </c>
      <c r="H182" s="1">
        <v>11254</v>
      </c>
      <c r="I182" t="s">
        <v>1946</v>
      </c>
    </row>
    <row r="183" spans="1:9" x14ac:dyDescent="0.3">
      <c r="A183" s="1" t="s">
        <v>2772</v>
      </c>
      <c r="B183" s="1" t="s">
        <v>2773</v>
      </c>
      <c r="C183" s="1" t="s">
        <v>2774</v>
      </c>
      <c r="D183" s="1" t="s">
        <v>2775</v>
      </c>
      <c r="E183" s="1" t="s">
        <v>2776</v>
      </c>
      <c r="F183" s="1" t="s">
        <v>1957</v>
      </c>
      <c r="G183" s="1" t="s">
        <v>1936</v>
      </c>
      <c r="H183" s="1">
        <v>1114</v>
      </c>
      <c r="I183" t="s">
        <v>1946</v>
      </c>
    </row>
    <row r="184" spans="1:9" x14ac:dyDescent="0.3">
      <c r="A184" s="1" t="s">
        <v>395</v>
      </c>
      <c r="B184" s="1" t="s">
        <v>2777</v>
      </c>
      <c r="C184" s="1" t="s">
        <v>2778</v>
      </c>
      <c r="D184" s="1" t="s">
        <v>2779</v>
      </c>
      <c r="E184" s="1" t="s">
        <v>2780</v>
      </c>
      <c r="F184" s="1" t="s">
        <v>2781</v>
      </c>
      <c r="G184" s="1" t="s">
        <v>1936</v>
      </c>
      <c r="H184" s="1">
        <v>22908</v>
      </c>
      <c r="I184" t="s">
        <v>1946</v>
      </c>
    </row>
    <row r="185" spans="1:9" x14ac:dyDescent="0.3">
      <c r="A185" s="1" t="s">
        <v>397</v>
      </c>
      <c r="B185" s="1" t="s">
        <v>2782</v>
      </c>
      <c r="C185" s="1" t="s">
        <v>2783</v>
      </c>
      <c r="D185" s="1" t="s">
        <v>2784</v>
      </c>
      <c r="E185" s="1" t="s">
        <v>2785</v>
      </c>
      <c r="F185" s="1" t="s">
        <v>2786</v>
      </c>
      <c r="G185" s="1" t="s">
        <v>1936</v>
      </c>
      <c r="H185" s="1">
        <v>75044</v>
      </c>
      <c r="I185" t="s">
        <v>1946</v>
      </c>
    </row>
    <row r="186" spans="1:9" x14ac:dyDescent="0.3">
      <c r="A186" s="1" t="s">
        <v>399</v>
      </c>
      <c r="B186" s="1" t="s">
        <v>2787</v>
      </c>
      <c r="C186" s="1" t="s">
        <v>2788</v>
      </c>
      <c r="D186" s="1" t="s">
        <v>2789</v>
      </c>
      <c r="E186" s="1" t="s">
        <v>2790</v>
      </c>
      <c r="F186" s="1" t="s">
        <v>2132</v>
      </c>
      <c r="G186" s="1" t="s">
        <v>1936</v>
      </c>
      <c r="H186" s="1">
        <v>55448</v>
      </c>
      <c r="I186" t="s">
        <v>1946</v>
      </c>
    </row>
    <row r="187" spans="1:9" x14ac:dyDescent="0.3">
      <c r="A187" s="1" t="s">
        <v>401</v>
      </c>
      <c r="B187" s="1" t="s">
        <v>2791</v>
      </c>
      <c r="C187" s="1" t="s">
        <v>2792</v>
      </c>
      <c r="D187" s="1" t="s">
        <v>2793</v>
      </c>
      <c r="E187" s="1" t="s">
        <v>2794</v>
      </c>
      <c r="F187" s="1" t="s">
        <v>2795</v>
      </c>
      <c r="G187" s="1" t="s">
        <v>1936</v>
      </c>
      <c r="H187" s="1">
        <v>48919</v>
      </c>
      <c r="I187" t="s">
        <v>1937</v>
      </c>
    </row>
    <row r="188" spans="1:9" x14ac:dyDescent="0.3">
      <c r="A188" s="1" t="s">
        <v>403</v>
      </c>
      <c r="B188" s="1" t="s">
        <v>2796</v>
      </c>
      <c r="C188" s="1" t="s">
        <v>2797</v>
      </c>
      <c r="D188" s="1" t="s">
        <v>2798</v>
      </c>
      <c r="E188" s="1" t="s">
        <v>2799</v>
      </c>
      <c r="F188" s="1" t="s">
        <v>2105</v>
      </c>
      <c r="G188" s="1" t="s">
        <v>1936</v>
      </c>
      <c r="H188" s="1">
        <v>58207</v>
      </c>
      <c r="I188" t="s">
        <v>1946</v>
      </c>
    </row>
    <row r="189" spans="1:9" x14ac:dyDescent="0.3">
      <c r="A189" s="1" t="s">
        <v>405</v>
      </c>
      <c r="B189" s="1" t="s">
        <v>2800</v>
      </c>
      <c r="C189" s="1" t="s">
        <v>2801</v>
      </c>
      <c r="D189" s="1"/>
      <c r="E189" s="1" t="s">
        <v>2802</v>
      </c>
      <c r="F189" s="1" t="s">
        <v>2496</v>
      </c>
      <c r="G189" s="1" t="s">
        <v>1936</v>
      </c>
      <c r="H189" s="1">
        <v>99522</v>
      </c>
      <c r="I189" t="s">
        <v>1937</v>
      </c>
    </row>
    <row r="190" spans="1:9" x14ac:dyDescent="0.3">
      <c r="A190" s="1" t="s">
        <v>407</v>
      </c>
      <c r="B190" s="1" t="s">
        <v>2803</v>
      </c>
      <c r="C190" s="1" t="s">
        <v>2804</v>
      </c>
      <c r="D190" s="1" t="s">
        <v>2805</v>
      </c>
      <c r="E190" s="1" t="s">
        <v>2806</v>
      </c>
      <c r="F190" s="1" t="s">
        <v>2357</v>
      </c>
      <c r="G190" s="1" t="s">
        <v>1936</v>
      </c>
      <c r="H190" s="1">
        <v>73129</v>
      </c>
      <c r="I190" t="s">
        <v>1937</v>
      </c>
    </row>
    <row r="191" spans="1:9" x14ac:dyDescent="0.3">
      <c r="A191" s="1" t="s">
        <v>409</v>
      </c>
      <c r="B191" s="1" t="s">
        <v>2807</v>
      </c>
      <c r="C191" s="1" t="s">
        <v>2808</v>
      </c>
      <c r="D191" s="1" t="s">
        <v>2809</v>
      </c>
      <c r="E191" s="1" t="s">
        <v>2810</v>
      </c>
      <c r="F191" s="1" t="s">
        <v>2811</v>
      </c>
      <c r="G191" s="1" t="s">
        <v>1936</v>
      </c>
      <c r="H191" s="1">
        <v>74103</v>
      </c>
      <c r="I191" t="s">
        <v>1937</v>
      </c>
    </row>
    <row r="192" spans="1:9" x14ac:dyDescent="0.3">
      <c r="A192" s="1" t="s">
        <v>411</v>
      </c>
      <c r="B192" s="1" t="s">
        <v>2812</v>
      </c>
      <c r="C192" s="1" t="s">
        <v>2813</v>
      </c>
      <c r="D192" s="1" t="s">
        <v>2814</v>
      </c>
      <c r="E192" s="1" t="s">
        <v>2815</v>
      </c>
      <c r="F192" s="1" t="s">
        <v>2816</v>
      </c>
      <c r="G192" s="1" t="s">
        <v>1936</v>
      </c>
      <c r="H192" s="1">
        <v>48211</v>
      </c>
      <c r="I192" t="s">
        <v>1937</v>
      </c>
    </row>
    <row r="193" spans="1:9" x14ac:dyDescent="0.3">
      <c r="A193" s="1" t="s">
        <v>413</v>
      </c>
      <c r="B193" s="1" t="s">
        <v>2817</v>
      </c>
      <c r="C193" s="1" t="s">
        <v>2818</v>
      </c>
      <c r="D193" s="1" t="s">
        <v>2819</v>
      </c>
      <c r="E193" s="1" t="s">
        <v>2820</v>
      </c>
      <c r="F193" s="1" t="s">
        <v>2181</v>
      </c>
      <c r="G193" s="1" t="s">
        <v>1936</v>
      </c>
      <c r="H193" s="1">
        <v>20436</v>
      </c>
      <c r="I193" t="s">
        <v>1937</v>
      </c>
    </row>
    <row r="194" spans="1:9" x14ac:dyDescent="0.3">
      <c r="A194" s="1" t="s">
        <v>415</v>
      </c>
      <c r="B194" s="1" t="s">
        <v>2821</v>
      </c>
      <c r="C194" s="1" t="s">
        <v>2822</v>
      </c>
      <c r="D194" s="1" t="s">
        <v>2823</v>
      </c>
      <c r="E194" s="1" t="s">
        <v>2824</v>
      </c>
      <c r="F194" s="1" t="s">
        <v>2825</v>
      </c>
      <c r="G194" s="1" t="s">
        <v>1944</v>
      </c>
      <c r="H194" s="1" t="s">
        <v>2826</v>
      </c>
      <c r="I194" t="s">
        <v>1937</v>
      </c>
    </row>
    <row r="195" spans="1:9" x14ac:dyDescent="0.3">
      <c r="A195" s="1" t="s">
        <v>417</v>
      </c>
      <c r="B195" s="1" t="s">
        <v>2827</v>
      </c>
      <c r="C195" s="1"/>
      <c r="D195" s="1" t="s">
        <v>2828</v>
      </c>
      <c r="E195" s="1" t="s">
        <v>2829</v>
      </c>
      <c r="F195" s="1" t="s">
        <v>2830</v>
      </c>
      <c r="G195" s="1" t="s">
        <v>1936</v>
      </c>
      <c r="H195" s="1">
        <v>85215</v>
      </c>
      <c r="I195" t="s">
        <v>1946</v>
      </c>
    </row>
    <row r="196" spans="1:9" x14ac:dyDescent="0.3">
      <c r="A196" s="1" t="s">
        <v>419</v>
      </c>
      <c r="B196" s="1" t="s">
        <v>2831</v>
      </c>
      <c r="C196" s="1" t="s">
        <v>2832</v>
      </c>
      <c r="D196" s="1" t="s">
        <v>2833</v>
      </c>
      <c r="E196" s="1" t="s">
        <v>2834</v>
      </c>
      <c r="F196" s="1" t="s">
        <v>2835</v>
      </c>
      <c r="G196" s="1" t="s">
        <v>1936</v>
      </c>
      <c r="H196" s="1">
        <v>44485</v>
      </c>
      <c r="I196" t="s">
        <v>1946</v>
      </c>
    </row>
    <row r="197" spans="1:9" x14ac:dyDescent="0.3">
      <c r="A197" s="1" t="s">
        <v>421</v>
      </c>
      <c r="B197" s="1" t="s">
        <v>2836</v>
      </c>
      <c r="C197" s="1" t="s">
        <v>2837</v>
      </c>
      <c r="D197" s="1" t="s">
        <v>2838</v>
      </c>
      <c r="E197" s="1" t="s">
        <v>2839</v>
      </c>
      <c r="F197" s="1" t="s">
        <v>2840</v>
      </c>
      <c r="G197" s="1" t="s">
        <v>1936</v>
      </c>
      <c r="H197" s="1">
        <v>38150</v>
      </c>
      <c r="I197" t="s">
        <v>1946</v>
      </c>
    </row>
    <row r="198" spans="1:9" x14ac:dyDescent="0.3">
      <c r="A198" s="1" t="s">
        <v>423</v>
      </c>
      <c r="B198" s="1" t="s">
        <v>2841</v>
      </c>
      <c r="C198" s="1" t="s">
        <v>2842</v>
      </c>
      <c r="D198" s="1"/>
      <c r="E198" s="1" t="s">
        <v>2843</v>
      </c>
      <c r="F198" s="1" t="s">
        <v>2181</v>
      </c>
      <c r="G198" s="1" t="s">
        <v>1936</v>
      </c>
      <c r="H198" s="1">
        <v>20535</v>
      </c>
      <c r="I198" t="s">
        <v>1946</v>
      </c>
    </row>
    <row r="199" spans="1:9" x14ac:dyDescent="0.3">
      <c r="A199" s="1" t="s">
        <v>2844</v>
      </c>
      <c r="B199" s="1" t="s">
        <v>2845</v>
      </c>
      <c r="C199" s="1" t="s">
        <v>2846</v>
      </c>
      <c r="D199" s="1" t="s">
        <v>2847</v>
      </c>
      <c r="E199" s="1" t="s">
        <v>2848</v>
      </c>
      <c r="F199" s="1" t="s">
        <v>2849</v>
      </c>
      <c r="G199" s="1" t="s">
        <v>1944</v>
      </c>
      <c r="H199" s="1" t="s">
        <v>2850</v>
      </c>
      <c r="I199" t="s">
        <v>1937</v>
      </c>
    </row>
    <row r="200" spans="1:9" x14ac:dyDescent="0.3">
      <c r="A200" s="1" t="s">
        <v>2851</v>
      </c>
      <c r="B200" s="1" t="s">
        <v>2852</v>
      </c>
      <c r="C200" s="1" t="s">
        <v>2853</v>
      </c>
      <c r="D200" s="1" t="s">
        <v>2854</v>
      </c>
      <c r="E200" s="1" t="s">
        <v>2855</v>
      </c>
      <c r="F200" s="1" t="s">
        <v>2856</v>
      </c>
      <c r="G200" s="1" t="s">
        <v>1936</v>
      </c>
      <c r="H200" s="1">
        <v>33064</v>
      </c>
      <c r="I200" t="s">
        <v>1946</v>
      </c>
    </row>
    <row r="201" spans="1:9" x14ac:dyDescent="0.3">
      <c r="A201" s="1" t="s">
        <v>2857</v>
      </c>
      <c r="B201" s="1" t="s">
        <v>2858</v>
      </c>
      <c r="C201" s="1" t="s">
        <v>2859</v>
      </c>
      <c r="D201" s="1" t="s">
        <v>2860</v>
      </c>
      <c r="E201" s="1" t="s">
        <v>2861</v>
      </c>
      <c r="F201" s="1" t="s">
        <v>2247</v>
      </c>
      <c r="G201" s="1" t="s">
        <v>1936</v>
      </c>
      <c r="H201" s="1">
        <v>60604</v>
      </c>
      <c r="I201" t="s">
        <v>1946</v>
      </c>
    </row>
    <row r="202" spans="1:9" x14ac:dyDescent="0.3">
      <c r="A202" s="1" t="s">
        <v>2862</v>
      </c>
      <c r="B202" s="1" t="s">
        <v>2863</v>
      </c>
      <c r="C202" s="1" t="s">
        <v>2864</v>
      </c>
      <c r="D202" s="1" t="s">
        <v>2865</v>
      </c>
      <c r="E202" s="1" t="s">
        <v>2866</v>
      </c>
      <c r="F202" s="1" t="s">
        <v>2867</v>
      </c>
      <c r="G202" s="1" t="s">
        <v>2111</v>
      </c>
      <c r="H202" s="1" t="s">
        <v>2868</v>
      </c>
      <c r="I202" t="s">
        <v>1946</v>
      </c>
    </row>
    <row r="203" spans="1:9" x14ac:dyDescent="0.3">
      <c r="A203" s="1" t="s">
        <v>425</v>
      </c>
      <c r="B203" s="1" t="s">
        <v>2869</v>
      </c>
      <c r="C203" s="1"/>
      <c r="D203" s="1" t="s">
        <v>2870</v>
      </c>
      <c r="E203" s="1" t="s">
        <v>2871</v>
      </c>
      <c r="F203" s="1" t="s">
        <v>2149</v>
      </c>
      <c r="G203" s="1" t="s">
        <v>1936</v>
      </c>
      <c r="H203" s="1">
        <v>84409</v>
      </c>
      <c r="I203" t="s">
        <v>1946</v>
      </c>
    </row>
    <row r="204" spans="1:9" x14ac:dyDescent="0.3">
      <c r="A204" s="1" t="s">
        <v>427</v>
      </c>
      <c r="B204" s="1" t="s">
        <v>2872</v>
      </c>
      <c r="C204" s="1" t="s">
        <v>2873</v>
      </c>
      <c r="D204" s="1" t="s">
        <v>2874</v>
      </c>
      <c r="E204" s="1" t="s">
        <v>2875</v>
      </c>
      <c r="F204" s="1" t="s">
        <v>2876</v>
      </c>
      <c r="G204" s="1" t="s">
        <v>1936</v>
      </c>
      <c r="H204" s="1">
        <v>12205</v>
      </c>
      <c r="I204" t="s">
        <v>1937</v>
      </c>
    </row>
    <row r="205" spans="1:9" x14ac:dyDescent="0.3">
      <c r="A205" s="1" t="s">
        <v>429</v>
      </c>
      <c r="B205" s="1" t="s">
        <v>2877</v>
      </c>
      <c r="C205" s="1" t="s">
        <v>2878</v>
      </c>
      <c r="D205" s="1" t="s">
        <v>2879</v>
      </c>
      <c r="E205" s="1" t="s">
        <v>2880</v>
      </c>
      <c r="F205" s="1" t="s">
        <v>2881</v>
      </c>
      <c r="G205" s="1" t="s">
        <v>1936</v>
      </c>
      <c r="H205" s="1">
        <v>29305</v>
      </c>
      <c r="I205" t="s">
        <v>1946</v>
      </c>
    </row>
    <row r="206" spans="1:9" x14ac:dyDescent="0.3">
      <c r="A206" s="1" t="s">
        <v>431</v>
      </c>
      <c r="B206" s="1" t="s">
        <v>2882</v>
      </c>
      <c r="C206" s="1"/>
      <c r="D206" s="1" t="s">
        <v>2883</v>
      </c>
      <c r="E206" s="1" t="s">
        <v>2884</v>
      </c>
      <c r="F206" s="1" t="s">
        <v>2885</v>
      </c>
      <c r="G206" s="1" t="s">
        <v>1936</v>
      </c>
      <c r="H206" s="1">
        <v>10310</v>
      </c>
      <c r="I206" t="s">
        <v>1946</v>
      </c>
    </row>
    <row r="207" spans="1:9" x14ac:dyDescent="0.3">
      <c r="A207" s="1" t="s">
        <v>433</v>
      </c>
      <c r="B207" s="1" t="s">
        <v>2886</v>
      </c>
      <c r="C207" s="1"/>
      <c r="D207" s="1" t="s">
        <v>2887</v>
      </c>
      <c r="E207" s="1" t="s">
        <v>2888</v>
      </c>
      <c r="F207" s="1" t="s">
        <v>2181</v>
      </c>
      <c r="G207" s="1" t="s">
        <v>1936</v>
      </c>
      <c r="H207" s="1">
        <v>20337</v>
      </c>
      <c r="I207" t="s">
        <v>1937</v>
      </c>
    </row>
    <row r="208" spans="1:9" x14ac:dyDescent="0.3">
      <c r="A208" s="1" t="s">
        <v>435</v>
      </c>
      <c r="B208" s="1" t="s">
        <v>2889</v>
      </c>
      <c r="C208" s="1" t="s">
        <v>2890</v>
      </c>
      <c r="D208" s="1"/>
      <c r="E208" s="1" t="s">
        <v>2891</v>
      </c>
      <c r="F208" s="1" t="s">
        <v>2295</v>
      </c>
      <c r="G208" s="1" t="s">
        <v>1936</v>
      </c>
      <c r="H208" s="1">
        <v>28225</v>
      </c>
      <c r="I208" t="s">
        <v>1946</v>
      </c>
    </row>
    <row r="209" spans="1:9" x14ac:dyDescent="0.3">
      <c r="A209" s="1" t="s">
        <v>437</v>
      </c>
      <c r="B209" s="1" t="s">
        <v>2892</v>
      </c>
      <c r="C209" s="1" t="s">
        <v>2893</v>
      </c>
      <c r="D209" s="1" t="s">
        <v>2894</v>
      </c>
      <c r="E209" s="1" t="s">
        <v>2895</v>
      </c>
      <c r="F209" s="1" t="s">
        <v>2896</v>
      </c>
      <c r="G209" s="1" t="s">
        <v>1936</v>
      </c>
      <c r="H209" s="1">
        <v>79491</v>
      </c>
      <c r="I209" t="s">
        <v>1937</v>
      </c>
    </row>
    <row r="210" spans="1:9" x14ac:dyDescent="0.3">
      <c r="A210" s="1" t="s">
        <v>439</v>
      </c>
      <c r="B210" s="1" t="s">
        <v>2897</v>
      </c>
      <c r="C210" s="1" t="s">
        <v>2898</v>
      </c>
      <c r="D210" s="1" t="s">
        <v>2899</v>
      </c>
      <c r="E210" s="1" t="s">
        <v>2900</v>
      </c>
      <c r="F210" s="1" t="s">
        <v>2901</v>
      </c>
      <c r="G210" s="1" t="s">
        <v>1944</v>
      </c>
      <c r="H210" s="1" t="s">
        <v>2902</v>
      </c>
      <c r="I210" t="s">
        <v>1937</v>
      </c>
    </row>
    <row r="211" spans="1:9" x14ac:dyDescent="0.3">
      <c r="A211" s="1" t="s">
        <v>441</v>
      </c>
      <c r="B211" s="1" t="s">
        <v>2903</v>
      </c>
      <c r="C211" s="1" t="s">
        <v>2904</v>
      </c>
      <c r="D211" s="1" t="s">
        <v>2905</v>
      </c>
      <c r="E211" s="1" t="s">
        <v>2906</v>
      </c>
      <c r="F211" s="1" t="s">
        <v>2907</v>
      </c>
      <c r="G211" s="1" t="s">
        <v>2111</v>
      </c>
      <c r="H211" s="1" t="s">
        <v>2908</v>
      </c>
      <c r="I211" t="s">
        <v>1946</v>
      </c>
    </row>
    <row r="212" spans="1:9" x14ac:dyDescent="0.3">
      <c r="A212" s="1" t="s">
        <v>443</v>
      </c>
      <c r="B212" s="1" t="s">
        <v>2909</v>
      </c>
      <c r="C212" s="1" t="s">
        <v>2910</v>
      </c>
      <c r="D212" s="1" t="s">
        <v>2911</v>
      </c>
      <c r="E212" s="1" t="s">
        <v>2912</v>
      </c>
      <c r="F212" s="1" t="s">
        <v>2781</v>
      </c>
      <c r="G212" s="1" t="s">
        <v>1936</v>
      </c>
      <c r="H212" s="1">
        <v>22908</v>
      </c>
      <c r="I212" t="s">
        <v>1937</v>
      </c>
    </row>
    <row r="213" spans="1:9" x14ac:dyDescent="0.3">
      <c r="A213" s="1" t="s">
        <v>445</v>
      </c>
      <c r="B213" s="1" t="s">
        <v>2913</v>
      </c>
      <c r="C213" s="1" t="s">
        <v>2914</v>
      </c>
      <c r="D213" s="1"/>
      <c r="E213" s="1" t="s">
        <v>2915</v>
      </c>
      <c r="F213" s="1" t="s">
        <v>2032</v>
      </c>
      <c r="G213" s="1" t="s">
        <v>1936</v>
      </c>
      <c r="H213" s="1">
        <v>10105</v>
      </c>
      <c r="I213" t="s">
        <v>1946</v>
      </c>
    </row>
    <row r="214" spans="1:9" x14ac:dyDescent="0.3">
      <c r="A214" s="1" t="s">
        <v>447</v>
      </c>
      <c r="B214" s="1" t="s">
        <v>2916</v>
      </c>
      <c r="C214" s="1" t="s">
        <v>2917</v>
      </c>
      <c r="D214" s="1" t="s">
        <v>2918</v>
      </c>
      <c r="E214" s="1" t="s">
        <v>2919</v>
      </c>
      <c r="F214" s="1" t="s">
        <v>2638</v>
      </c>
      <c r="G214" s="1" t="s">
        <v>1936</v>
      </c>
      <c r="H214" s="1">
        <v>24009</v>
      </c>
      <c r="I214" t="s">
        <v>1937</v>
      </c>
    </row>
    <row r="215" spans="1:9" x14ac:dyDescent="0.3">
      <c r="A215" s="1" t="s">
        <v>449</v>
      </c>
      <c r="B215" s="1" t="s">
        <v>2920</v>
      </c>
      <c r="C215" s="1" t="s">
        <v>2921</v>
      </c>
      <c r="D215" s="1" t="s">
        <v>2922</v>
      </c>
      <c r="E215" s="1" t="s">
        <v>2923</v>
      </c>
      <c r="F215" s="1" t="s">
        <v>2032</v>
      </c>
      <c r="G215" s="1" t="s">
        <v>1936</v>
      </c>
      <c r="H215" s="1">
        <v>10009</v>
      </c>
      <c r="I215" t="s">
        <v>1946</v>
      </c>
    </row>
    <row r="216" spans="1:9" x14ac:dyDescent="0.3">
      <c r="A216" s="1" t="s">
        <v>451</v>
      </c>
      <c r="B216" s="1" t="s">
        <v>2924</v>
      </c>
      <c r="C216" s="1" t="s">
        <v>2925</v>
      </c>
      <c r="D216" s="1" t="s">
        <v>2926</v>
      </c>
      <c r="E216" s="1" t="s">
        <v>2927</v>
      </c>
      <c r="F216" s="1" t="s">
        <v>2928</v>
      </c>
      <c r="G216" s="1" t="s">
        <v>1944</v>
      </c>
      <c r="H216" s="1" t="s">
        <v>2078</v>
      </c>
      <c r="I216" t="s">
        <v>1946</v>
      </c>
    </row>
    <row r="217" spans="1:9" x14ac:dyDescent="0.3">
      <c r="A217" s="1" t="s">
        <v>453</v>
      </c>
      <c r="B217" s="1" t="s">
        <v>2929</v>
      </c>
      <c r="C217" s="1" t="s">
        <v>2930</v>
      </c>
      <c r="D217" s="1" t="s">
        <v>2931</v>
      </c>
      <c r="E217" s="1" t="s">
        <v>2932</v>
      </c>
      <c r="F217" s="1" t="s">
        <v>2933</v>
      </c>
      <c r="G217" s="1" t="s">
        <v>1936</v>
      </c>
      <c r="H217" s="1">
        <v>84120</v>
      </c>
      <c r="I217" t="s">
        <v>1946</v>
      </c>
    </row>
    <row r="218" spans="1:9" x14ac:dyDescent="0.3">
      <c r="A218" s="1" t="s">
        <v>455</v>
      </c>
      <c r="B218" s="1" t="s">
        <v>2934</v>
      </c>
      <c r="C218" s="1" t="s">
        <v>2935</v>
      </c>
      <c r="D218" s="1" t="s">
        <v>2936</v>
      </c>
      <c r="E218" s="1" t="s">
        <v>2937</v>
      </c>
      <c r="F218" s="1" t="s">
        <v>2206</v>
      </c>
      <c r="G218" s="1" t="s">
        <v>1936</v>
      </c>
      <c r="H218" s="1">
        <v>43635</v>
      </c>
      <c r="I218" t="s">
        <v>1937</v>
      </c>
    </row>
    <row r="219" spans="1:9" x14ac:dyDescent="0.3">
      <c r="A219" s="1" t="s">
        <v>457</v>
      </c>
      <c r="B219" s="1" t="s">
        <v>2938</v>
      </c>
      <c r="C219" s="1" t="s">
        <v>2939</v>
      </c>
      <c r="D219" s="1" t="s">
        <v>2940</v>
      </c>
      <c r="E219" s="1" t="s">
        <v>2941</v>
      </c>
      <c r="F219" s="1" t="s">
        <v>2942</v>
      </c>
      <c r="G219" s="1" t="s">
        <v>1936</v>
      </c>
      <c r="H219" s="1">
        <v>91131</v>
      </c>
      <c r="I219" t="s">
        <v>1946</v>
      </c>
    </row>
    <row r="220" spans="1:9" x14ac:dyDescent="0.3">
      <c r="A220" s="1" t="s">
        <v>459</v>
      </c>
      <c r="B220" s="1" t="s">
        <v>2943</v>
      </c>
      <c r="C220" s="1" t="s">
        <v>2944</v>
      </c>
      <c r="D220" s="1" t="s">
        <v>2945</v>
      </c>
      <c r="E220" s="1" t="s">
        <v>2946</v>
      </c>
      <c r="F220" s="1" t="s">
        <v>2947</v>
      </c>
      <c r="G220" s="1" t="s">
        <v>1944</v>
      </c>
      <c r="H220" s="1" t="s">
        <v>2288</v>
      </c>
      <c r="I220" t="s">
        <v>1937</v>
      </c>
    </row>
    <row r="221" spans="1:9" x14ac:dyDescent="0.3">
      <c r="A221" s="1" t="s">
        <v>461</v>
      </c>
      <c r="B221" s="1" t="s">
        <v>2948</v>
      </c>
      <c r="C221" s="1" t="s">
        <v>2949</v>
      </c>
      <c r="D221" s="1" t="s">
        <v>2950</v>
      </c>
      <c r="E221" s="1" t="s">
        <v>2951</v>
      </c>
      <c r="F221" s="1" t="s">
        <v>2952</v>
      </c>
      <c r="G221" s="1" t="s">
        <v>1936</v>
      </c>
      <c r="H221" s="1">
        <v>64082</v>
      </c>
      <c r="I221" t="s">
        <v>1946</v>
      </c>
    </row>
    <row r="222" spans="1:9" x14ac:dyDescent="0.3">
      <c r="A222" s="1" t="s">
        <v>2953</v>
      </c>
      <c r="B222" s="1" t="s">
        <v>2954</v>
      </c>
      <c r="C222" s="1" t="s">
        <v>2955</v>
      </c>
      <c r="D222" s="1" t="s">
        <v>2956</v>
      </c>
      <c r="E222" s="1" t="s">
        <v>2957</v>
      </c>
      <c r="F222" s="1" t="s">
        <v>2261</v>
      </c>
      <c r="G222" s="1" t="s">
        <v>1936</v>
      </c>
      <c r="H222" s="1">
        <v>76121</v>
      </c>
      <c r="I222" t="s">
        <v>1946</v>
      </c>
    </row>
    <row r="223" spans="1:9" x14ac:dyDescent="0.3">
      <c r="A223" s="1" t="s">
        <v>463</v>
      </c>
      <c r="B223" s="1" t="s">
        <v>2958</v>
      </c>
      <c r="C223" s="1" t="s">
        <v>2959</v>
      </c>
      <c r="D223" s="1" t="s">
        <v>2960</v>
      </c>
      <c r="E223" s="1" t="s">
        <v>2961</v>
      </c>
      <c r="F223" s="1" t="s">
        <v>2962</v>
      </c>
      <c r="G223" s="1" t="s">
        <v>1936</v>
      </c>
      <c r="H223" s="1">
        <v>92619</v>
      </c>
      <c r="I223" t="s">
        <v>1937</v>
      </c>
    </row>
    <row r="224" spans="1:9" x14ac:dyDescent="0.3">
      <c r="A224" s="1" t="s">
        <v>465</v>
      </c>
      <c r="B224" s="1" t="s">
        <v>2963</v>
      </c>
      <c r="C224" s="1" t="s">
        <v>2964</v>
      </c>
      <c r="D224" s="1" t="s">
        <v>2965</v>
      </c>
      <c r="E224" s="1" t="s">
        <v>2966</v>
      </c>
      <c r="F224" s="1" t="s">
        <v>2967</v>
      </c>
      <c r="G224" s="1" t="s">
        <v>1936</v>
      </c>
      <c r="H224" s="1">
        <v>11854</v>
      </c>
      <c r="I224" t="s">
        <v>1946</v>
      </c>
    </row>
    <row r="225" spans="1:9" x14ac:dyDescent="0.3">
      <c r="A225" s="1" t="s">
        <v>467</v>
      </c>
      <c r="B225" s="1" t="s">
        <v>2968</v>
      </c>
      <c r="C225" s="1"/>
      <c r="D225" s="1" t="s">
        <v>2969</v>
      </c>
      <c r="E225" s="1" t="s">
        <v>2970</v>
      </c>
      <c r="F225" s="1" t="s">
        <v>2181</v>
      </c>
      <c r="G225" s="1" t="s">
        <v>1936</v>
      </c>
      <c r="H225" s="1">
        <v>20546</v>
      </c>
      <c r="I225" t="s">
        <v>1937</v>
      </c>
    </row>
    <row r="226" spans="1:9" x14ac:dyDescent="0.3">
      <c r="A226" s="1" t="s">
        <v>469</v>
      </c>
      <c r="B226" s="1" t="s">
        <v>2971</v>
      </c>
      <c r="C226" s="1" t="s">
        <v>2972</v>
      </c>
      <c r="D226" s="1" t="s">
        <v>2973</v>
      </c>
      <c r="E226" s="1" t="s">
        <v>2974</v>
      </c>
      <c r="F226" s="1" t="s">
        <v>2032</v>
      </c>
      <c r="G226" s="1" t="s">
        <v>1936</v>
      </c>
      <c r="H226" s="1">
        <v>10060</v>
      </c>
      <c r="I226" t="s">
        <v>1937</v>
      </c>
    </row>
    <row r="227" spans="1:9" x14ac:dyDescent="0.3">
      <c r="A227" s="1" t="s">
        <v>471</v>
      </c>
      <c r="B227" s="1" t="s">
        <v>2975</v>
      </c>
      <c r="C227" s="1" t="s">
        <v>2976</v>
      </c>
      <c r="D227" s="1" t="s">
        <v>2977</v>
      </c>
      <c r="E227" s="1" t="s">
        <v>2978</v>
      </c>
      <c r="F227" s="1" t="s">
        <v>2287</v>
      </c>
      <c r="G227" s="1" t="s">
        <v>1944</v>
      </c>
      <c r="H227" s="1" t="s">
        <v>2288</v>
      </c>
      <c r="I227" t="s">
        <v>1946</v>
      </c>
    </row>
    <row r="228" spans="1:9" x14ac:dyDescent="0.3">
      <c r="A228" s="1" t="s">
        <v>473</v>
      </c>
      <c r="B228" s="1" t="s">
        <v>2979</v>
      </c>
      <c r="C228" s="1" t="s">
        <v>2980</v>
      </c>
      <c r="D228" s="1" t="s">
        <v>2981</v>
      </c>
      <c r="E228" s="1" t="s">
        <v>2982</v>
      </c>
      <c r="F228" s="1" t="s">
        <v>2983</v>
      </c>
      <c r="G228" s="1" t="s">
        <v>1936</v>
      </c>
      <c r="H228" s="1">
        <v>66276</v>
      </c>
      <c r="I228" t="s">
        <v>1946</v>
      </c>
    </row>
    <row r="229" spans="1:9" x14ac:dyDescent="0.3">
      <c r="A229" s="1" t="s">
        <v>475</v>
      </c>
      <c r="B229" s="1" t="s">
        <v>2984</v>
      </c>
      <c r="C229" s="1" t="s">
        <v>2985</v>
      </c>
      <c r="D229" s="1" t="s">
        <v>2986</v>
      </c>
      <c r="E229" s="1" t="s">
        <v>2987</v>
      </c>
      <c r="F229" s="1" t="s">
        <v>2988</v>
      </c>
      <c r="G229" s="1" t="s">
        <v>2111</v>
      </c>
      <c r="H229" s="1" t="s">
        <v>2989</v>
      </c>
      <c r="I229" t="s">
        <v>1937</v>
      </c>
    </row>
    <row r="230" spans="1:9" x14ac:dyDescent="0.3">
      <c r="A230" s="1" t="s">
        <v>477</v>
      </c>
      <c r="B230" s="1" t="s">
        <v>2990</v>
      </c>
      <c r="C230" s="1" t="s">
        <v>2991</v>
      </c>
      <c r="D230" s="1" t="s">
        <v>2992</v>
      </c>
      <c r="E230" s="1" t="s">
        <v>2993</v>
      </c>
      <c r="F230" s="1" t="s">
        <v>2994</v>
      </c>
      <c r="G230" s="1" t="s">
        <v>1936</v>
      </c>
      <c r="H230" s="1">
        <v>94291</v>
      </c>
      <c r="I230" t="s">
        <v>1946</v>
      </c>
    </row>
    <row r="231" spans="1:9" x14ac:dyDescent="0.3">
      <c r="A231" s="1" t="s">
        <v>479</v>
      </c>
      <c r="B231" s="1" t="s">
        <v>2995</v>
      </c>
      <c r="C231" s="1" t="s">
        <v>2996</v>
      </c>
      <c r="D231" s="1" t="s">
        <v>2997</v>
      </c>
      <c r="E231" s="1" t="s">
        <v>2998</v>
      </c>
      <c r="F231" s="1" t="s">
        <v>2999</v>
      </c>
      <c r="G231" s="1" t="s">
        <v>1936</v>
      </c>
      <c r="H231" s="1">
        <v>18706</v>
      </c>
      <c r="I231" t="s">
        <v>1946</v>
      </c>
    </row>
    <row r="232" spans="1:9" x14ac:dyDescent="0.3">
      <c r="A232" s="1" t="s">
        <v>481</v>
      </c>
      <c r="B232" s="1" t="s">
        <v>3000</v>
      </c>
      <c r="C232" s="1" t="s">
        <v>3001</v>
      </c>
      <c r="D232" s="1" t="s">
        <v>3002</v>
      </c>
      <c r="E232" s="1" t="s">
        <v>3003</v>
      </c>
      <c r="F232" s="1" t="s">
        <v>2689</v>
      </c>
      <c r="G232" s="1" t="s">
        <v>1936</v>
      </c>
      <c r="H232" s="1">
        <v>27499</v>
      </c>
      <c r="I232" t="s">
        <v>1946</v>
      </c>
    </row>
    <row r="233" spans="1:9" x14ac:dyDescent="0.3">
      <c r="A233" s="1" t="s">
        <v>483</v>
      </c>
      <c r="B233" s="1" t="s">
        <v>3004</v>
      </c>
      <c r="C233" s="1"/>
      <c r="D233" s="1" t="s">
        <v>3005</v>
      </c>
      <c r="E233" s="1" t="s">
        <v>3006</v>
      </c>
      <c r="F233" s="1" t="s">
        <v>2251</v>
      </c>
      <c r="G233" s="1" t="s">
        <v>1936</v>
      </c>
      <c r="H233" s="1">
        <v>19725</v>
      </c>
      <c r="I233" t="s">
        <v>1937</v>
      </c>
    </row>
    <row r="234" spans="1:9" x14ac:dyDescent="0.3">
      <c r="A234" s="1" t="s">
        <v>485</v>
      </c>
      <c r="B234" s="1" t="s">
        <v>3007</v>
      </c>
      <c r="C234" s="1" t="s">
        <v>3008</v>
      </c>
      <c r="D234" s="1" t="s">
        <v>3009</v>
      </c>
      <c r="E234" s="1" t="s">
        <v>3010</v>
      </c>
      <c r="F234" s="1" t="s">
        <v>2194</v>
      </c>
      <c r="G234" s="1" t="s">
        <v>2111</v>
      </c>
      <c r="H234" s="1" t="s">
        <v>2195</v>
      </c>
      <c r="I234" t="s">
        <v>1946</v>
      </c>
    </row>
    <row r="235" spans="1:9" x14ac:dyDescent="0.3">
      <c r="A235" s="1" t="s">
        <v>487</v>
      </c>
      <c r="B235" s="1" t="s">
        <v>3011</v>
      </c>
      <c r="C235" s="1" t="s">
        <v>3012</v>
      </c>
      <c r="D235" s="1" t="s">
        <v>3013</v>
      </c>
      <c r="E235" s="1" t="s">
        <v>3014</v>
      </c>
      <c r="F235" s="1" t="s">
        <v>2587</v>
      </c>
      <c r="G235" s="1" t="s">
        <v>1936</v>
      </c>
      <c r="H235" s="1">
        <v>96825</v>
      </c>
      <c r="I235" t="s">
        <v>1946</v>
      </c>
    </row>
    <row r="236" spans="1:9" x14ac:dyDescent="0.3">
      <c r="A236" s="1" t="s">
        <v>489</v>
      </c>
      <c r="B236" s="1" t="s">
        <v>3015</v>
      </c>
      <c r="C236" s="1" t="s">
        <v>3016</v>
      </c>
      <c r="D236" s="1" t="s">
        <v>3017</v>
      </c>
      <c r="E236" s="1" t="s">
        <v>3018</v>
      </c>
      <c r="F236" s="1" t="s">
        <v>2032</v>
      </c>
      <c r="G236" s="1" t="s">
        <v>1936</v>
      </c>
      <c r="H236" s="1">
        <v>10150</v>
      </c>
      <c r="I236" t="s">
        <v>1946</v>
      </c>
    </row>
    <row r="237" spans="1:9" x14ac:dyDescent="0.3">
      <c r="A237" s="1" t="s">
        <v>491</v>
      </c>
      <c r="B237" s="1" t="s">
        <v>3019</v>
      </c>
      <c r="C237" s="1"/>
      <c r="D237" s="1"/>
      <c r="E237" s="1" t="s">
        <v>3020</v>
      </c>
      <c r="F237" s="1" t="s">
        <v>3021</v>
      </c>
      <c r="G237" s="1" t="s">
        <v>1944</v>
      </c>
      <c r="H237" s="1" t="s">
        <v>3022</v>
      </c>
      <c r="I237" t="s">
        <v>1946</v>
      </c>
    </row>
    <row r="238" spans="1:9" x14ac:dyDescent="0.3">
      <c r="A238" s="1" t="s">
        <v>493</v>
      </c>
      <c r="B238" s="1" t="s">
        <v>3023</v>
      </c>
      <c r="C238" s="1" t="s">
        <v>3024</v>
      </c>
      <c r="D238" s="1" t="s">
        <v>3025</v>
      </c>
      <c r="E238" s="1" t="s">
        <v>3026</v>
      </c>
      <c r="F238" s="1" t="s">
        <v>3027</v>
      </c>
      <c r="G238" s="1" t="s">
        <v>1944</v>
      </c>
      <c r="H238" s="1" t="s">
        <v>3028</v>
      </c>
      <c r="I238" t="s">
        <v>1946</v>
      </c>
    </row>
    <row r="239" spans="1:9" x14ac:dyDescent="0.3">
      <c r="A239" s="1" t="s">
        <v>495</v>
      </c>
      <c r="B239" s="1" t="s">
        <v>3029</v>
      </c>
      <c r="C239" s="1"/>
      <c r="D239" s="1" t="s">
        <v>3030</v>
      </c>
      <c r="E239" s="1" t="s">
        <v>3031</v>
      </c>
      <c r="F239" s="1" t="s">
        <v>3032</v>
      </c>
      <c r="G239" s="1" t="s">
        <v>1936</v>
      </c>
      <c r="H239" s="1">
        <v>45218</v>
      </c>
      <c r="I239" t="s">
        <v>1937</v>
      </c>
    </row>
    <row r="240" spans="1:9" x14ac:dyDescent="0.3">
      <c r="A240" s="1" t="s">
        <v>497</v>
      </c>
      <c r="B240" s="1" t="s">
        <v>3033</v>
      </c>
      <c r="C240" s="1" t="s">
        <v>3034</v>
      </c>
      <c r="D240" s="1" t="s">
        <v>3035</v>
      </c>
      <c r="E240" s="1" t="s">
        <v>3036</v>
      </c>
      <c r="F240" s="1" t="s">
        <v>2315</v>
      </c>
      <c r="G240" s="1" t="s">
        <v>1936</v>
      </c>
      <c r="H240" s="1">
        <v>48670</v>
      </c>
      <c r="I240" t="s">
        <v>1937</v>
      </c>
    </row>
    <row r="241" spans="1:9" x14ac:dyDescent="0.3">
      <c r="A241" s="1" t="s">
        <v>499</v>
      </c>
      <c r="B241" s="1" t="s">
        <v>3037</v>
      </c>
      <c r="C241" s="1" t="s">
        <v>3038</v>
      </c>
      <c r="D241" s="1" t="s">
        <v>3039</v>
      </c>
      <c r="E241" s="1" t="s">
        <v>3040</v>
      </c>
      <c r="F241" s="1" t="s">
        <v>3041</v>
      </c>
      <c r="G241" s="1" t="s">
        <v>1936</v>
      </c>
      <c r="H241" s="1">
        <v>82007</v>
      </c>
      <c r="I241" t="s">
        <v>1946</v>
      </c>
    </row>
    <row r="242" spans="1:9" x14ac:dyDescent="0.3">
      <c r="A242" s="1" t="s">
        <v>501</v>
      </c>
      <c r="B242" s="1" t="s">
        <v>3042</v>
      </c>
      <c r="C242" s="1"/>
      <c r="D242" s="1"/>
      <c r="E242" s="1" t="s">
        <v>3043</v>
      </c>
      <c r="F242" s="1" t="s">
        <v>3044</v>
      </c>
      <c r="G242" s="1" t="s">
        <v>1936</v>
      </c>
      <c r="H242" s="1">
        <v>31119</v>
      </c>
      <c r="I242" t="s">
        <v>1937</v>
      </c>
    </row>
    <row r="243" spans="1:9" x14ac:dyDescent="0.3">
      <c r="A243" s="1" t="s">
        <v>503</v>
      </c>
      <c r="B243" s="1" t="s">
        <v>3045</v>
      </c>
      <c r="C243" s="1"/>
      <c r="D243" s="1" t="s">
        <v>3046</v>
      </c>
      <c r="E243" s="1" t="s">
        <v>3047</v>
      </c>
      <c r="F243" s="1" t="s">
        <v>3048</v>
      </c>
      <c r="G243" s="1" t="s">
        <v>1936</v>
      </c>
      <c r="H243" s="1">
        <v>30096</v>
      </c>
      <c r="I243" t="s">
        <v>1946</v>
      </c>
    </row>
    <row r="244" spans="1:9" x14ac:dyDescent="0.3">
      <c r="A244" s="1" t="s">
        <v>505</v>
      </c>
      <c r="B244" s="1" t="s">
        <v>3049</v>
      </c>
      <c r="C244" s="1" t="s">
        <v>3050</v>
      </c>
      <c r="D244" s="1" t="s">
        <v>3051</v>
      </c>
      <c r="E244" s="1" t="s">
        <v>3052</v>
      </c>
      <c r="F244" s="1" t="s">
        <v>2994</v>
      </c>
      <c r="G244" s="1" t="s">
        <v>1936</v>
      </c>
      <c r="H244" s="1">
        <v>94250</v>
      </c>
      <c r="I244" t="s">
        <v>1937</v>
      </c>
    </row>
    <row r="245" spans="1:9" x14ac:dyDescent="0.3">
      <c r="A245" s="1" t="s">
        <v>507</v>
      </c>
      <c r="B245" s="1" t="s">
        <v>3053</v>
      </c>
      <c r="C245" s="1" t="s">
        <v>3054</v>
      </c>
      <c r="D245" s="1" t="s">
        <v>3055</v>
      </c>
      <c r="E245" s="1" t="s">
        <v>3056</v>
      </c>
      <c r="F245" s="1" t="s">
        <v>2215</v>
      </c>
      <c r="G245" s="1" t="s">
        <v>1936</v>
      </c>
      <c r="H245" s="1">
        <v>33661</v>
      </c>
      <c r="I245" t="s">
        <v>1937</v>
      </c>
    </row>
    <row r="246" spans="1:9" x14ac:dyDescent="0.3">
      <c r="A246" s="1" t="s">
        <v>509</v>
      </c>
      <c r="B246" s="1" t="s">
        <v>3057</v>
      </c>
      <c r="C246" s="1" t="s">
        <v>3058</v>
      </c>
      <c r="D246" s="1" t="s">
        <v>3059</v>
      </c>
      <c r="E246" s="1" t="s">
        <v>3060</v>
      </c>
      <c r="F246" s="1" t="s">
        <v>2587</v>
      </c>
      <c r="G246" s="1" t="s">
        <v>1936</v>
      </c>
      <c r="H246" s="1">
        <v>96805</v>
      </c>
      <c r="I246" t="s">
        <v>1946</v>
      </c>
    </row>
    <row r="247" spans="1:9" x14ac:dyDescent="0.3">
      <c r="A247" s="1" t="s">
        <v>511</v>
      </c>
      <c r="B247" s="1" t="s">
        <v>3061</v>
      </c>
      <c r="C247" s="1" t="s">
        <v>3062</v>
      </c>
      <c r="D247" s="1" t="s">
        <v>3063</v>
      </c>
      <c r="E247" s="1" t="s">
        <v>3064</v>
      </c>
      <c r="F247" s="1" t="s">
        <v>3065</v>
      </c>
      <c r="G247" s="1" t="s">
        <v>1936</v>
      </c>
      <c r="H247" s="1">
        <v>70820</v>
      </c>
      <c r="I247" t="s">
        <v>1937</v>
      </c>
    </row>
    <row r="248" spans="1:9" x14ac:dyDescent="0.3">
      <c r="A248" s="1" t="s">
        <v>513</v>
      </c>
      <c r="B248" s="1" t="s">
        <v>3066</v>
      </c>
      <c r="C248" s="1" t="s">
        <v>3067</v>
      </c>
      <c r="D248" s="1" t="s">
        <v>3068</v>
      </c>
      <c r="E248" s="1" t="s">
        <v>3069</v>
      </c>
      <c r="F248" s="1" t="s">
        <v>3070</v>
      </c>
      <c r="G248" s="1" t="s">
        <v>2111</v>
      </c>
      <c r="H248" s="1" t="s">
        <v>3071</v>
      </c>
      <c r="I248" t="s">
        <v>1946</v>
      </c>
    </row>
    <row r="249" spans="1:9" x14ac:dyDescent="0.3">
      <c r="A249" s="1" t="s">
        <v>515</v>
      </c>
      <c r="B249" s="1" t="s">
        <v>3072</v>
      </c>
      <c r="C249" s="1"/>
      <c r="D249" s="1" t="s">
        <v>3073</v>
      </c>
      <c r="E249" s="1" t="s">
        <v>3074</v>
      </c>
      <c r="F249" s="1" t="s">
        <v>3075</v>
      </c>
      <c r="G249" s="1" t="s">
        <v>1944</v>
      </c>
      <c r="H249" s="1" t="s">
        <v>3076</v>
      </c>
      <c r="I249" t="s">
        <v>1937</v>
      </c>
    </row>
    <row r="250" spans="1:9" x14ac:dyDescent="0.3">
      <c r="A250" s="1" t="s">
        <v>517</v>
      </c>
      <c r="B250" s="1" t="s">
        <v>3077</v>
      </c>
      <c r="C250" s="1" t="s">
        <v>3078</v>
      </c>
      <c r="D250" s="1" t="s">
        <v>3079</v>
      </c>
      <c r="E250" s="1" t="s">
        <v>3080</v>
      </c>
      <c r="F250" s="1" t="s">
        <v>2132</v>
      </c>
      <c r="G250" s="1" t="s">
        <v>1936</v>
      </c>
      <c r="H250" s="1">
        <v>55458</v>
      </c>
      <c r="I250" t="s">
        <v>1937</v>
      </c>
    </row>
    <row r="251" spans="1:9" x14ac:dyDescent="0.3">
      <c r="A251" s="1" t="s">
        <v>3081</v>
      </c>
      <c r="B251" s="1" t="s">
        <v>3082</v>
      </c>
      <c r="C251" s="1"/>
      <c r="D251" s="1" t="s">
        <v>3083</v>
      </c>
      <c r="E251" s="1" t="s">
        <v>3084</v>
      </c>
      <c r="F251" s="1" t="s">
        <v>3085</v>
      </c>
      <c r="G251" s="1" t="s">
        <v>1936</v>
      </c>
      <c r="H251" s="1">
        <v>94159</v>
      </c>
      <c r="I251" t="s">
        <v>1946</v>
      </c>
    </row>
    <row r="252" spans="1:9" x14ac:dyDescent="0.3">
      <c r="A252" s="1" t="s">
        <v>521</v>
      </c>
      <c r="B252" s="1" t="s">
        <v>3086</v>
      </c>
      <c r="C252" s="1" t="s">
        <v>3087</v>
      </c>
      <c r="D252" s="1" t="s">
        <v>3088</v>
      </c>
      <c r="E252" s="1" t="s">
        <v>3089</v>
      </c>
      <c r="F252" s="1" t="s">
        <v>2295</v>
      </c>
      <c r="G252" s="1" t="s">
        <v>1936</v>
      </c>
      <c r="H252" s="1">
        <v>28225</v>
      </c>
      <c r="I252" t="s">
        <v>1937</v>
      </c>
    </row>
    <row r="253" spans="1:9" x14ac:dyDescent="0.3">
      <c r="A253" s="1" t="s">
        <v>523</v>
      </c>
      <c r="B253" s="1" t="s">
        <v>3090</v>
      </c>
      <c r="C253" s="1" t="s">
        <v>3091</v>
      </c>
      <c r="D253" s="1" t="s">
        <v>3092</v>
      </c>
      <c r="E253" s="1" t="s">
        <v>3093</v>
      </c>
      <c r="F253" s="1" t="s">
        <v>3094</v>
      </c>
      <c r="G253" s="1" t="s">
        <v>1936</v>
      </c>
      <c r="H253" s="1">
        <v>85099</v>
      </c>
      <c r="I253" t="s">
        <v>1937</v>
      </c>
    </row>
    <row r="254" spans="1:9" x14ac:dyDescent="0.3">
      <c r="A254" s="1" t="s">
        <v>525</v>
      </c>
      <c r="B254" s="1" t="s">
        <v>3095</v>
      </c>
      <c r="C254" s="1"/>
      <c r="D254" s="1" t="s">
        <v>3096</v>
      </c>
      <c r="E254" s="1" t="s">
        <v>3097</v>
      </c>
      <c r="F254" s="1" t="s">
        <v>2094</v>
      </c>
      <c r="G254" s="1" t="s">
        <v>1936</v>
      </c>
      <c r="H254" s="1">
        <v>11407</v>
      </c>
      <c r="I254" t="s">
        <v>1946</v>
      </c>
    </row>
    <row r="255" spans="1:9" x14ac:dyDescent="0.3">
      <c r="A255" s="1" t="s">
        <v>527</v>
      </c>
      <c r="B255" s="1" t="s">
        <v>3098</v>
      </c>
      <c r="C255" s="1" t="s">
        <v>3099</v>
      </c>
      <c r="D255" s="1" t="s">
        <v>3100</v>
      </c>
      <c r="E255" s="1" t="s">
        <v>3101</v>
      </c>
      <c r="F255" s="1" t="s">
        <v>3102</v>
      </c>
      <c r="G255" s="1" t="s">
        <v>1936</v>
      </c>
      <c r="H255" s="1">
        <v>61825</v>
      </c>
      <c r="I255" t="s">
        <v>1946</v>
      </c>
    </row>
    <row r="256" spans="1:9" x14ac:dyDescent="0.3">
      <c r="A256" s="1" t="s">
        <v>529</v>
      </c>
      <c r="B256" s="1" t="s">
        <v>3103</v>
      </c>
      <c r="C256" s="1" t="s">
        <v>3104</v>
      </c>
      <c r="D256" s="1"/>
      <c r="E256" s="1" t="s">
        <v>3105</v>
      </c>
      <c r="F256" s="1" t="s">
        <v>3106</v>
      </c>
      <c r="G256" s="1" t="s">
        <v>2111</v>
      </c>
      <c r="H256" s="1" t="s">
        <v>3107</v>
      </c>
      <c r="I256" t="s">
        <v>1946</v>
      </c>
    </row>
    <row r="257" spans="1:9" x14ac:dyDescent="0.3">
      <c r="A257" s="1" t="s">
        <v>531</v>
      </c>
      <c r="B257" s="1" t="s">
        <v>3108</v>
      </c>
      <c r="C257" s="1" t="s">
        <v>3109</v>
      </c>
      <c r="D257" s="1" t="s">
        <v>3110</v>
      </c>
      <c r="E257" s="1" t="s">
        <v>3111</v>
      </c>
      <c r="F257" s="1" t="s">
        <v>2135</v>
      </c>
      <c r="G257" s="1" t="s">
        <v>1936</v>
      </c>
      <c r="H257" s="1">
        <v>85715</v>
      </c>
      <c r="I257" t="s">
        <v>1946</v>
      </c>
    </row>
    <row r="258" spans="1:9" x14ac:dyDescent="0.3">
      <c r="A258" s="1" t="s">
        <v>519</v>
      </c>
      <c r="B258" s="1" t="s">
        <v>3112</v>
      </c>
      <c r="C258" s="1" t="s">
        <v>3113</v>
      </c>
      <c r="D258" s="1" t="s">
        <v>3114</v>
      </c>
      <c r="E258" s="1" t="s">
        <v>3115</v>
      </c>
      <c r="F258" s="1" t="s">
        <v>3116</v>
      </c>
      <c r="G258" s="1" t="s">
        <v>1936</v>
      </c>
      <c r="H258" s="1">
        <v>53205</v>
      </c>
      <c r="I258" t="s">
        <v>1937</v>
      </c>
    </row>
    <row r="259" spans="1:9" x14ac:dyDescent="0.3">
      <c r="A259" s="1" t="s">
        <v>534</v>
      </c>
      <c r="B259" s="1" t="s">
        <v>3117</v>
      </c>
      <c r="C259" s="1" t="s">
        <v>3118</v>
      </c>
      <c r="D259" s="1" t="s">
        <v>3119</v>
      </c>
      <c r="E259" s="1" t="s">
        <v>3120</v>
      </c>
      <c r="F259" s="1" t="s">
        <v>2856</v>
      </c>
      <c r="G259" s="1" t="s">
        <v>1936</v>
      </c>
      <c r="H259" s="1">
        <v>33064</v>
      </c>
      <c r="I259" t="s">
        <v>1937</v>
      </c>
    </row>
    <row r="260" spans="1:9" x14ac:dyDescent="0.3">
      <c r="A260" s="1" t="s">
        <v>537</v>
      </c>
      <c r="B260" s="1" t="s">
        <v>3121</v>
      </c>
      <c r="C260" s="1" t="s">
        <v>3122</v>
      </c>
      <c r="D260" s="1" t="s">
        <v>3123</v>
      </c>
      <c r="E260" s="1" t="s">
        <v>3124</v>
      </c>
      <c r="F260" s="1" t="s">
        <v>2753</v>
      </c>
      <c r="G260" s="1" t="s">
        <v>1936</v>
      </c>
      <c r="H260" s="1">
        <v>90610</v>
      </c>
      <c r="I260" t="s">
        <v>1946</v>
      </c>
    </row>
    <row r="261" spans="1:9" x14ac:dyDescent="0.3">
      <c r="A261" s="1" t="s">
        <v>539</v>
      </c>
      <c r="B261" s="1" t="s">
        <v>3125</v>
      </c>
      <c r="C261" s="1" t="s">
        <v>3126</v>
      </c>
      <c r="D261" s="1" t="s">
        <v>3127</v>
      </c>
      <c r="E261" s="1" t="s">
        <v>3128</v>
      </c>
      <c r="F261" s="1" t="s">
        <v>3129</v>
      </c>
      <c r="G261" s="1" t="s">
        <v>2111</v>
      </c>
      <c r="H261" s="1" t="s">
        <v>3130</v>
      </c>
      <c r="I261" t="s">
        <v>1946</v>
      </c>
    </row>
    <row r="262" spans="1:9" x14ac:dyDescent="0.3">
      <c r="A262" s="1" t="s">
        <v>541</v>
      </c>
      <c r="B262" s="1" t="s">
        <v>3131</v>
      </c>
      <c r="C262" s="1" t="s">
        <v>3132</v>
      </c>
      <c r="D262" s="1"/>
      <c r="E262" s="1" t="s">
        <v>3133</v>
      </c>
      <c r="F262" s="1" t="s">
        <v>2008</v>
      </c>
      <c r="G262" s="1" t="s">
        <v>1936</v>
      </c>
      <c r="H262" s="1">
        <v>63180</v>
      </c>
      <c r="I262" t="s">
        <v>1937</v>
      </c>
    </row>
    <row r="263" spans="1:9" x14ac:dyDescent="0.3">
      <c r="A263" s="1" t="s">
        <v>543</v>
      </c>
      <c r="B263" s="1" t="s">
        <v>3134</v>
      </c>
      <c r="C263" s="1" t="s">
        <v>3135</v>
      </c>
      <c r="D263" s="1" t="s">
        <v>3136</v>
      </c>
      <c r="E263" s="1" t="s">
        <v>3137</v>
      </c>
      <c r="F263" s="1" t="s">
        <v>3138</v>
      </c>
      <c r="G263" s="1" t="s">
        <v>1936</v>
      </c>
      <c r="H263" s="1">
        <v>16522</v>
      </c>
      <c r="I263" t="s">
        <v>1937</v>
      </c>
    </row>
    <row r="264" spans="1:9" x14ac:dyDescent="0.3">
      <c r="A264" s="1" t="s">
        <v>545</v>
      </c>
      <c r="B264" s="1" t="s">
        <v>3139</v>
      </c>
      <c r="C264" s="1" t="s">
        <v>3140</v>
      </c>
      <c r="D264" s="1" t="s">
        <v>3141</v>
      </c>
      <c r="E264" s="1" t="s">
        <v>3142</v>
      </c>
      <c r="F264" s="1" t="s">
        <v>3143</v>
      </c>
      <c r="G264" s="1" t="s">
        <v>1936</v>
      </c>
      <c r="H264" s="1">
        <v>98464</v>
      </c>
      <c r="I264" t="s">
        <v>1946</v>
      </c>
    </row>
    <row r="265" spans="1:9" x14ac:dyDescent="0.3">
      <c r="A265" s="1" t="s">
        <v>547</v>
      </c>
      <c r="B265" s="1" t="s">
        <v>3144</v>
      </c>
      <c r="C265" s="1"/>
      <c r="D265" s="1" t="s">
        <v>3145</v>
      </c>
      <c r="E265" s="1" t="s">
        <v>3146</v>
      </c>
      <c r="F265" s="1" t="s">
        <v>1999</v>
      </c>
      <c r="G265" s="1" t="s">
        <v>1936</v>
      </c>
      <c r="H265" s="1">
        <v>23277</v>
      </c>
      <c r="I265" t="s">
        <v>1946</v>
      </c>
    </row>
    <row r="266" spans="1:9" x14ac:dyDescent="0.3">
      <c r="A266" s="1" t="s">
        <v>549</v>
      </c>
      <c r="B266" s="1" t="s">
        <v>3147</v>
      </c>
      <c r="C266" s="1"/>
      <c r="D266" s="1" t="s">
        <v>3148</v>
      </c>
      <c r="E266" s="1" t="s">
        <v>3149</v>
      </c>
      <c r="F266" s="1" t="s">
        <v>3150</v>
      </c>
      <c r="G266" s="1" t="s">
        <v>1944</v>
      </c>
      <c r="H266" s="1" t="s">
        <v>2540</v>
      </c>
      <c r="I266" t="s">
        <v>1937</v>
      </c>
    </row>
    <row r="267" spans="1:9" x14ac:dyDescent="0.3">
      <c r="A267" s="1" t="s">
        <v>551</v>
      </c>
      <c r="B267" s="1" t="s">
        <v>3151</v>
      </c>
      <c r="C267" s="1" t="s">
        <v>3152</v>
      </c>
      <c r="D267" s="1" t="s">
        <v>3153</v>
      </c>
      <c r="E267" s="1" t="s">
        <v>3154</v>
      </c>
      <c r="F267" s="1" t="s">
        <v>2122</v>
      </c>
      <c r="G267" s="1" t="s">
        <v>1936</v>
      </c>
      <c r="H267" s="1">
        <v>72204</v>
      </c>
      <c r="I267" t="s">
        <v>1937</v>
      </c>
    </row>
    <row r="268" spans="1:9" x14ac:dyDescent="0.3">
      <c r="A268" s="1" t="s">
        <v>553</v>
      </c>
      <c r="B268" s="1" t="s">
        <v>3155</v>
      </c>
      <c r="C268" s="1" t="s">
        <v>3156</v>
      </c>
      <c r="D268" s="1" t="s">
        <v>3157</v>
      </c>
      <c r="E268" s="1" t="s">
        <v>3158</v>
      </c>
      <c r="F268" s="1" t="s">
        <v>3159</v>
      </c>
      <c r="G268" s="1" t="s">
        <v>2111</v>
      </c>
      <c r="H268" s="1" t="s">
        <v>3160</v>
      </c>
      <c r="I268" t="s">
        <v>1946</v>
      </c>
    </row>
    <row r="269" spans="1:9" x14ac:dyDescent="0.3">
      <c r="A269" s="1" t="s">
        <v>555</v>
      </c>
      <c r="B269" s="1" t="s">
        <v>3161</v>
      </c>
      <c r="C269" s="1" t="s">
        <v>3162</v>
      </c>
      <c r="D269" s="1" t="s">
        <v>3163</v>
      </c>
      <c r="E269" s="1" t="s">
        <v>3164</v>
      </c>
      <c r="F269" s="1" t="s">
        <v>2743</v>
      </c>
      <c r="G269" s="1" t="s">
        <v>1936</v>
      </c>
      <c r="H269" s="1">
        <v>89436</v>
      </c>
      <c r="I269" t="s">
        <v>1937</v>
      </c>
    </row>
    <row r="270" spans="1:9" x14ac:dyDescent="0.3">
      <c r="A270" s="1" t="s">
        <v>3165</v>
      </c>
      <c r="B270" s="1" t="s">
        <v>3166</v>
      </c>
      <c r="C270" s="1"/>
      <c r="D270" s="1" t="s">
        <v>3167</v>
      </c>
      <c r="E270" s="1" t="s">
        <v>3168</v>
      </c>
      <c r="F270" s="1" t="s">
        <v>3169</v>
      </c>
      <c r="G270" s="1" t="s">
        <v>1936</v>
      </c>
      <c r="H270" s="1">
        <v>77806</v>
      </c>
      <c r="I270" t="s">
        <v>1937</v>
      </c>
    </row>
    <row r="271" spans="1:9" x14ac:dyDescent="0.3">
      <c r="A271" s="1" t="s">
        <v>558</v>
      </c>
      <c r="B271" s="1" t="s">
        <v>3170</v>
      </c>
      <c r="C271" s="1" t="s">
        <v>3171</v>
      </c>
      <c r="D271" s="1" t="s">
        <v>3172</v>
      </c>
      <c r="E271" s="1" t="s">
        <v>3173</v>
      </c>
      <c r="F271" s="1" t="s">
        <v>3174</v>
      </c>
      <c r="G271" s="1" t="s">
        <v>1936</v>
      </c>
      <c r="H271" s="1">
        <v>76210</v>
      </c>
      <c r="I271" t="s">
        <v>1946</v>
      </c>
    </row>
    <row r="272" spans="1:9" x14ac:dyDescent="0.3">
      <c r="A272" s="1" t="s">
        <v>560</v>
      </c>
      <c r="B272" s="1" t="s">
        <v>3175</v>
      </c>
      <c r="C272" s="1"/>
      <c r="D272" s="1"/>
      <c r="E272" s="1" t="s">
        <v>3176</v>
      </c>
      <c r="F272" s="1" t="s">
        <v>3177</v>
      </c>
      <c r="G272" s="1" t="s">
        <v>1944</v>
      </c>
      <c r="H272" s="1" t="s">
        <v>3178</v>
      </c>
      <c r="I272" t="s">
        <v>1937</v>
      </c>
    </row>
    <row r="273" spans="1:9" x14ac:dyDescent="0.3">
      <c r="A273" s="1" t="s">
        <v>562</v>
      </c>
      <c r="B273" s="1" t="s">
        <v>3179</v>
      </c>
      <c r="C273" s="1" t="s">
        <v>3180</v>
      </c>
      <c r="D273" s="1" t="s">
        <v>3181</v>
      </c>
      <c r="E273" s="1" t="s">
        <v>3182</v>
      </c>
      <c r="F273" s="1" t="s">
        <v>3183</v>
      </c>
      <c r="G273" s="1" t="s">
        <v>1936</v>
      </c>
      <c r="H273" s="1">
        <v>27635</v>
      </c>
      <c r="I273" t="s">
        <v>1937</v>
      </c>
    </row>
    <row r="274" spans="1:9" x14ac:dyDescent="0.3">
      <c r="A274" s="1" t="s">
        <v>564</v>
      </c>
      <c r="B274" s="1" t="s">
        <v>3184</v>
      </c>
      <c r="C274" s="1" t="s">
        <v>3185</v>
      </c>
      <c r="D274" s="1" t="s">
        <v>3186</v>
      </c>
      <c r="E274" s="1" t="s">
        <v>3187</v>
      </c>
      <c r="F274" s="1" t="s">
        <v>3188</v>
      </c>
      <c r="G274" s="1" t="s">
        <v>1944</v>
      </c>
      <c r="H274" s="1" t="s">
        <v>3189</v>
      </c>
      <c r="I274" t="s">
        <v>1937</v>
      </c>
    </row>
    <row r="275" spans="1:9" x14ac:dyDescent="0.3">
      <c r="A275" s="1" t="s">
        <v>566</v>
      </c>
      <c r="B275" s="1" t="s">
        <v>3190</v>
      </c>
      <c r="C275" s="1" t="s">
        <v>3191</v>
      </c>
      <c r="D275" s="1" t="s">
        <v>3192</v>
      </c>
      <c r="E275" s="1" t="s">
        <v>3193</v>
      </c>
      <c r="F275" s="1" t="s">
        <v>2032</v>
      </c>
      <c r="G275" s="1" t="s">
        <v>1936</v>
      </c>
      <c r="H275" s="1">
        <v>10105</v>
      </c>
      <c r="I275" t="s">
        <v>1946</v>
      </c>
    </row>
    <row r="276" spans="1:9" x14ac:dyDescent="0.3">
      <c r="A276" s="1" t="s">
        <v>568</v>
      </c>
      <c r="B276" s="1" t="s">
        <v>3194</v>
      </c>
      <c r="C276" s="1" t="s">
        <v>3195</v>
      </c>
      <c r="D276" s="1" t="s">
        <v>3196</v>
      </c>
      <c r="E276" s="1" t="s">
        <v>3197</v>
      </c>
      <c r="F276" s="1" t="s">
        <v>2520</v>
      </c>
      <c r="G276" s="1" t="s">
        <v>1936</v>
      </c>
      <c r="H276" s="1">
        <v>6905</v>
      </c>
      <c r="I276" t="s">
        <v>1946</v>
      </c>
    </row>
    <row r="277" spans="1:9" x14ac:dyDescent="0.3">
      <c r="A277" s="1" t="s">
        <v>570</v>
      </c>
      <c r="B277" s="1" t="s">
        <v>3198</v>
      </c>
      <c r="C277" s="1" t="s">
        <v>3199</v>
      </c>
      <c r="D277" s="1" t="s">
        <v>3200</v>
      </c>
      <c r="E277" s="1" t="s">
        <v>3201</v>
      </c>
      <c r="F277" s="1" t="s">
        <v>2206</v>
      </c>
      <c r="G277" s="1" t="s">
        <v>1936</v>
      </c>
      <c r="H277" s="1">
        <v>43666</v>
      </c>
      <c r="I277" t="s">
        <v>1946</v>
      </c>
    </row>
    <row r="278" spans="1:9" x14ac:dyDescent="0.3">
      <c r="A278" s="1" t="s">
        <v>572</v>
      </c>
      <c r="B278" s="1" t="s">
        <v>3202</v>
      </c>
      <c r="C278" s="1" t="s">
        <v>3203</v>
      </c>
      <c r="D278" s="1" t="s">
        <v>3204</v>
      </c>
      <c r="E278" s="1" t="s">
        <v>3205</v>
      </c>
      <c r="F278" s="1" t="s">
        <v>3206</v>
      </c>
      <c r="G278" s="1" t="s">
        <v>1944</v>
      </c>
      <c r="H278" s="1" t="s">
        <v>3207</v>
      </c>
      <c r="I278" t="s">
        <v>1937</v>
      </c>
    </row>
    <row r="279" spans="1:9" x14ac:dyDescent="0.3">
      <c r="A279" s="1" t="s">
        <v>574</v>
      </c>
      <c r="B279" s="1" t="s">
        <v>3208</v>
      </c>
      <c r="C279" s="1" t="s">
        <v>3209</v>
      </c>
      <c r="D279" s="1" t="s">
        <v>3210</v>
      </c>
      <c r="E279" s="1" t="s">
        <v>3211</v>
      </c>
      <c r="F279" s="1" t="s">
        <v>3212</v>
      </c>
      <c r="G279" s="1" t="s">
        <v>1936</v>
      </c>
      <c r="H279" s="1">
        <v>65211</v>
      </c>
      <c r="I279" t="s">
        <v>1946</v>
      </c>
    </row>
    <row r="280" spans="1:9" x14ac:dyDescent="0.3">
      <c r="A280" s="1" t="s">
        <v>576</v>
      </c>
      <c r="B280" s="1" t="s">
        <v>3213</v>
      </c>
      <c r="C280" s="1" t="s">
        <v>3214</v>
      </c>
      <c r="D280" s="1" t="s">
        <v>3215</v>
      </c>
      <c r="E280" s="1" t="s">
        <v>3216</v>
      </c>
      <c r="F280" s="1" t="s">
        <v>2233</v>
      </c>
      <c r="G280" s="1" t="s">
        <v>1936</v>
      </c>
      <c r="H280" s="1">
        <v>46852</v>
      </c>
      <c r="I280" t="s">
        <v>1937</v>
      </c>
    </row>
    <row r="281" spans="1:9" x14ac:dyDescent="0.3">
      <c r="A281" s="1" t="s">
        <v>578</v>
      </c>
      <c r="B281" s="1" t="s">
        <v>3217</v>
      </c>
      <c r="C281" s="1" t="s">
        <v>3218</v>
      </c>
      <c r="D281" s="1" t="s">
        <v>3219</v>
      </c>
      <c r="E281" s="1" t="s">
        <v>3220</v>
      </c>
      <c r="F281" s="1" t="s">
        <v>2008</v>
      </c>
      <c r="G281" s="1" t="s">
        <v>1936</v>
      </c>
      <c r="H281" s="1">
        <v>63143</v>
      </c>
      <c r="I281" t="s">
        <v>1937</v>
      </c>
    </row>
    <row r="282" spans="1:9" x14ac:dyDescent="0.3">
      <c r="A282" s="1" t="s">
        <v>580</v>
      </c>
      <c r="B282" s="1" t="s">
        <v>3221</v>
      </c>
      <c r="C282" s="1"/>
      <c r="D282" s="1" t="s">
        <v>3222</v>
      </c>
      <c r="E282" s="1" t="s">
        <v>3223</v>
      </c>
      <c r="F282" s="1" t="s">
        <v>2017</v>
      </c>
      <c r="G282" s="1" t="s">
        <v>1936</v>
      </c>
      <c r="H282" s="1">
        <v>97211</v>
      </c>
      <c r="I282" t="s">
        <v>1937</v>
      </c>
    </row>
    <row r="283" spans="1:9" x14ac:dyDescent="0.3">
      <c r="A283" s="1" t="s">
        <v>582</v>
      </c>
      <c r="B283" s="1" t="s">
        <v>3224</v>
      </c>
      <c r="C283" s="1" t="s">
        <v>3225</v>
      </c>
      <c r="D283" s="1" t="s">
        <v>3226</v>
      </c>
      <c r="E283" s="1" t="s">
        <v>3227</v>
      </c>
      <c r="F283" s="1" t="s">
        <v>3228</v>
      </c>
      <c r="G283" s="1" t="s">
        <v>1936</v>
      </c>
      <c r="H283" s="1">
        <v>80305</v>
      </c>
      <c r="I283" t="s">
        <v>1937</v>
      </c>
    </row>
    <row r="284" spans="1:9" x14ac:dyDescent="0.3">
      <c r="A284" s="1" t="s">
        <v>584</v>
      </c>
      <c r="B284" s="1" t="s">
        <v>3229</v>
      </c>
      <c r="C284" s="1" t="s">
        <v>3230</v>
      </c>
      <c r="D284" s="1" t="s">
        <v>3231</v>
      </c>
      <c r="E284" s="1" t="s">
        <v>3232</v>
      </c>
      <c r="F284" s="1" t="s">
        <v>3233</v>
      </c>
      <c r="G284" s="1" t="s">
        <v>2111</v>
      </c>
      <c r="H284" s="1" t="s">
        <v>3234</v>
      </c>
      <c r="I284" t="s">
        <v>1946</v>
      </c>
    </row>
    <row r="285" spans="1:9" x14ac:dyDescent="0.3">
      <c r="A285" s="1" t="s">
        <v>586</v>
      </c>
      <c r="B285" s="1" t="s">
        <v>3235</v>
      </c>
      <c r="C285" s="1" t="s">
        <v>3236</v>
      </c>
      <c r="D285" s="1" t="s">
        <v>3237</v>
      </c>
      <c r="E285" s="1" t="s">
        <v>3238</v>
      </c>
      <c r="F285" s="1" t="s">
        <v>3129</v>
      </c>
      <c r="G285" s="1" t="s">
        <v>2111</v>
      </c>
      <c r="H285" s="1" t="s">
        <v>3130</v>
      </c>
      <c r="I285" t="s">
        <v>1937</v>
      </c>
    </row>
    <row r="286" spans="1:9" x14ac:dyDescent="0.3">
      <c r="A286" s="1" t="s">
        <v>588</v>
      </c>
      <c r="B286" s="1" t="s">
        <v>3239</v>
      </c>
      <c r="C286" s="1"/>
      <c r="D286" s="1" t="s">
        <v>3240</v>
      </c>
      <c r="E286" s="1" t="s">
        <v>3241</v>
      </c>
      <c r="F286" s="1" t="s">
        <v>3242</v>
      </c>
      <c r="G286" s="1" t="s">
        <v>1936</v>
      </c>
      <c r="H286" s="1">
        <v>40298</v>
      </c>
      <c r="I286" t="s">
        <v>1946</v>
      </c>
    </row>
    <row r="287" spans="1:9" x14ac:dyDescent="0.3">
      <c r="A287" s="1" t="s">
        <v>590</v>
      </c>
      <c r="B287" s="1" t="s">
        <v>3243</v>
      </c>
      <c r="C287" s="1"/>
      <c r="D287" s="1" t="s">
        <v>3244</v>
      </c>
      <c r="E287" s="1" t="s">
        <v>3245</v>
      </c>
      <c r="F287" s="1" t="s">
        <v>2345</v>
      </c>
      <c r="G287" s="1" t="s">
        <v>1936</v>
      </c>
      <c r="H287" s="1">
        <v>14276</v>
      </c>
      <c r="I287" t="s">
        <v>1946</v>
      </c>
    </row>
    <row r="288" spans="1:9" x14ac:dyDescent="0.3">
      <c r="A288" s="1" t="s">
        <v>592</v>
      </c>
      <c r="B288" s="1" t="s">
        <v>3246</v>
      </c>
      <c r="C288" s="1" t="s">
        <v>3247</v>
      </c>
      <c r="D288" s="1"/>
      <c r="E288" s="1" t="s">
        <v>3248</v>
      </c>
      <c r="F288" s="1" t="s">
        <v>3249</v>
      </c>
      <c r="G288" s="1" t="s">
        <v>1936</v>
      </c>
      <c r="H288" s="1">
        <v>44710</v>
      </c>
      <c r="I288" t="s">
        <v>1937</v>
      </c>
    </row>
    <row r="289" spans="1:9" x14ac:dyDescent="0.3">
      <c r="A289" s="1" t="s">
        <v>594</v>
      </c>
      <c r="B289" s="1" t="s">
        <v>3250</v>
      </c>
      <c r="C289" s="1" t="s">
        <v>3251</v>
      </c>
      <c r="D289" s="1" t="s">
        <v>3252</v>
      </c>
      <c r="E289" s="1" t="s">
        <v>3253</v>
      </c>
      <c r="F289" s="1" t="s">
        <v>2153</v>
      </c>
      <c r="G289" s="1" t="s">
        <v>1936</v>
      </c>
      <c r="H289" s="1">
        <v>2114</v>
      </c>
      <c r="I289" t="s">
        <v>1946</v>
      </c>
    </row>
    <row r="290" spans="1:9" x14ac:dyDescent="0.3">
      <c r="A290" s="1" t="s">
        <v>596</v>
      </c>
      <c r="B290" s="1" t="s">
        <v>3254</v>
      </c>
      <c r="C290" s="1"/>
      <c r="D290" s="1" t="s">
        <v>3255</v>
      </c>
      <c r="E290" s="1" t="s">
        <v>3256</v>
      </c>
      <c r="F290" s="1" t="s">
        <v>3257</v>
      </c>
      <c r="G290" s="1" t="s">
        <v>1944</v>
      </c>
      <c r="H290" s="1" t="s">
        <v>3258</v>
      </c>
      <c r="I290" t="s">
        <v>1937</v>
      </c>
    </row>
    <row r="291" spans="1:9" x14ac:dyDescent="0.3">
      <c r="A291" s="1" t="s">
        <v>598</v>
      </c>
      <c r="B291" s="1" t="s">
        <v>3259</v>
      </c>
      <c r="C291" s="1"/>
      <c r="D291" s="1"/>
      <c r="E291" s="1" t="s">
        <v>3260</v>
      </c>
      <c r="F291" s="1" t="s">
        <v>3261</v>
      </c>
      <c r="G291" s="1" t="s">
        <v>1936</v>
      </c>
      <c r="H291" s="1">
        <v>24515</v>
      </c>
      <c r="I291" t="s">
        <v>1937</v>
      </c>
    </row>
    <row r="292" spans="1:9" x14ac:dyDescent="0.3">
      <c r="A292" s="1" t="s">
        <v>600</v>
      </c>
      <c r="B292" s="1" t="s">
        <v>3262</v>
      </c>
      <c r="C292" s="1" t="s">
        <v>3263</v>
      </c>
      <c r="D292" s="1" t="s">
        <v>3264</v>
      </c>
      <c r="E292" s="1" t="s">
        <v>3265</v>
      </c>
      <c r="F292" s="1" t="s">
        <v>1981</v>
      </c>
      <c r="G292" s="1" t="s">
        <v>1936</v>
      </c>
      <c r="H292" s="1">
        <v>90071</v>
      </c>
      <c r="I292" t="s">
        <v>1946</v>
      </c>
    </row>
    <row r="293" spans="1:9" x14ac:dyDescent="0.3">
      <c r="A293" s="1" t="s">
        <v>602</v>
      </c>
      <c r="B293" s="1" t="s">
        <v>3266</v>
      </c>
      <c r="C293" s="1"/>
      <c r="D293" s="1"/>
      <c r="E293" s="1" t="s">
        <v>3267</v>
      </c>
      <c r="F293" s="1" t="s">
        <v>2530</v>
      </c>
      <c r="G293" s="1" t="s">
        <v>1944</v>
      </c>
      <c r="H293" s="1" t="s">
        <v>2531</v>
      </c>
      <c r="I293" t="s">
        <v>1946</v>
      </c>
    </row>
    <row r="294" spans="1:9" x14ac:dyDescent="0.3">
      <c r="A294" s="1" t="s">
        <v>604</v>
      </c>
      <c r="B294" s="1" t="s">
        <v>3268</v>
      </c>
      <c r="C294" s="1" t="s">
        <v>3269</v>
      </c>
      <c r="D294" s="1"/>
      <c r="E294" s="1" t="s">
        <v>3270</v>
      </c>
      <c r="F294" s="1" t="s">
        <v>2167</v>
      </c>
      <c r="G294" s="1" t="s">
        <v>1936</v>
      </c>
      <c r="H294" s="1">
        <v>35236</v>
      </c>
      <c r="I294" t="s">
        <v>1946</v>
      </c>
    </row>
    <row r="295" spans="1:9" x14ac:dyDescent="0.3">
      <c r="A295" s="1" t="s">
        <v>606</v>
      </c>
      <c r="B295" s="1" t="s">
        <v>3271</v>
      </c>
      <c r="C295" s="1" t="s">
        <v>3272</v>
      </c>
      <c r="D295" s="1" t="s">
        <v>3273</v>
      </c>
      <c r="E295" s="1" t="s">
        <v>3274</v>
      </c>
      <c r="F295" s="1" t="s">
        <v>2694</v>
      </c>
      <c r="G295" s="1" t="s">
        <v>1936</v>
      </c>
      <c r="H295" s="1">
        <v>22309</v>
      </c>
      <c r="I295" t="s">
        <v>1946</v>
      </c>
    </row>
    <row r="296" spans="1:9" x14ac:dyDescent="0.3">
      <c r="A296" s="1" t="s">
        <v>608</v>
      </c>
      <c r="B296" s="1" t="s">
        <v>3275</v>
      </c>
      <c r="C296" s="1"/>
      <c r="D296" s="1" t="s">
        <v>3276</v>
      </c>
      <c r="E296" s="1" t="s">
        <v>3277</v>
      </c>
      <c r="F296" s="1" t="s">
        <v>3278</v>
      </c>
      <c r="G296" s="1" t="s">
        <v>1936</v>
      </c>
      <c r="H296" s="1">
        <v>6816</v>
      </c>
      <c r="I296" t="s">
        <v>1946</v>
      </c>
    </row>
    <row r="297" spans="1:9" x14ac:dyDescent="0.3">
      <c r="A297" s="1" t="s">
        <v>610</v>
      </c>
      <c r="B297" s="1" t="s">
        <v>3279</v>
      </c>
      <c r="C297" s="1"/>
      <c r="D297" s="1"/>
      <c r="E297" s="1" t="s">
        <v>3280</v>
      </c>
      <c r="F297" s="1" t="s">
        <v>2876</v>
      </c>
      <c r="G297" s="1" t="s">
        <v>1936</v>
      </c>
      <c r="H297" s="1">
        <v>12205</v>
      </c>
      <c r="I297" t="s">
        <v>1946</v>
      </c>
    </row>
    <row r="298" spans="1:9" x14ac:dyDescent="0.3">
      <c r="A298" s="1" t="s">
        <v>612</v>
      </c>
      <c r="B298" s="1" t="s">
        <v>3281</v>
      </c>
      <c r="C298" s="1" t="s">
        <v>3282</v>
      </c>
      <c r="D298" s="1" t="s">
        <v>3283</v>
      </c>
      <c r="E298" s="1" t="s">
        <v>3284</v>
      </c>
      <c r="F298" s="1" t="s">
        <v>2242</v>
      </c>
      <c r="G298" s="1" t="s">
        <v>1936</v>
      </c>
      <c r="H298" s="1">
        <v>34108</v>
      </c>
      <c r="I298" t="s">
        <v>1937</v>
      </c>
    </row>
    <row r="299" spans="1:9" x14ac:dyDescent="0.3">
      <c r="A299" s="1" t="s">
        <v>614</v>
      </c>
      <c r="B299" s="1" t="s">
        <v>3285</v>
      </c>
      <c r="C299" s="1" t="s">
        <v>3286</v>
      </c>
      <c r="D299" s="1" t="s">
        <v>3287</v>
      </c>
      <c r="E299" s="1" t="s">
        <v>3288</v>
      </c>
      <c r="F299" s="1" t="s">
        <v>3289</v>
      </c>
      <c r="G299" s="1" t="s">
        <v>1936</v>
      </c>
      <c r="H299" s="1">
        <v>33141</v>
      </c>
      <c r="I299" t="s">
        <v>1937</v>
      </c>
    </row>
    <row r="300" spans="1:9" x14ac:dyDescent="0.3">
      <c r="A300" s="1" t="s">
        <v>616</v>
      </c>
      <c r="B300" s="1" t="s">
        <v>3290</v>
      </c>
      <c r="C300" s="1" t="s">
        <v>3291</v>
      </c>
      <c r="D300" s="1" t="s">
        <v>3292</v>
      </c>
      <c r="E300" s="1" t="s">
        <v>3293</v>
      </c>
      <c r="F300" s="1" t="s">
        <v>3044</v>
      </c>
      <c r="G300" s="1" t="s">
        <v>1936</v>
      </c>
      <c r="H300" s="1">
        <v>30358</v>
      </c>
      <c r="I300" t="s">
        <v>1937</v>
      </c>
    </row>
    <row r="301" spans="1:9" x14ac:dyDescent="0.3">
      <c r="A301" s="1" t="s">
        <v>618</v>
      </c>
      <c r="B301" s="1" t="s">
        <v>3294</v>
      </c>
      <c r="C301" s="1" t="s">
        <v>3295</v>
      </c>
      <c r="D301" s="1" t="s">
        <v>3296</v>
      </c>
      <c r="E301" s="1" t="s">
        <v>3297</v>
      </c>
      <c r="F301" s="1" t="s">
        <v>3298</v>
      </c>
      <c r="G301" s="1" t="s">
        <v>1936</v>
      </c>
      <c r="H301" s="1">
        <v>78405</v>
      </c>
      <c r="I301" t="s">
        <v>1937</v>
      </c>
    </row>
    <row r="302" spans="1:9" x14ac:dyDescent="0.3">
      <c r="A302" s="1" t="s">
        <v>620</v>
      </c>
      <c r="B302" s="1" t="s">
        <v>3299</v>
      </c>
      <c r="C302" s="1" t="s">
        <v>3300</v>
      </c>
      <c r="D302" s="1" t="s">
        <v>3301</v>
      </c>
      <c r="E302" s="1" t="s">
        <v>3302</v>
      </c>
      <c r="F302" s="1" t="s">
        <v>2587</v>
      </c>
      <c r="G302" s="1" t="s">
        <v>1936</v>
      </c>
      <c r="H302" s="1">
        <v>96835</v>
      </c>
      <c r="I302" t="s">
        <v>1937</v>
      </c>
    </row>
    <row r="303" spans="1:9" x14ac:dyDescent="0.3">
      <c r="A303" s="1" t="s">
        <v>622</v>
      </c>
      <c r="B303" s="1" t="s">
        <v>3303</v>
      </c>
      <c r="C303" s="1" t="s">
        <v>3304</v>
      </c>
      <c r="D303" s="1" t="s">
        <v>3305</v>
      </c>
      <c r="E303" s="1" t="s">
        <v>3306</v>
      </c>
      <c r="F303" s="1" t="s">
        <v>2382</v>
      </c>
      <c r="G303" s="1" t="s">
        <v>1936</v>
      </c>
      <c r="H303" s="1">
        <v>78737</v>
      </c>
      <c r="I303" t="s">
        <v>1937</v>
      </c>
    </row>
    <row r="304" spans="1:9" x14ac:dyDescent="0.3">
      <c r="A304" s="1" t="s">
        <v>624</v>
      </c>
      <c r="B304" s="1" t="s">
        <v>3307</v>
      </c>
      <c r="C304" s="1" t="s">
        <v>3308</v>
      </c>
      <c r="D304" s="1" t="s">
        <v>3309</v>
      </c>
      <c r="E304" s="1" t="s">
        <v>3310</v>
      </c>
      <c r="F304" s="1" t="s">
        <v>3311</v>
      </c>
      <c r="G304" s="1" t="s">
        <v>1936</v>
      </c>
      <c r="H304" s="1">
        <v>21290</v>
      </c>
      <c r="I304" t="s">
        <v>1946</v>
      </c>
    </row>
    <row r="305" spans="1:9" x14ac:dyDescent="0.3">
      <c r="A305" s="1" t="s">
        <v>626</v>
      </c>
      <c r="B305" s="1" t="s">
        <v>3312</v>
      </c>
      <c r="C305" s="1" t="s">
        <v>3313</v>
      </c>
      <c r="D305" s="1"/>
      <c r="E305" s="1" t="s">
        <v>3314</v>
      </c>
      <c r="F305" s="1" t="s">
        <v>3315</v>
      </c>
      <c r="G305" s="1" t="s">
        <v>1936</v>
      </c>
      <c r="H305" s="1">
        <v>40596</v>
      </c>
      <c r="I305" t="s">
        <v>1937</v>
      </c>
    </row>
    <row r="306" spans="1:9" x14ac:dyDescent="0.3">
      <c r="A306" s="1" t="s">
        <v>3316</v>
      </c>
      <c r="B306" s="1" t="s">
        <v>3317</v>
      </c>
      <c r="C306" s="1" t="s">
        <v>3318</v>
      </c>
      <c r="D306" s="1"/>
      <c r="E306" s="1" t="s">
        <v>3319</v>
      </c>
      <c r="F306" s="1" t="s">
        <v>3320</v>
      </c>
      <c r="G306" s="1" t="s">
        <v>1936</v>
      </c>
      <c r="H306" s="1">
        <v>60435</v>
      </c>
      <c r="I306" t="s">
        <v>1937</v>
      </c>
    </row>
    <row r="307" spans="1:9" x14ac:dyDescent="0.3">
      <c r="A307" s="1" t="s">
        <v>630</v>
      </c>
      <c r="B307" s="1" t="s">
        <v>3321</v>
      </c>
      <c r="C307" s="1" t="s">
        <v>3322</v>
      </c>
      <c r="D307" s="1" t="s">
        <v>3323</v>
      </c>
      <c r="E307" s="1" t="s">
        <v>3324</v>
      </c>
      <c r="F307" s="1" t="s">
        <v>3325</v>
      </c>
      <c r="G307" s="1" t="s">
        <v>2111</v>
      </c>
      <c r="H307" s="1" t="s">
        <v>3326</v>
      </c>
      <c r="I307" t="s">
        <v>1946</v>
      </c>
    </row>
    <row r="308" spans="1:9" x14ac:dyDescent="0.3">
      <c r="A308" s="1" t="s">
        <v>632</v>
      </c>
      <c r="B308" s="1" t="s">
        <v>3327</v>
      </c>
      <c r="C308" s="1" t="s">
        <v>3328</v>
      </c>
      <c r="D308" s="1" t="s">
        <v>3329</v>
      </c>
      <c r="E308" s="1" t="s">
        <v>3330</v>
      </c>
      <c r="F308" s="1" t="s">
        <v>3331</v>
      </c>
      <c r="G308" s="1" t="s">
        <v>1936</v>
      </c>
      <c r="H308" s="1">
        <v>68505</v>
      </c>
      <c r="I308" t="s">
        <v>1946</v>
      </c>
    </row>
    <row r="309" spans="1:9" x14ac:dyDescent="0.3">
      <c r="A309" s="1" t="s">
        <v>634</v>
      </c>
      <c r="B309" s="1" t="s">
        <v>3332</v>
      </c>
      <c r="C309" s="1" t="s">
        <v>3333</v>
      </c>
      <c r="D309" s="1" t="s">
        <v>3334</v>
      </c>
      <c r="E309" s="1" t="s">
        <v>3335</v>
      </c>
      <c r="F309" s="1" t="s">
        <v>3032</v>
      </c>
      <c r="G309" s="1" t="s">
        <v>1936</v>
      </c>
      <c r="H309" s="1">
        <v>45254</v>
      </c>
      <c r="I309" t="s">
        <v>1937</v>
      </c>
    </row>
    <row r="310" spans="1:9" x14ac:dyDescent="0.3">
      <c r="A310" s="1" t="s">
        <v>636</v>
      </c>
      <c r="B310" s="1" t="s">
        <v>3336</v>
      </c>
      <c r="C310" s="1" t="s">
        <v>3337</v>
      </c>
      <c r="D310" s="1"/>
      <c r="E310" s="1" t="s">
        <v>3338</v>
      </c>
      <c r="F310" s="1" t="s">
        <v>3129</v>
      </c>
      <c r="G310" s="1" t="s">
        <v>2111</v>
      </c>
      <c r="H310" s="1" t="s">
        <v>3130</v>
      </c>
      <c r="I310" t="s">
        <v>1946</v>
      </c>
    </row>
    <row r="311" spans="1:9" x14ac:dyDescent="0.3">
      <c r="A311" s="1" t="s">
        <v>638</v>
      </c>
      <c r="B311" s="1" t="s">
        <v>3339</v>
      </c>
      <c r="C311" s="1" t="s">
        <v>3340</v>
      </c>
      <c r="D311" s="1" t="s">
        <v>3341</v>
      </c>
      <c r="E311" s="1" t="s">
        <v>3342</v>
      </c>
      <c r="F311" s="1" t="s">
        <v>3343</v>
      </c>
      <c r="G311" s="1" t="s">
        <v>1936</v>
      </c>
      <c r="H311" s="1">
        <v>6127</v>
      </c>
      <c r="I311" t="s">
        <v>1937</v>
      </c>
    </row>
    <row r="312" spans="1:9" x14ac:dyDescent="0.3">
      <c r="A312" s="1" t="s">
        <v>640</v>
      </c>
      <c r="B312" s="1" t="s">
        <v>3344</v>
      </c>
      <c r="C312" s="1" t="s">
        <v>3345</v>
      </c>
      <c r="D312" s="1" t="s">
        <v>3346</v>
      </c>
      <c r="E312" s="1" t="s">
        <v>3347</v>
      </c>
      <c r="F312" s="1" t="s">
        <v>2304</v>
      </c>
      <c r="G312" s="1" t="s">
        <v>1944</v>
      </c>
      <c r="H312" s="1" t="s">
        <v>2305</v>
      </c>
      <c r="I312" t="s">
        <v>1946</v>
      </c>
    </row>
    <row r="313" spans="1:9" x14ac:dyDescent="0.3">
      <c r="A313" s="1" t="s">
        <v>628</v>
      </c>
      <c r="B313" s="1" t="s">
        <v>3348</v>
      </c>
      <c r="C313" s="1" t="s">
        <v>3349</v>
      </c>
      <c r="D313" s="1" t="s">
        <v>3350</v>
      </c>
      <c r="E313" s="1" t="s">
        <v>3351</v>
      </c>
      <c r="F313" s="1" t="s">
        <v>2295</v>
      </c>
      <c r="G313" s="1" t="s">
        <v>1936</v>
      </c>
      <c r="H313" s="1">
        <v>28299</v>
      </c>
      <c r="I313" t="s">
        <v>1937</v>
      </c>
    </row>
    <row r="314" spans="1:9" x14ac:dyDescent="0.3">
      <c r="A314" s="1" t="s">
        <v>643</v>
      </c>
      <c r="B314" s="1" t="s">
        <v>3352</v>
      </c>
      <c r="C314" s="1" t="s">
        <v>3353</v>
      </c>
      <c r="D314" s="1" t="s">
        <v>3354</v>
      </c>
      <c r="E314" s="1" t="s">
        <v>3355</v>
      </c>
      <c r="F314" s="1" t="s">
        <v>2694</v>
      </c>
      <c r="G314" s="1" t="s">
        <v>1936</v>
      </c>
      <c r="H314" s="1">
        <v>71307</v>
      </c>
      <c r="I314" t="s">
        <v>1937</v>
      </c>
    </row>
    <row r="315" spans="1:9" x14ac:dyDescent="0.3">
      <c r="A315" s="1" t="s">
        <v>645</v>
      </c>
      <c r="B315" s="1" t="s">
        <v>3356</v>
      </c>
      <c r="C315" s="1" t="s">
        <v>3357</v>
      </c>
      <c r="D315" s="1" t="s">
        <v>3358</v>
      </c>
      <c r="E315" s="1" t="s">
        <v>3359</v>
      </c>
      <c r="F315" s="1" t="s">
        <v>3360</v>
      </c>
      <c r="G315" s="1" t="s">
        <v>2111</v>
      </c>
      <c r="H315" s="1" t="s">
        <v>3361</v>
      </c>
      <c r="I315" t="s">
        <v>1937</v>
      </c>
    </row>
    <row r="316" spans="1:9" x14ac:dyDescent="0.3">
      <c r="A316" s="1" t="s">
        <v>647</v>
      </c>
      <c r="B316" s="1" t="s">
        <v>3362</v>
      </c>
      <c r="C316" s="1"/>
      <c r="D316" s="1" t="s">
        <v>3363</v>
      </c>
      <c r="E316" s="1" t="s">
        <v>3364</v>
      </c>
      <c r="F316" s="1" t="s">
        <v>3365</v>
      </c>
      <c r="G316" s="1" t="s">
        <v>1936</v>
      </c>
      <c r="H316" s="1">
        <v>89115</v>
      </c>
      <c r="I316" t="s">
        <v>1946</v>
      </c>
    </row>
    <row r="317" spans="1:9" x14ac:dyDescent="0.3">
      <c r="A317" s="1" t="s">
        <v>649</v>
      </c>
      <c r="B317" s="1" t="s">
        <v>3366</v>
      </c>
      <c r="C317" s="1" t="s">
        <v>3367</v>
      </c>
      <c r="D317" s="1" t="s">
        <v>3368</v>
      </c>
      <c r="E317" s="1" t="s">
        <v>3369</v>
      </c>
      <c r="F317" s="1" t="s">
        <v>2642</v>
      </c>
      <c r="G317" s="1" t="s">
        <v>1936</v>
      </c>
      <c r="H317" s="1">
        <v>50369</v>
      </c>
      <c r="I317" t="s">
        <v>1937</v>
      </c>
    </row>
    <row r="318" spans="1:9" x14ac:dyDescent="0.3">
      <c r="A318" s="1" t="s">
        <v>651</v>
      </c>
      <c r="B318" s="1" t="s">
        <v>3370</v>
      </c>
      <c r="C318" s="1" t="s">
        <v>3371</v>
      </c>
      <c r="D318" s="1" t="s">
        <v>3372</v>
      </c>
      <c r="E318" s="1" t="s">
        <v>3373</v>
      </c>
      <c r="F318" s="1" t="s">
        <v>2595</v>
      </c>
      <c r="G318" s="1" t="s">
        <v>1944</v>
      </c>
      <c r="H318" s="1" t="s">
        <v>2540</v>
      </c>
      <c r="I318" t="s">
        <v>1946</v>
      </c>
    </row>
    <row r="319" spans="1:9" x14ac:dyDescent="0.3">
      <c r="A319" s="1" t="s">
        <v>653</v>
      </c>
      <c r="B319" s="1" t="s">
        <v>3374</v>
      </c>
      <c r="C319" s="1" t="s">
        <v>3375</v>
      </c>
      <c r="D319" s="1" t="s">
        <v>3376</v>
      </c>
      <c r="E319" s="1" t="s">
        <v>3377</v>
      </c>
      <c r="F319" s="1" t="s">
        <v>3378</v>
      </c>
      <c r="G319" s="1" t="s">
        <v>1936</v>
      </c>
      <c r="H319" s="1">
        <v>44315</v>
      </c>
      <c r="I319" t="s">
        <v>1946</v>
      </c>
    </row>
    <row r="320" spans="1:9" x14ac:dyDescent="0.3">
      <c r="A320" s="1" t="s">
        <v>655</v>
      </c>
      <c r="B320" s="1" t="s">
        <v>3379</v>
      </c>
      <c r="C320" s="1" t="s">
        <v>3380</v>
      </c>
      <c r="D320" s="1" t="s">
        <v>3381</v>
      </c>
      <c r="E320" s="1" t="s">
        <v>3382</v>
      </c>
      <c r="F320" s="1" t="s">
        <v>3383</v>
      </c>
      <c r="G320" s="1" t="s">
        <v>1936</v>
      </c>
      <c r="H320" s="1">
        <v>33405</v>
      </c>
      <c r="I320" t="s">
        <v>1937</v>
      </c>
    </row>
    <row r="321" spans="1:9" x14ac:dyDescent="0.3">
      <c r="A321" s="1" t="s">
        <v>657</v>
      </c>
      <c r="B321" s="1" t="s">
        <v>3384</v>
      </c>
      <c r="C321" s="1" t="s">
        <v>3385</v>
      </c>
      <c r="D321" s="1"/>
      <c r="E321" s="1" t="s">
        <v>3386</v>
      </c>
      <c r="F321" s="1" t="s">
        <v>2350</v>
      </c>
      <c r="G321" s="1" t="s">
        <v>1936</v>
      </c>
      <c r="H321" s="1">
        <v>93715</v>
      </c>
      <c r="I321" t="s">
        <v>1937</v>
      </c>
    </row>
    <row r="322" spans="1:9" x14ac:dyDescent="0.3">
      <c r="A322" s="1" t="s">
        <v>3387</v>
      </c>
      <c r="B322" s="1" t="s">
        <v>3388</v>
      </c>
      <c r="C322" s="1" t="s">
        <v>3389</v>
      </c>
      <c r="D322" s="1" t="s">
        <v>3390</v>
      </c>
      <c r="E322" s="1" t="s">
        <v>3391</v>
      </c>
      <c r="F322" s="1" t="s">
        <v>3392</v>
      </c>
      <c r="G322" s="1" t="s">
        <v>1936</v>
      </c>
      <c r="H322" s="1">
        <v>52245</v>
      </c>
      <c r="I322" t="s">
        <v>1937</v>
      </c>
    </row>
    <row r="323" spans="1:9" x14ac:dyDescent="0.3">
      <c r="A323" s="1" t="s">
        <v>659</v>
      </c>
      <c r="B323" s="1" t="s">
        <v>3393</v>
      </c>
      <c r="C323" s="1" t="s">
        <v>3394</v>
      </c>
      <c r="D323" s="1" t="s">
        <v>3395</v>
      </c>
      <c r="E323" s="1" t="s">
        <v>3396</v>
      </c>
      <c r="F323" s="1" t="s">
        <v>3397</v>
      </c>
      <c r="G323" s="1" t="s">
        <v>1944</v>
      </c>
      <c r="H323" s="1" t="s">
        <v>2078</v>
      </c>
      <c r="I323" t="s">
        <v>1937</v>
      </c>
    </row>
    <row r="324" spans="1:9" x14ac:dyDescent="0.3">
      <c r="A324" s="1" t="s">
        <v>661</v>
      </c>
      <c r="B324" s="1" t="s">
        <v>3398</v>
      </c>
      <c r="C324" s="1" t="s">
        <v>3399</v>
      </c>
      <c r="D324" s="1" t="s">
        <v>3400</v>
      </c>
      <c r="E324" s="1" t="s">
        <v>3401</v>
      </c>
      <c r="F324" s="1" t="s">
        <v>3402</v>
      </c>
      <c r="G324" s="1" t="s">
        <v>1944</v>
      </c>
      <c r="H324" s="1" t="s">
        <v>2078</v>
      </c>
      <c r="I324" t="s">
        <v>1946</v>
      </c>
    </row>
    <row r="325" spans="1:9" x14ac:dyDescent="0.3">
      <c r="A325" s="1" t="s">
        <v>663</v>
      </c>
      <c r="B325" s="1" t="s">
        <v>3403</v>
      </c>
      <c r="C325" s="1" t="s">
        <v>3404</v>
      </c>
      <c r="D325" s="1" t="s">
        <v>3405</v>
      </c>
      <c r="E325" s="1" t="s">
        <v>3406</v>
      </c>
      <c r="F325" s="1" t="s">
        <v>3407</v>
      </c>
      <c r="G325" s="1" t="s">
        <v>1936</v>
      </c>
      <c r="H325" s="1">
        <v>37924</v>
      </c>
      <c r="I325" t="s">
        <v>1937</v>
      </c>
    </row>
    <row r="326" spans="1:9" x14ac:dyDescent="0.3">
      <c r="A326" s="1" t="s">
        <v>665</v>
      </c>
      <c r="B326" s="1" t="s">
        <v>3408</v>
      </c>
      <c r="C326" s="1"/>
      <c r="D326" s="1" t="s">
        <v>3409</v>
      </c>
      <c r="E326" s="1" t="s">
        <v>3410</v>
      </c>
      <c r="F326" s="1" t="s">
        <v>2983</v>
      </c>
      <c r="G326" s="1" t="s">
        <v>1936</v>
      </c>
      <c r="H326" s="1">
        <v>66276</v>
      </c>
      <c r="I326" t="s">
        <v>1946</v>
      </c>
    </row>
    <row r="327" spans="1:9" x14ac:dyDescent="0.3">
      <c r="A327" s="1" t="s">
        <v>667</v>
      </c>
      <c r="B327" s="1" t="s">
        <v>3411</v>
      </c>
      <c r="C327" s="1" t="s">
        <v>3412</v>
      </c>
      <c r="D327" s="1" t="s">
        <v>3413</v>
      </c>
      <c r="E327" s="1" t="s">
        <v>3414</v>
      </c>
      <c r="F327" s="1" t="s">
        <v>3085</v>
      </c>
      <c r="G327" s="1" t="s">
        <v>1936</v>
      </c>
      <c r="H327" s="1">
        <v>94132</v>
      </c>
      <c r="I327" t="s">
        <v>1937</v>
      </c>
    </row>
    <row r="328" spans="1:9" x14ac:dyDescent="0.3">
      <c r="A328" s="1" t="s">
        <v>669</v>
      </c>
      <c r="B328" s="1" t="s">
        <v>3415</v>
      </c>
      <c r="C328" s="1"/>
      <c r="D328" s="1" t="s">
        <v>3416</v>
      </c>
      <c r="E328" s="1" t="s">
        <v>3417</v>
      </c>
      <c r="F328" s="1" t="s">
        <v>2167</v>
      </c>
      <c r="G328" s="1" t="s">
        <v>1936</v>
      </c>
      <c r="H328" s="1">
        <v>35244</v>
      </c>
      <c r="I328" t="s">
        <v>1946</v>
      </c>
    </row>
    <row r="329" spans="1:9" x14ac:dyDescent="0.3">
      <c r="A329" s="1" t="s">
        <v>671</v>
      </c>
      <c r="B329" s="1" t="s">
        <v>3418</v>
      </c>
      <c r="C329" s="1" t="s">
        <v>3419</v>
      </c>
      <c r="D329" s="1" t="s">
        <v>3420</v>
      </c>
      <c r="E329" s="1" t="s">
        <v>3421</v>
      </c>
      <c r="F329" s="1" t="s">
        <v>2771</v>
      </c>
      <c r="G329" s="1" t="s">
        <v>1936</v>
      </c>
      <c r="H329" s="1">
        <v>11215</v>
      </c>
      <c r="I329" t="s">
        <v>1937</v>
      </c>
    </row>
    <row r="330" spans="1:9" x14ac:dyDescent="0.3">
      <c r="A330" s="1" t="s">
        <v>673</v>
      </c>
      <c r="B330" s="1" t="s">
        <v>3422</v>
      </c>
      <c r="C330" s="1"/>
      <c r="D330" s="1" t="s">
        <v>3423</v>
      </c>
      <c r="E330" s="1" t="s">
        <v>3424</v>
      </c>
      <c r="F330" s="1" t="s">
        <v>2443</v>
      </c>
      <c r="G330" s="1" t="s">
        <v>1936</v>
      </c>
      <c r="H330" s="1">
        <v>79934</v>
      </c>
      <c r="I330" t="s">
        <v>1937</v>
      </c>
    </row>
    <row r="331" spans="1:9" x14ac:dyDescent="0.3">
      <c r="A331" s="1" t="s">
        <v>675</v>
      </c>
      <c r="B331" s="1" t="s">
        <v>3425</v>
      </c>
      <c r="C331" s="1" t="s">
        <v>3426</v>
      </c>
      <c r="D331" s="1"/>
      <c r="E331" s="1" t="s">
        <v>3427</v>
      </c>
      <c r="F331" s="1" t="s">
        <v>2994</v>
      </c>
      <c r="G331" s="1" t="s">
        <v>1936</v>
      </c>
      <c r="H331" s="1">
        <v>94250</v>
      </c>
      <c r="I331" t="s">
        <v>1937</v>
      </c>
    </row>
    <row r="332" spans="1:9" x14ac:dyDescent="0.3">
      <c r="A332" s="1" t="s">
        <v>3428</v>
      </c>
      <c r="B332" s="1" t="s">
        <v>3429</v>
      </c>
      <c r="C332" s="1" t="s">
        <v>3430</v>
      </c>
      <c r="D332" s="1" t="s">
        <v>3431</v>
      </c>
      <c r="E332" s="1" t="s">
        <v>3432</v>
      </c>
      <c r="F332" s="1" t="s">
        <v>2181</v>
      </c>
      <c r="G332" s="1" t="s">
        <v>1936</v>
      </c>
      <c r="H332" s="1">
        <v>20220</v>
      </c>
      <c r="I332" t="s">
        <v>1946</v>
      </c>
    </row>
    <row r="333" spans="1:9" x14ac:dyDescent="0.3">
      <c r="A333" s="1" t="s">
        <v>678</v>
      </c>
      <c r="B333" s="1" t="s">
        <v>3433</v>
      </c>
      <c r="C333" s="1" t="s">
        <v>3434</v>
      </c>
      <c r="D333" s="1" t="s">
        <v>3435</v>
      </c>
      <c r="E333" s="1" t="s">
        <v>3436</v>
      </c>
      <c r="F333" s="1" t="s">
        <v>3437</v>
      </c>
      <c r="G333" s="1" t="s">
        <v>1936</v>
      </c>
      <c r="H333" s="1">
        <v>33436</v>
      </c>
      <c r="I333" t="s">
        <v>1937</v>
      </c>
    </row>
    <row r="334" spans="1:9" x14ac:dyDescent="0.3">
      <c r="A334" s="1" t="s">
        <v>680</v>
      </c>
      <c r="B334" s="1" t="s">
        <v>3438</v>
      </c>
      <c r="C334" s="1" t="s">
        <v>3439</v>
      </c>
      <c r="D334" s="1" t="s">
        <v>3440</v>
      </c>
      <c r="E334" s="1" t="s">
        <v>3441</v>
      </c>
      <c r="F334" s="1" t="s">
        <v>1981</v>
      </c>
      <c r="G334" s="1" t="s">
        <v>1936</v>
      </c>
      <c r="H334" s="1">
        <v>90094</v>
      </c>
      <c r="I334" t="s">
        <v>1937</v>
      </c>
    </row>
    <row r="335" spans="1:9" x14ac:dyDescent="0.3">
      <c r="A335" s="1" t="s">
        <v>682</v>
      </c>
      <c r="B335" s="1" t="s">
        <v>3442</v>
      </c>
      <c r="C335" s="1" t="s">
        <v>3443</v>
      </c>
      <c r="D335" s="1" t="s">
        <v>3444</v>
      </c>
      <c r="E335" s="1" t="s">
        <v>3445</v>
      </c>
      <c r="F335" s="1" t="s">
        <v>3311</v>
      </c>
      <c r="G335" s="1" t="s">
        <v>1936</v>
      </c>
      <c r="H335" s="1">
        <v>21275</v>
      </c>
      <c r="I335" t="s">
        <v>1937</v>
      </c>
    </row>
    <row r="336" spans="1:9" x14ac:dyDescent="0.3">
      <c r="A336" s="1" t="s">
        <v>684</v>
      </c>
      <c r="B336" s="1" t="s">
        <v>3446</v>
      </c>
      <c r="C336" s="1"/>
      <c r="D336" s="1"/>
      <c r="E336" s="1" t="s">
        <v>3447</v>
      </c>
      <c r="F336" s="1" t="s">
        <v>2933</v>
      </c>
      <c r="G336" s="1" t="s">
        <v>1936</v>
      </c>
      <c r="H336" s="1">
        <v>84125</v>
      </c>
      <c r="I336" t="s">
        <v>1946</v>
      </c>
    </row>
    <row r="337" spans="1:9" x14ac:dyDescent="0.3">
      <c r="A337" s="1" t="s">
        <v>686</v>
      </c>
      <c r="B337" s="1" t="s">
        <v>3448</v>
      </c>
      <c r="C337" s="1" t="s">
        <v>3449</v>
      </c>
      <c r="D337" s="1" t="s">
        <v>3450</v>
      </c>
      <c r="E337" s="1" t="s">
        <v>3451</v>
      </c>
      <c r="F337" s="1" t="s">
        <v>2786</v>
      </c>
      <c r="G337" s="1" t="s">
        <v>1936</v>
      </c>
      <c r="H337" s="1">
        <v>75049</v>
      </c>
      <c r="I337" t="s">
        <v>1937</v>
      </c>
    </row>
    <row r="338" spans="1:9" x14ac:dyDescent="0.3">
      <c r="A338" s="1" t="s">
        <v>688</v>
      </c>
      <c r="B338" s="1" t="s">
        <v>3452</v>
      </c>
      <c r="C338" s="1" t="s">
        <v>3453</v>
      </c>
      <c r="D338" s="1" t="s">
        <v>3454</v>
      </c>
      <c r="E338" s="1" t="s">
        <v>3455</v>
      </c>
      <c r="F338" s="1" t="s">
        <v>3456</v>
      </c>
      <c r="G338" s="1" t="s">
        <v>2111</v>
      </c>
      <c r="H338" s="1" t="s">
        <v>3457</v>
      </c>
      <c r="I338" t="s">
        <v>1946</v>
      </c>
    </row>
    <row r="339" spans="1:9" x14ac:dyDescent="0.3">
      <c r="A339" s="1" t="s">
        <v>3458</v>
      </c>
      <c r="B339" s="1" t="s">
        <v>3459</v>
      </c>
      <c r="C339" s="1"/>
      <c r="D339" s="1" t="s">
        <v>3460</v>
      </c>
      <c r="E339" s="1" t="s">
        <v>3461</v>
      </c>
      <c r="F339" s="1" t="s">
        <v>2282</v>
      </c>
      <c r="G339" s="1" t="s">
        <v>1936</v>
      </c>
      <c r="H339" s="1">
        <v>43240</v>
      </c>
      <c r="I339" t="s">
        <v>1946</v>
      </c>
    </row>
    <row r="340" spans="1:9" x14ac:dyDescent="0.3">
      <c r="A340" s="1" t="s">
        <v>691</v>
      </c>
      <c r="B340" s="1" t="s">
        <v>3462</v>
      </c>
      <c r="C340" s="1" t="s">
        <v>3463</v>
      </c>
      <c r="D340" s="1" t="s">
        <v>3464</v>
      </c>
      <c r="E340" s="1" t="s">
        <v>3465</v>
      </c>
      <c r="F340" s="1" t="s">
        <v>2032</v>
      </c>
      <c r="G340" s="1" t="s">
        <v>1936</v>
      </c>
      <c r="H340" s="1">
        <v>10184</v>
      </c>
      <c r="I340" t="s">
        <v>1946</v>
      </c>
    </row>
    <row r="341" spans="1:9" x14ac:dyDescent="0.3">
      <c r="A341" s="1" t="s">
        <v>693</v>
      </c>
      <c r="B341" s="1" t="s">
        <v>3466</v>
      </c>
      <c r="C341" s="1" t="s">
        <v>3467</v>
      </c>
      <c r="D341" s="1" t="s">
        <v>3468</v>
      </c>
      <c r="E341" s="1" t="s">
        <v>3469</v>
      </c>
      <c r="F341" s="1" t="s">
        <v>2153</v>
      </c>
      <c r="G341" s="1" t="s">
        <v>1936</v>
      </c>
      <c r="H341" s="1">
        <v>2216</v>
      </c>
      <c r="I341" t="s">
        <v>1937</v>
      </c>
    </row>
    <row r="342" spans="1:9" x14ac:dyDescent="0.3">
      <c r="A342" s="1" t="s">
        <v>695</v>
      </c>
      <c r="B342" s="1" t="s">
        <v>3470</v>
      </c>
      <c r="C342" s="1" t="s">
        <v>3471</v>
      </c>
      <c r="D342" s="1" t="s">
        <v>3472</v>
      </c>
      <c r="E342" s="1" t="s">
        <v>3473</v>
      </c>
      <c r="F342" s="1" t="s">
        <v>3085</v>
      </c>
      <c r="G342" s="1" t="s">
        <v>1936</v>
      </c>
      <c r="H342" s="1">
        <v>94132</v>
      </c>
      <c r="I342" t="s">
        <v>1937</v>
      </c>
    </row>
    <row r="343" spans="1:9" x14ac:dyDescent="0.3">
      <c r="A343" s="1" t="s">
        <v>697</v>
      </c>
      <c r="B343" s="1" t="s">
        <v>3474</v>
      </c>
      <c r="C343" s="1" t="s">
        <v>3475</v>
      </c>
      <c r="D343" s="1" t="s">
        <v>3476</v>
      </c>
      <c r="E343" s="1" t="s">
        <v>3477</v>
      </c>
      <c r="F343" s="1" t="s">
        <v>3478</v>
      </c>
      <c r="G343" s="1" t="s">
        <v>1936</v>
      </c>
      <c r="H343" s="1">
        <v>46295</v>
      </c>
      <c r="I343" t="s">
        <v>1946</v>
      </c>
    </row>
    <row r="344" spans="1:9" x14ac:dyDescent="0.3">
      <c r="A344" s="1" t="s">
        <v>3479</v>
      </c>
      <c r="B344" s="1" t="s">
        <v>3480</v>
      </c>
      <c r="C344" s="1" t="s">
        <v>3481</v>
      </c>
      <c r="D344" s="1"/>
      <c r="E344" s="1" t="s">
        <v>3482</v>
      </c>
      <c r="F344" s="1" t="s">
        <v>3483</v>
      </c>
      <c r="G344" s="1" t="s">
        <v>1936</v>
      </c>
      <c r="H344" s="1">
        <v>32209</v>
      </c>
      <c r="I344" t="s">
        <v>1946</v>
      </c>
    </row>
    <row r="345" spans="1:9" x14ac:dyDescent="0.3">
      <c r="A345" s="1" t="s">
        <v>699</v>
      </c>
      <c r="B345" s="1" t="s">
        <v>3484</v>
      </c>
      <c r="C345" s="1" t="s">
        <v>3485</v>
      </c>
      <c r="D345" s="1"/>
      <c r="E345" s="1" t="s">
        <v>3486</v>
      </c>
      <c r="F345" s="1" t="s">
        <v>3487</v>
      </c>
      <c r="G345" s="1" t="s">
        <v>1936</v>
      </c>
      <c r="H345" s="1">
        <v>98148</v>
      </c>
      <c r="I345" t="s">
        <v>1946</v>
      </c>
    </row>
    <row r="346" spans="1:9" x14ac:dyDescent="0.3">
      <c r="A346" s="1" t="s">
        <v>701</v>
      </c>
      <c r="B346" s="1" t="s">
        <v>3488</v>
      </c>
      <c r="C346" s="1"/>
      <c r="D346" s="1" t="s">
        <v>3489</v>
      </c>
      <c r="E346" s="1" t="s">
        <v>3490</v>
      </c>
      <c r="F346" s="1" t="s">
        <v>3491</v>
      </c>
      <c r="G346" s="1" t="s">
        <v>1944</v>
      </c>
      <c r="H346" s="1" t="s">
        <v>3492</v>
      </c>
      <c r="I346" t="s">
        <v>1937</v>
      </c>
    </row>
    <row r="347" spans="1:9" x14ac:dyDescent="0.3">
      <c r="A347" s="1" t="s">
        <v>703</v>
      </c>
      <c r="B347" s="1" t="s">
        <v>3493</v>
      </c>
      <c r="C347" s="1" t="s">
        <v>3494</v>
      </c>
      <c r="D347" s="1" t="s">
        <v>3495</v>
      </c>
      <c r="E347" s="1" t="s">
        <v>3496</v>
      </c>
      <c r="F347" s="1" t="s">
        <v>2739</v>
      </c>
      <c r="G347" s="1" t="s">
        <v>1936</v>
      </c>
      <c r="H347" s="1">
        <v>36109</v>
      </c>
      <c r="I347" t="s">
        <v>1946</v>
      </c>
    </row>
    <row r="348" spans="1:9" x14ac:dyDescent="0.3">
      <c r="A348" s="1" t="s">
        <v>705</v>
      </c>
      <c r="B348" s="1" t="s">
        <v>3497</v>
      </c>
      <c r="C348" s="1" t="s">
        <v>3498</v>
      </c>
      <c r="D348" s="1" t="s">
        <v>3499</v>
      </c>
      <c r="E348" s="1" t="s">
        <v>3500</v>
      </c>
      <c r="F348" s="1" t="s">
        <v>2320</v>
      </c>
      <c r="G348" s="1" t="s">
        <v>1936</v>
      </c>
      <c r="H348" s="1">
        <v>75372</v>
      </c>
      <c r="I348" t="s">
        <v>1937</v>
      </c>
    </row>
    <row r="349" spans="1:9" x14ac:dyDescent="0.3">
      <c r="A349" s="1" t="s">
        <v>707</v>
      </c>
      <c r="B349" s="1" t="s">
        <v>3501</v>
      </c>
      <c r="C349" s="1" t="s">
        <v>3502</v>
      </c>
      <c r="D349" s="1" t="s">
        <v>3503</v>
      </c>
      <c r="E349" s="1" t="s">
        <v>3504</v>
      </c>
      <c r="F349" s="1" t="s">
        <v>3505</v>
      </c>
      <c r="G349" s="1" t="s">
        <v>1936</v>
      </c>
      <c r="H349" s="1">
        <v>66622</v>
      </c>
      <c r="I349" t="s">
        <v>1946</v>
      </c>
    </row>
    <row r="350" spans="1:9" x14ac:dyDescent="0.3">
      <c r="A350" s="1" t="s">
        <v>709</v>
      </c>
      <c r="B350" s="1" t="s">
        <v>3506</v>
      </c>
      <c r="C350" s="1" t="s">
        <v>3507</v>
      </c>
      <c r="D350" s="1" t="s">
        <v>3508</v>
      </c>
      <c r="E350" s="1" t="s">
        <v>3509</v>
      </c>
      <c r="F350" s="1" t="s">
        <v>3510</v>
      </c>
      <c r="G350" s="1" t="s">
        <v>1936</v>
      </c>
      <c r="H350" s="1">
        <v>75799</v>
      </c>
      <c r="I350" t="s">
        <v>1946</v>
      </c>
    </row>
    <row r="351" spans="1:9" x14ac:dyDescent="0.3">
      <c r="A351" s="1" t="s">
        <v>711</v>
      </c>
      <c r="B351" s="1" t="s">
        <v>3511</v>
      </c>
      <c r="C351" s="1" t="s">
        <v>3512</v>
      </c>
      <c r="D351" s="1" t="s">
        <v>3513</v>
      </c>
      <c r="E351" s="1" t="s">
        <v>3514</v>
      </c>
      <c r="F351" s="1" t="s">
        <v>1981</v>
      </c>
      <c r="G351" s="1" t="s">
        <v>1936</v>
      </c>
      <c r="H351" s="1">
        <v>90065</v>
      </c>
      <c r="I351" t="s">
        <v>1946</v>
      </c>
    </row>
    <row r="352" spans="1:9" x14ac:dyDescent="0.3">
      <c r="A352" s="1" t="s">
        <v>713</v>
      </c>
      <c r="B352" s="1" t="s">
        <v>3515</v>
      </c>
      <c r="C352" s="1" t="s">
        <v>3516</v>
      </c>
      <c r="D352" s="1" t="s">
        <v>3517</v>
      </c>
      <c r="E352" s="1" t="s">
        <v>3518</v>
      </c>
      <c r="F352" s="1" t="s">
        <v>3519</v>
      </c>
      <c r="G352" s="1" t="s">
        <v>1936</v>
      </c>
      <c r="H352" s="1">
        <v>71137</v>
      </c>
      <c r="I352" t="s">
        <v>1946</v>
      </c>
    </row>
    <row r="353" spans="1:9" x14ac:dyDescent="0.3">
      <c r="A353" s="1" t="s">
        <v>715</v>
      </c>
      <c r="B353" s="1" t="s">
        <v>3520</v>
      </c>
      <c r="C353" s="1" t="s">
        <v>3521</v>
      </c>
      <c r="D353" s="1" t="s">
        <v>3522</v>
      </c>
      <c r="E353" s="1" t="s">
        <v>3523</v>
      </c>
      <c r="F353" s="1" t="s">
        <v>3524</v>
      </c>
      <c r="G353" s="1" t="s">
        <v>1936</v>
      </c>
      <c r="H353" s="1">
        <v>83722</v>
      </c>
      <c r="I353" t="s">
        <v>1946</v>
      </c>
    </row>
    <row r="354" spans="1:9" x14ac:dyDescent="0.3">
      <c r="A354" s="1" t="s">
        <v>3525</v>
      </c>
      <c r="B354" s="1" t="s">
        <v>3526</v>
      </c>
      <c r="C354" s="1" t="s">
        <v>3527</v>
      </c>
      <c r="D354" s="1" t="s">
        <v>3528</v>
      </c>
      <c r="E354" s="1" t="s">
        <v>3529</v>
      </c>
      <c r="F354" s="1" t="s">
        <v>2172</v>
      </c>
      <c r="G354" s="1" t="s">
        <v>1936</v>
      </c>
      <c r="H354" s="1">
        <v>92415</v>
      </c>
      <c r="I354" t="s">
        <v>1946</v>
      </c>
    </row>
    <row r="355" spans="1:9" x14ac:dyDescent="0.3">
      <c r="A355" s="1" t="s">
        <v>718</v>
      </c>
      <c r="B355" s="1" t="s">
        <v>3530</v>
      </c>
      <c r="C355" s="1"/>
      <c r="D355" s="1" t="s">
        <v>3531</v>
      </c>
      <c r="E355" s="1" t="s">
        <v>3532</v>
      </c>
      <c r="F355" s="1" t="s">
        <v>2739</v>
      </c>
      <c r="G355" s="1" t="s">
        <v>1936</v>
      </c>
      <c r="H355" s="1">
        <v>36177</v>
      </c>
      <c r="I355" t="s">
        <v>1937</v>
      </c>
    </row>
    <row r="356" spans="1:9" x14ac:dyDescent="0.3">
      <c r="A356" s="1" t="s">
        <v>720</v>
      </c>
      <c r="B356" s="1" t="s">
        <v>3533</v>
      </c>
      <c r="C356" s="1" t="s">
        <v>3534</v>
      </c>
      <c r="D356" s="1"/>
      <c r="E356" s="1" t="s">
        <v>3535</v>
      </c>
      <c r="F356" s="1" t="s">
        <v>3536</v>
      </c>
      <c r="G356" s="1" t="s">
        <v>1936</v>
      </c>
      <c r="H356" s="1">
        <v>34981</v>
      </c>
      <c r="I356" t="s">
        <v>1946</v>
      </c>
    </row>
    <row r="357" spans="1:9" x14ac:dyDescent="0.3">
      <c r="A357" s="1" t="s">
        <v>722</v>
      </c>
      <c r="B357" s="1" t="s">
        <v>3537</v>
      </c>
      <c r="C357" s="1" t="s">
        <v>3538</v>
      </c>
      <c r="D357" s="1" t="s">
        <v>3539</v>
      </c>
      <c r="E357" s="1" t="s">
        <v>3540</v>
      </c>
      <c r="F357" s="1" t="s">
        <v>2689</v>
      </c>
      <c r="G357" s="1" t="s">
        <v>1936</v>
      </c>
      <c r="H357" s="1">
        <v>27415</v>
      </c>
      <c r="I357" t="s">
        <v>1937</v>
      </c>
    </row>
    <row r="358" spans="1:9" x14ac:dyDescent="0.3">
      <c r="A358" s="1" t="s">
        <v>724</v>
      </c>
      <c r="B358" s="1" t="s">
        <v>3541</v>
      </c>
      <c r="C358" s="1" t="s">
        <v>3542</v>
      </c>
      <c r="D358" s="1" t="s">
        <v>3543</v>
      </c>
      <c r="E358" s="1" t="s">
        <v>3544</v>
      </c>
      <c r="F358" s="1" t="s">
        <v>2994</v>
      </c>
      <c r="G358" s="1" t="s">
        <v>1936</v>
      </c>
      <c r="H358" s="1">
        <v>94237</v>
      </c>
      <c r="I358" t="s">
        <v>1937</v>
      </c>
    </row>
    <row r="359" spans="1:9" x14ac:dyDescent="0.3">
      <c r="A359" s="1" t="s">
        <v>726</v>
      </c>
      <c r="B359" s="1" t="s">
        <v>3545</v>
      </c>
      <c r="C359" s="1"/>
      <c r="D359" s="1" t="s">
        <v>3546</v>
      </c>
      <c r="E359" s="1" t="s">
        <v>3547</v>
      </c>
      <c r="F359" s="1" t="s">
        <v>3548</v>
      </c>
      <c r="G359" s="1" t="s">
        <v>1936</v>
      </c>
      <c r="H359" s="1">
        <v>78682</v>
      </c>
      <c r="I359" t="s">
        <v>1946</v>
      </c>
    </row>
    <row r="360" spans="1:9" x14ac:dyDescent="0.3">
      <c r="A360" s="1" t="s">
        <v>728</v>
      </c>
      <c r="B360" s="1" t="s">
        <v>3549</v>
      </c>
      <c r="C360" s="1" t="s">
        <v>3550</v>
      </c>
      <c r="D360" s="1" t="s">
        <v>3551</v>
      </c>
      <c r="E360" s="1" t="s">
        <v>3552</v>
      </c>
      <c r="F360" s="1" t="s">
        <v>3553</v>
      </c>
      <c r="G360" s="1" t="s">
        <v>1936</v>
      </c>
      <c r="H360" s="1">
        <v>22096</v>
      </c>
      <c r="I360" t="s">
        <v>1946</v>
      </c>
    </row>
    <row r="361" spans="1:9" x14ac:dyDescent="0.3">
      <c r="A361" s="1" t="s">
        <v>730</v>
      </c>
      <c r="B361" s="1" t="s">
        <v>3554</v>
      </c>
      <c r="C361" s="1" t="s">
        <v>3555</v>
      </c>
      <c r="D361" s="1" t="s">
        <v>3556</v>
      </c>
      <c r="E361" s="1" t="s">
        <v>3557</v>
      </c>
      <c r="F361" s="1" t="s">
        <v>3558</v>
      </c>
      <c r="G361" s="1" t="s">
        <v>2111</v>
      </c>
      <c r="H361" s="1" t="s">
        <v>3559</v>
      </c>
      <c r="I361" t="s">
        <v>1946</v>
      </c>
    </row>
    <row r="362" spans="1:9" x14ac:dyDescent="0.3">
      <c r="A362" s="1" t="s">
        <v>732</v>
      </c>
      <c r="B362" s="1" t="s">
        <v>3560</v>
      </c>
      <c r="C362" s="1" t="s">
        <v>3561</v>
      </c>
      <c r="D362" s="1" t="s">
        <v>3562</v>
      </c>
      <c r="E362" s="1" t="s">
        <v>3563</v>
      </c>
      <c r="F362" s="1" t="s">
        <v>3212</v>
      </c>
      <c r="G362" s="1" t="s">
        <v>1936</v>
      </c>
      <c r="H362" s="1">
        <v>29220</v>
      </c>
      <c r="I362" t="s">
        <v>1946</v>
      </c>
    </row>
    <row r="363" spans="1:9" x14ac:dyDescent="0.3">
      <c r="A363" s="1" t="s">
        <v>3564</v>
      </c>
      <c r="B363" s="1" t="s">
        <v>3565</v>
      </c>
      <c r="C363" s="1" t="s">
        <v>3566</v>
      </c>
      <c r="D363" s="1" t="s">
        <v>3567</v>
      </c>
      <c r="E363" s="1" t="s">
        <v>3568</v>
      </c>
      <c r="F363" s="1" t="s">
        <v>2501</v>
      </c>
      <c r="G363" s="1" t="s">
        <v>1936</v>
      </c>
      <c r="H363" s="1">
        <v>37215</v>
      </c>
      <c r="I363" t="s">
        <v>1937</v>
      </c>
    </row>
    <row r="364" spans="1:9" x14ac:dyDescent="0.3">
      <c r="A364" s="1" t="s">
        <v>734</v>
      </c>
      <c r="B364" s="1" t="s">
        <v>3569</v>
      </c>
      <c r="C364" s="1" t="s">
        <v>3570</v>
      </c>
      <c r="D364" s="1" t="s">
        <v>3571</v>
      </c>
      <c r="E364" s="1" t="s">
        <v>3572</v>
      </c>
      <c r="F364" s="1" t="s">
        <v>3094</v>
      </c>
      <c r="G364" s="1" t="s">
        <v>1936</v>
      </c>
      <c r="H364" s="1">
        <v>85025</v>
      </c>
      <c r="I364" t="s">
        <v>1937</v>
      </c>
    </row>
    <row r="365" spans="1:9" x14ac:dyDescent="0.3">
      <c r="A365" s="1" t="s">
        <v>736</v>
      </c>
      <c r="B365" s="1" t="s">
        <v>3573</v>
      </c>
      <c r="C365" s="1" t="s">
        <v>3574</v>
      </c>
      <c r="D365" s="1"/>
      <c r="E365" s="1" t="s">
        <v>3575</v>
      </c>
      <c r="F365" s="1" t="s">
        <v>3576</v>
      </c>
      <c r="G365" s="1" t="s">
        <v>1936</v>
      </c>
      <c r="H365" s="1">
        <v>33233</v>
      </c>
      <c r="I365" t="s">
        <v>1946</v>
      </c>
    </row>
    <row r="366" spans="1:9" x14ac:dyDescent="0.3">
      <c r="A366" s="1" t="s">
        <v>738</v>
      </c>
      <c r="B366" s="1" t="s">
        <v>3577</v>
      </c>
      <c r="C366" s="1" t="s">
        <v>3578</v>
      </c>
      <c r="D366" s="1" t="s">
        <v>3579</v>
      </c>
      <c r="E366" s="1" t="s">
        <v>3580</v>
      </c>
      <c r="F366" s="1" t="s">
        <v>2350</v>
      </c>
      <c r="G366" s="1" t="s">
        <v>1936</v>
      </c>
      <c r="H366" s="1">
        <v>93762</v>
      </c>
      <c r="I366" t="s">
        <v>1937</v>
      </c>
    </row>
    <row r="367" spans="1:9" x14ac:dyDescent="0.3">
      <c r="A367" s="1" t="s">
        <v>740</v>
      </c>
      <c r="B367" s="1" t="s">
        <v>3581</v>
      </c>
      <c r="C367" s="1" t="s">
        <v>3582</v>
      </c>
      <c r="D367" s="1"/>
      <c r="E367" s="1" t="s">
        <v>3583</v>
      </c>
      <c r="F367" s="1" t="s">
        <v>3584</v>
      </c>
      <c r="G367" s="1" t="s">
        <v>1936</v>
      </c>
      <c r="H367" s="1">
        <v>92825</v>
      </c>
      <c r="I367" t="s">
        <v>1946</v>
      </c>
    </row>
    <row r="368" spans="1:9" x14ac:dyDescent="0.3">
      <c r="A368" s="1" t="s">
        <v>742</v>
      </c>
      <c r="B368" s="1" t="s">
        <v>3585</v>
      </c>
      <c r="C368" s="1"/>
      <c r="D368" s="1" t="s">
        <v>3586</v>
      </c>
      <c r="E368" s="1" t="s">
        <v>3587</v>
      </c>
      <c r="F368" s="1" t="s">
        <v>2525</v>
      </c>
      <c r="G368" s="1" t="s">
        <v>1936</v>
      </c>
      <c r="H368" s="1">
        <v>23605</v>
      </c>
      <c r="I368" t="s">
        <v>1946</v>
      </c>
    </row>
    <row r="369" spans="1:9" x14ac:dyDescent="0.3">
      <c r="A369" s="1" t="s">
        <v>744</v>
      </c>
      <c r="B369" s="1" t="s">
        <v>3588</v>
      </c>
      <c r="C369" s="1"/>
      <c r="D369" s="1"/>
      <c r="E369" s="1" t="s">
        <v>3589</v>
      </c>
      <c r="F369" s="1" t="s">
        <v>2881</v>
      </c>
      <c r="G369" s="1" t="s">
        <v>1936</v>
      </c>
      <c r="H369" s="1">
        <v>29305</v>
      </c>
      <c r="I369" t="s">
        <v>1937</v>
      </c>
    </row>
    <row r="370" spans="1:9" x14ac:dyDescent="0.3">
      <c r="A370" s="1" t="s">
        <v>746</v>
      </c>
      <c r="B370" s="1" t="s">
        <v>3590</v>
      </c>
      <c r="C370" s="1" t="s">
        <v>3591</v>
      </c>
      <c r="D370" s="1" t="s">
        <v>3592</v>
      </c>
      <c r="E370" s="1" t="s">
        <v>3593</v>
      </c>
      <c r="F370" s="1" t="s">
        <v>2885</v>
      </c>
      <c r="G370" s="1" t="s">
        <v>1936</v>
      </c>
      <c r="H370" s="1">
        <v>10305</v>
      </c>
      <c r="I370" t="s">
        <v>1946</v>
      </c>
    </row>
    <row r="371" spans="1:9" x14ac:dyDescent="0.3">
      <c r="A371" s="1" t="s">
        <v>748</v>
      </c>
      <c r="B371" s="1" t="s">
        <v>3594</v>
      </c>
      <c r="C371" s="1"/>
      <c r="D371" s="1"/>
      <c r="E371" s="1" t="s">
        <v>3595</v>
      </c>
      <c r="F371" s="1" t="s">
        <v>3365</v>
      </c>
      <c r="G371" s="1" t="s">
        <v>1936</v>
      </c>
      <c r="H371" s="1">
        <v>89115</v>
      </c>
      <c r="I371" t="s">
        <v>1937</v>
      </c>
    </row>
    <row r="372" spans="1:9" x14ac:dyDescent="0.3">
      <c r="A372" s="1" t="s">
        <v>750</v>
      </c>
      <c r="B372" s="1" t="s">
        <v>3596</v>
      </c>
      <c r="C372" s="1" t="s">
        <v>3597</v>
      </c>
      <c r="D372" s="1" t="s">
        <v>3598</v>
      </c>
      <c r="E372" s="1" t="s">
        <v>3599</v>
      </c>
      <c r="F372" s="1" t="s">
        <v>2933</v>
      </c>
      <c r="G372" s="1" t="s">
        <v>1936</v>
      </c>
      <c r="H372" s="1">
        <v>84105</v>
      </c>
      <c r="I372" t="s">
        <v>1937</v>
      </c>
    </row>
    <row r="373" spans="1:9" x14ac:dyDescent="0.3">
      <c r="A373" s="1" t="s">
        <v>752</v>
      </c>
      <c r="B373" s="1" t="s">
        <v>3600</v>
      </c>
      <c r="C373" s="1" t="s">
        <v>3601</v>
      </c>
      <c r="D373" s="1" t="s">
        <v>3602</v>
      </c>
      <c r="E373" s="1" t="s">
        <v>3603</v>
      </c>
      <c r="F373" s="1" t="s">
        <v>3487</v>
      </c>
      <c r="G373" s="1" t="s">
        <v>1936</v>
      </c>
      <c r="H373" s="1">
        <v>98109</v>
      </c>
      <c r="I373" t="s">
        <v>1937</v>
      </c>
    </row>
    <row r="374" spans="1:9" x14ac:dyDescent="0.3">
      <c r="A374" s="1" t="s">
        <v>754</v>
      </c>
      <c r="B374" s="1" t="s">
        <v>3604</v>
      </c>
      <c r="C374" s="1" t="s">
        <v>3605</v>
      </c>
      <c r="D374" s="1" t="s">
        <v>3606</v>
      </c>
      <c r="E374" s="1" t="s">
        <v>3607</v>
      </c>
      <c r="F374" s="1" t="s">
        <v>3608</v>
      </c>
      <c r="G374" s="1" t="s">
        <v>1936</v>
      </c>
      <c r="H374" s="1">
        <v>79764</v>
      </c>
      <c r="I374" t="s">
        <v>1946</v>
      </c>
    </row>
    <row r="375" spans="1:9" x14ac:dyDescent="0.3">
      <c r="A375" s="1" t="s">
        <v>756</v>
      </c>
      <c r="B375" s="1" t="s">
        <v>3609</v>
      </c>
      <c r="C375" s="1"/>
      <c r="D375" s="1" t="s">
        <v>3610</v>
      </c>
      <c r="E375" s="1" t="s">
        <v>3611</v>
      </c>
      <c r="F375" s="1" t="s">
        <v>3612</v>
      </c>
      <c r="G375" s="1" t="s">
        <v>1944</v>
      </c>
      <c r="H375" s="1" t="s">
        <v>3613</v>
      </c>
      <c r="I375" t="s">
        <v>1937</v>
      </c>
    </row>
    <row r="376" spans="1:9" x14ac:dyDescent="0.3">
      <c r="A376" s="1" t="s">
        <v>758</v>
      </c>
      <c r="B376" s="1" t="s">
        <v>3614</v>
      </c>
      <c r="C376" s="1" t="s">
        <v>3615</v>
      </c>
      <c r="D376" s="1" t="s">
        <v>3616</v>
      </c>
      <c r="E376" s="1" t="s">
        <v>3617</v>
      </c>
      <c r="F376" s="1" t="s">
        <v>3618</v>
      </c>
      <c r="G376" s="1" t="s">
        <v>1936</v>
      </c>
      <c r="H376" s="1">
        <v>75037</v>
      </c>
      <c r="I376" t="s">
        <v>1937</v>
      </c>
    </row>
    <row r="377" spans="1:9" x14ac:dyDescent="0.3">
      <c r="A377" s="1" t="s">
        <v>760</v>
      </c>
      <c r="B377" s="1" t="s">
        <v>3619</v>
      </c>
      <c r="C377" s="1" t="s">
        <v>3620</v>
      </c>
      <c r="D377" s="1" t="s">
        <v>3621</v>
      </c>
      <c r="E377" s="1" t="s">
        <v>3622</v>
      </c>
      <c r="F377" s="1" t="s">
        <v>1971</v>
      </c>
      <c r="G377" s="1" t="s">
        <v>1936</v>
      </c>
      <c r="H377" s="1">
        <v>45426</v>
      </c>
      <c r="I377" t="s">
        <v>1937</v>
      </c>
    </row>
    <row r="378" spans="1:9" x14ac:dyDescent="0.3">
      <c r="A378" s="1" t="s">
        <v>762</v>
      </c>
      <c r="B378" s="1" t="s">
        <v>3623</v>
      </c>
      <c r="C378" s="1" t="s">
        <v>3624</v>
      </c>
      <c r="D378" s="1" t="s">
        <v>3625</v>
      </c>
      <c r="E378" s="1" t="s">
        <v>3626</v>
      </c>
      <c r="F378" s="1" t="s">
        <v>2043</v>
      </c>
      <c r="G378" s="1" t="s">
        <v>1936</v>
      </c>
      <c r="H378" s="1">
        <v>49560</v>
      </c>
      <c r="I378" t="s">
        <v>1937</v>
      </c>
    </row>
    <row r="379" spans="1:9" x14ac:dyDescent="0.3">
      <c r="A379" s="1" t="s">
        <v>764</v>
      </c>
      <c r="B379" s="1" t="s">
        <v>3627</v>
      </c>
      <c r="C379" s="1" t="s">
        <v>3628</v>
      </c>
      <c r="D379" s="1" t="s">
        <v>3629</v>
      </c>
      <c r="E379" s="1" t="s">
        <v>3630</v>
      </c>
      <c r="F379" s="1" t="s">
        <v>2928</v>
      </c>
      <c r="G379" s="1" t="s">
        <v>1944</v>
      </c>
      <c r="H379" s="1" t="s">
        <v>2078</v>
      </c>
      <c r="I379" t="s">
        <v>1946</v>
      </c>
    </row>
    <row r="380" spans="1:9" x14ac:dyDescent="0.3">
      <c r="A380" s="1" t="s">
        <v>766</v>
      </c>
      <c r="B380" s="1" t="s">
        <v>3631</v>
      </c>
      <c r="C380" s="1" t="s">
        <v>3632</v>
      </c>
      <c r="D380" s="1" t="s">
        <v>3633</v>
      </c>
      <c r="E380" s="1" t="s">
        <v>3634</v>
      </c>
      <c r="F380" s="1" t="s">
        <v>3635</v>
      </c>
      <c r="G380" s="1" t="s">
        <v>1944</v>
      </c>
      <c r="H380" s="1" t="s">
        <v>2420</v>
      </c>
      <c r="I380" t="s">
        <v>1937</v>
      </c>
    </row>
    <row r="381" spans="1:9" x14ac:dyDescent="0.3">
      <c r="A381" s="1" t="s">
        <v>768</v>
      </c>
      <c r="B381" s="1" t="s">
        <v>3636</v>
      </c>
      <c r="C381" s="1" t="s">
        <v>3637</v>
      </c>
      <c r="D381" s="1"/>
      <c r="E381" s="1" t="s">
        <v>3638</v>
      </c>
      <c r="F381" s="1" t="s">
        <v>3639</v>
      </c>
      <c r="G381" s="1" t="s">
        <v>2111</v>
      </c>
      <c r="H381" s="1" t="s">
        <v>3640</v>
      </c>
      <c r="I381" t="s">
        <v>1937</v>
      </c>
    </row>
    <row r="382" spans="1:9" x14ac:dyDescent="0.3">
      <c r="A382" s="1" t="s">
        <v>3641</v>
      </c>
      <c r="B382" s="1" t="s">
        <v>3642</v>
      </c>
      <c r="C382" s="1" t="s">
        <v>3643</v>
      </c>
      <c r="D382" s="1" t="s">
        <v>3644</v>
      </c>
      <c r="E382" s="1" t="s">
        <v>3645</v>
      </c>
      <c r="F382" s="1" t="s">
        <v>1957</v>
      </c>
      <c r="G382" s="1" t="s">
        <v>1936</v>
      </c>
      <c r="H382" s="1">
        <v>62756</v>
      </c>
      <c r="I382" t="s">
        <v>1946</v>
      </c>
    </row>
    <row r="383" spans="1:9" x14ac:dyDescent="0.3">
      <c r="A383" s="1" t="s">
        <v>771</v>
      </c>
      <c r="B383" s="1" t="s">
        <v>3646</v>
      </c>
      <c r="C383" s="1" t="s">
        <v>3647</v>
      </c>
      <c r="D383" s="1" t="s">
        <v>3648</v>
      </c>
      <c r="E383" s="1" t="s">
        <v>3649</v>
      </c>
      <c r="F383" s="1" t="s">
        <v>1981</v>
      </c>
      <c r="G383" s="1" t="s">
        <v>1936</v>
      </c>
      <c r="H383" s="1">
        <v>90010</v>
      </c>
      <c r="I383" t="s">
        <v>1937</v>
      </c>
    </row>
    <row r="384" spans="1:9" x14ac:dyDescent="0.3">
      <c r="A384" s="1" t="s">
        <v>773</v>
      </c>
      <c r="B384" s="1" t="s">
        <v>3650</v>
      </c>
      <c r="C384" s="1" t="s">
        <v>3651</v>
      </c>
      <c r="D384" s="1" t="s">
        <v>3652</v>
      </c>
      <c r="E384" s="1" t="s">
        <v>3653</v>
      </c>
      <c r="F384" s="1" t="s">
        <v>3311</v>
      </c>
      <c r="G384" s="1" t="s">
        <v>1936</v>
      </c>
      <c r="H384" s="1">
        <v>21239</v>
      </c>
      <c r="I384" t="s">
        <v>1946</v>
      </c>
    </row>
    <row r="385" spans="1:9" x14ac:dyDescent="0.3">
      <c r="A385" s="1" t="s">
        <v>775</v>
      </c>
      <c r="B385" s="1" t="s">
        <v>3654</v>
      </c>
      <c r="C385" s="1"/>
      <c r="D385" s="1" t="s">
        <v>3655</v>
      </c>
      <c r="E385" s="1" t="s">
        <v>3656</v>
      </c>
      <c r="F385" s="1" t="s">
        <v>3657</v>
      </c>
      <c r="G385" s="1" t="s">
        <v>1936</v>
      </c>
      <c r="H385" s="1">
        <v>17126</v>
      </c>
      <c r="I385" t="s">
        <v>1937</v>
      </c>
    </row>
    <row r="386" spans="1:9" x14ac:dyDescent="0.3">
      <c r="A386" s="1" t="s">
        <v>777</v>
      </c>
      <c r="B386" s="1" t="s">
        <v>3658</v>
      </c>
      <c r="C386" s="1"/>
      <c r="D386" s="1" t="s">
        <v>3659</v>
      </c>
      <c r="E386" s="1" t="s">
        <v>3660</v>
      </c>
      <c r="F386" s="1" t="s">
        <v>2320</v>
      </c>
      <c r="G386" s="1" t="s">
        <v>1936</v>
      </c>
      <c r="H386" s="1">
        <v>75216</v>
      </c>
      <c r="I386" t="s">
        <v>1946</v>
      </c>
    </row>
    <row r="387" spans="1:9" x14ac:dyDescent="0.3">
      <c r="A387" s="1" t="s">
        <v>779</v>
      </c>
      <c r="B387" s="1" t="s">
        <v>3661</v>
      </c>
      <c r="C387" s="1" t="s">
        <v>3662</v>
      </c>
      <c r="D387" s="1" t="s">
        <v>3663</v>
      </c>
      <c r="E387" s="1" t="s">
        <v>3664</v>
      </c>
      <c r="F387" s="1" t="s">
        <v>2370</v>
      </c>
      <c r="G387" s="1" t="s">
        <v>1936</v>
      </c>
      <c r="H387" s="1">
        <v>64125</v>
      </c>
      <c r="I387" t="s">
        <v>1937</v>
      </c>
    </row>
    <row r="388" spans="1:9" x14ac:dyDescent="0.3">
      <c r="A388" s="1" t="s">
        <v>781</v>
      </c>
      <c r="B388" s="1" t="s">
        <v>3665</v>
      </c>
      <c r="C388" s="1"/>
      <c r="D388" s="1" t="s">
        <v>3666</v>
      </c>
      <c r="E388" s="1" t="s">
        <v>3667</v>
      </c>
      <c r="F388" s="1" t="s">
        <v>1957</v>
      </c>
      <c r="G388" s="1" t="s">
        <v>1936</v>
      </c>
      <c r="H388" s="1">
        <v>62723</v>
      </c>
      <c r="I388" t="s">
        <v>1937</v>
      </c>
    </row>
    <row r="389" spans="1:9" x14ac:dyDescent="0.3">
      <c r="A389" s="1" t="s">
        <v>783</v>
      </c>
      <c r="B389" s="1" t="s">
        <v>3668</v>
      </c>
      <c r="C389" s="1" t="s">
        <v>3669</v>
      </c>
      <c r="D389" s="1" t="s">
        <v>3670</v>
      </c>
      <c r="E389" s="1" t="s">
        <v>3671</v>
      </c>
      <c r="F389" s="1" t="s">
        <v>3672</v>
      </c>
      <c r="G389" s="1" t="s">
        <v>1936</v>
      </c>
      <c r="H389" s="1">
        <v>6510</v>
      </c>
      <c r="I389" t="s">
        <v>1937</v>
      </c>
    </row>
    <row r="390" spans="1:9" x14ac:dyDescent="0.3">
      <c r="A390" s="1" t="s">
        <v>785</v>
      </c>
      <c r="B390" s="1" t="s">
        <v>3673</v>
      </c>
      <c r="C390" s="1" t="s">
        <v>3674</v>
      </c>
      <c r="D390" s="1" t="s">
        <v>3675</v>
      </c>
      <c r="E390" s="1" t="s">
        <v>3676</v>
      </c>
      <c r="F390" s="1" t="s">
        <v>3677</v>
      </c>
      <c r="G390" s="1" t="s">
        <v>1936</v>
      </c>
      <c r="H390" s="1">
        <v>30045</v>
      </c>
      <c r="I390" t="s">
        <v>1937</v>
      </c>
    </row>
    <row r="391" spans="1:9" x14ac:dyDescent="0.3">
      <c r="A391" s="1" t="s">
        <v>787</v>
      </c>
      <c r="B391" s="1" t="s">
        <v>3678</v>
      </c>
      <c r="C391" s="1" t="s">
        <v>3679</v>
      </c>
      <c r="D391" s="1" t="s">
        <v>3680</v>
      </c>
      <c r="E391" s="1" t="s">
        <v>3681</v>
      </c>
      <c r="F391" s="1" t="s">
        <v>3682</v>
      </c>
      <c r="G391" s="1" t="s">
        <v>1936</v>
      </c>
      <c r="H391" s="1">
        <v>28805</v>
      </c>
      <c r="I391" t="s">
        <v>1937</v>
      </c>
    </row>
    <row r="392" spans="1:9" x14ac:dyDescent="0.3">
      <c r="A392" s="1" t="s">
        <v>789</v>
      </c>
      <c r="B392" s="1" t="s">
        <v>3683</v>
      </c>
      <c r="C392" s="1" t="s">
        <v>3684</v>
      </c>
      <c r="D392" s="1"/>
      <c r="E392" s="1" t="s">
        <v>3685</v>
      </c>
      <c r="F392" s="1" t="s">
        <v>2228</v>
      </c>
      <c r="G392" s="1" t="s">
        <v>1936</v>
      </c>
      <c r="H392" s="1">
        <v>55123</v>
      </c>
      <c r="I392" t="s">
        <v>1937</v>
      </c>
    </row>
    <row r="393" spans="1:9" x14ac:dyDescent="0.3">
      <c r="A393" s="1" t="s">
        <v>791</v>
      </c>
      <c r="B393" s="1" t="s">
        <v>3686</v>
      </c>
      <c r="C393" s="1" t="s">
        <v>3687</v>
      </c>
      <c r="D393" s="1"/>
      <c r="E393" s="1" t="s">
        <v>3688</v>
      </c>
      <c r="F393" s="1" t="s">
        <v>2132</v>
      </c>
      <c r="G393" s="1" t="s">
        <v>1936</v>
      </c>
      <c r="H393" s="1">
        <v>55458</v>
      </c>
      <c r="I393" t="s">
        <v>1946</v>
      </c>
    </row>
    <row r="394" spans="1:9" x14ac:dyDescent="0.3">
      <c r="A394" s="1" t="s">
        <v>793</v>
      </c>
      <c r="B394" s="1" t="s">
        <v>3689</v>
      </c>
      <c r="C394" s="1" t="s">
        <v>3690</v>
      </c>
      <c r="D394" s="1" t="s">
        <v>3691</v>
      </c>
      <c r="E394" s="1" t="s">
        <v>3692</v>
      </c>
      <c r="F394" s="1" t="s">
        <v>2567</v>
      </c>
      <c r="G394" s="1" t="s">
        <v>1936</v>
      </c>
      <c r="H394" s="1">
        <v>92725</v>
      </c>
      <c r="I394" t="s">
        <v>1946</v>
      </c>
    </row>
    <row r="395" spans="1:9" x14ac:dyDescent="0.3">
      <c r="A395" s="1" t="s">
        <v>3693</v>
      </c>
      <c r="B395" s="1" t="s">
        <v>3694</v>
      </c>
      <c r="C395" s="1" t="s">
        <v>3695</v>
      </c>
      <c r="D395" s="1" t="s">
        <v>3696</v>
      </c>
      <c r="E395" s="1" t="s">
        <v>3697</v>
      </c>
      <c r="F395" s="1" t="s">
        <v>3698</v>
      </c>
      <c r="G395" s="1" t="s">
        <v>1936</v>
      </c>
      <c r="H395" s="1">
        <v>21747</v>
      </c>
      <c r="I395" t="s">
        <v>1937</v>
      </c>
    </row>
    <row r="396" spans="1:9" x14ac:dyDescent="0.3">
      <c r="A396" s="1" t="s">
        <v>795</v>
      </c>
      <c r="B396" s="1" t="s">
        <v>3699</v>
      </c>
      <c r="C396" s="1" t="s">
        <v>3700</v>
      </c>
      <c r="D396" s="1" t="s">
        <v>3701</v>
      </c>
      <c r="E396" s="1" t="s">
        <v>3702</v>
      </c>
      <c r="F396" s="1" t="s">
        <v>2132</v>
      </c>
      <c r="G396" s="1" t="s">
        <v>1936</v>
      </c>
      <c r="H396" s="1">
        <v>55458</v>
      </c>
      <c r="I396" t="s">
        <v>1946</v>
      </c>
    </row>
    <row r="397" spans="1:9" x14ac:dyDescent="0.3">
      <c r="A397" s="1" t="s">
        <v>797</v>
      </c>
      <c r="B397" s="1" t="s">
        <v>3703</v>
      </c>
      <c r="C397" s="1" t="s">
        <v>3704</v>
      </c>
      <c r="D397" s="1"/>
      <c r="E397" s="1" t="s">
        <v>3705</v>
      </c>
      <c r="F397" s="1" t="s">
        <v>2181</v>
      </c>
      <c r="G397" s="1" t="s">
        <v>1936</v>
      </c>
      <c r="H397" s="1">
        <v>20420</v>
      </c>
      <c r="I397" t="s">
        <v>1937</v>
      </c>
    </row>
    <row r="398" spans="1:9" x14ac:dyDescent="0.3">
      <c r="A398" s="1" t="s">
        <v>799</v>
      </c>
      <c r="B398" s="1" t="s">
        <v>3706</v>
      </c>
      <c r="C398" s="1" t="s">
        <v>3707</v>
      </c>
      <c r="D398" s="1" t="s">
        <v>3708</v>
      </c>
      <c r="E398" s="1" t="s">
        <v>3709</v>
      </c>
      <c r="F398" s="1" t="s">
        <v>2172</v>
      </c>
      <c r="G398" s="1" t="s">
        <v>1936</v>
      </c>
      <c r="H398" s="1">
        <v>92415</v>
      </c>
      <c r="I398" t="s">
        <v>1946</v>
      </c>
    </row>
    <row r="399" spans="1:9" x14ac:dyDescent="0.3">
      <c r="A399" s="1" t="s">
        <v>801</v>
      </c>
      <c r="B399" s="1" t="s">
        <v>3710</v>
      </c>
      <c r="C399" s="1" t="s">
        <v>3711</v>
      </c>
      <c r="D399" s="1" t="s">
        <v>3712</v>
      </c>
      <c r="E399" s="1" t="s">
        <v>3713</v>
      </c>
      <c r="F399" s="1" t="s">
        <v>2158</v>
      </c>
      <c r="G399" s="1" t="s">
        <v>1936</v>
      </c>
      <c r="H399" s="1">
        <v>14609</v>
      </c>
      <c r="I399" t="s">
        <v>1937</v>
      </c>
    </row>
    <row r="400" spans="1:9" x14ac:dyDescent="0.3">
      <c r="A400" s="1" t="s">
        <v>803</v>
      </c>
      <c r="B400" s="1" t="s">
        <v>3714</v>
      </c>
      <c r="C400" s="1" t="s">
        <v>3715</v>
      </c>
      <c r="D400" s="1" t="s">
        <v>3716</v>
      </c>
      <c r="E400" s="1" t="s">
        <v>3717</v>
      </c>
      <c r="F400" s="1" t="s">
        <v>2053</v>
      </c>
      <c r="G400" s="1" t="s">
        <v>1936</v>
      </c>
      <c r="H400" s="1">
        <v>98664</v>
      </c>
      <c r="I400" t="s">
        <v>1937</v>
      </c>
    </row>
    <row r="401" spans="1:9" x14ac:dyDescent="0.3">
      <c r="A401" s="1" t="s">
        <v>805</v>
      </c>
      <c r="B401" s="1" t="s">
        <v>3718</v>
      </c>
      <c r="C401" s="1" t="s">
        <v>3719</v>
      </c>
      <c r="D401" s="1" t="s">
        <v>3720</v>
      </c>
      <c r="E401" s="1" t="s">
        <v>3721</v>
      </c>
      <c r="F401" s="1" t="s">
        <v>3722</v>
      </c>
      <c r="G401" s="1" t="s">
        <v>2111</v>
      </c>
      <c r="H401" s="1" t="s">
        <v>3723</v>
      </c>
      <c r="I401" t="s">
        <v>1946</v>
      </c>
    </row>
    <row r="402" spans="1:9" x14ac:dyDescent="0.3">
      <c r="A402" s="1" t="s">
        <v>807</v>
      </c>
      <c r="B402" s="1" t="s">
        <v>3724</v>
      </c>
      <c r="C402" s="1" t="s">
        <v>3725</v>
      </c>
      <c r="D402" s="1" t="s">
        <v>3726</v>
      </c>
      <c r="E402" s="1" t="s">
        <v>3727</v>
      </c>
      <c r="F402" s="1" t="s">
        <v>2181</v>
      </c>
      <c r="G402" s="1" t="s">
        <v>1936</v>
      </c>
      <c r="H402" s="1">
        <v>20057</v>
      </c>
      <c r="I402" t="s">
        <v>1946</v>
      </c>
    </row>
    <row r="403" spans="1:9" x14ac:dyDescent="0.3">
      <c r="A403" s="1" t="s">
        <v>809</v>
      </c>
      <c r="B403" s="1" t="s">
        <v>3728</v>
      </c>
      <c r="C403" s="1" t="s">
        <v>3729</v>
      </c>
      <c r="D403" s="1" t="s">
        <v>3730</v>
      </c>
      <c r="E403" s="1" t="s">
        <v>3731</v>
      </c>
      <c r="F403" s="1" t="s">
        <v>3407</v>
      </c>
      <c r="G403" s="1" t="s">
        <v>1936</v>
      </c>
      <c r="H403" s="1">
        <v>37924</v>
      </c>
      <c r="I403" t="s">
        <v>1937</v>
      </c>
    </row>
    <row r="404" spans="1:9" x14ac:dyDescent="0.3">
      <c r="A404" s="1" t="s">
        <v>811</v>
      </c>
      <c r="B404" s="1" t="s">
        <v>3732</v>
      </c>
      <c r="C404" s="1" t="s">
        <v>3733</v>
      </c>
      <c r="D404" s="1" t="s">
        <v>3734</v>
      </c>
      <c r="E404" s="1" t="s">
        <v>3735</v>
      </c>
      <c r="F404" s="1" t="s">
        <v>2117</v>
      </c>
      <c r="G404" s="1" t="s">
        <v>1936</v>
      </c>
      <c r="H404" s="1">
        <v>25336</v>
      </c>
      <c r="I404" t="s">
        <v>1937</v>
      </c>
    </row>
    <row r="405" spans="1:9" x14ac:dyDescent="0.3">
      <c r="A405" s="1" t="s">
        <v>813</v>
      </c>
      <c r="B405" s="1" t="s">
        <v>3736</v>
      </c>
      <c r="C405" s="1" t="s">
        <v>3737</v>
      </c>
      <c r="D405" s="1" t="s">
        <v>3738</v>
      </c>
      <c r="E405" s="1" t="s">
        <v>3739</v>
      </c>
      <c r="F405" s="1" t="s">
        <v>2320</v>
      </c>
      <c r="G405" s="1" t="s">
        <v>1936</v>
      </c>
      <c r="H405" s="1">
        <v>75372</v>
      </c>
      <c r="I405" t="s">
        <v>1946</v>
      </c>
    </row>
    <row r="406" spans="1:9" x14ac:dyDescent="0.3">
      <c r="A406" s="1" t="s">
        <v>815</v>
      </c>
      <c r="B406" s="1" t="s">
        <v>3740</v>
      </c>
      <c r="C406" s="1" t="s">
        <v>3741</v>
      </c>
      <c r="D406" s="1" t="s">
        <v>3742</v>
      </c>
      <c r="E406" s="1" t="s">
        <v>3743</v>
      </c>
      <c r="F406" s="1" t="s">
        <v>3744</v>
      </c>
      <c r="G406" s="1" t="s">
        <v>1944</v>
      </c>
      <c r="H406" s="1" t="s">
        <v>3745</v>
      </c>
      <c r="I406" t="s">
        <v>1946</v>
      </c>
    </row>
    <row r="407" spans="1:9" x14ac:dyDescent="0.3">
      <c r="A407" s="1" t="s">
        <v>817</v>
      </c>
      <c r="B407" s="1" t="s">
        <v>3746</v>
      </c>
      <c r="C407" s="1" t="s">
        <v>3747</v>
      </c>
      <c r="D407" s="1" t="s">
        <v>3748</v>
      </c>
      <c r="E407" s="1" t="s">
        <v>3749</v>
      </c>
      <c r="F407" s="1" t="s">
        <v>3750</v>
      </c>
      <c r="G407" s="1" t="s">
        <v>1936</v>
      </c>
      <c r="H407" s="1">
        <v>95973</v>
      </c>
      <c r="I407" t="s">
        <v>1937</v>
      </c>
    </row>
    <row r="408" spans="1:9" x14ac:dyDescent="0.3">
      <c r="A408" s="1" t="s">
        <v>819</v>
      </c>
      <c r="B408" s="1" t="s">
        <v>3751</v>
      </c>
      <c r="C408" s="1" t="s">
        <v>3752</v>
      </c>
      <c r="D408" s="1" t="s">
        <v>3753</v>
      </c>
      <c r="E408" s="1" t="s">
        <v>3754</v>
      </c>
      <c r="F408" s="1" t="s">
        <v>2122</v>
      </c>
      <c r="G408" s="1" t="s">
        <v>1936</v>
      </c>
      <c r="H408" s="1">
        <v>72215</v>
      </c>
      <c r="I408" t="s">
        <v>1937</v>
      </c>
    </row>
    <row r="409" spans="1:9" x14ac:dyDescent="0.3">
      <c r="A409" s="1" t="s">
        <v>821</v>
      </c>
      <c r="B409" s="1" t="s">
        <v>3755</v>
      </c>
      <c r="C409" s="1"/>
      <c r="D409" s="1" t="s">
        <v>3756</v>
      </c>
      <c r="E409" s="1" t="s">
        <v>3757</v>
      </c>
      <c r="F409" s="1" t="s">
        <v>3758</v>
      </c>
      <c r="G409" s="1" t="s">
        <v>1944</v>
      </c>
      <c r="H409" s="1" t="s">
        <v>3759</v>
      </c>
      <c r="I409" t="s">
        <v>1946</v>
      </c>
    </row>
    <row r="410" spans="1:9" x14ac:dyDescent="0.3">
      <c r="A410" s="1" t="s">
        <v>823</v>
      </c>
      <c r="B410" s="1" t="s">
        <v>3760</v>
      </c>
      <c r="C410" s="1" t="s">
        <v>3761</v>
      </c>
      <c r="D410" s="1" t="s">
        <v>3762</v>
      </c>
      <c r="E410" s="1" t="s">
        <v>3763</v>
      </c>
      <c r="F410" s="1" t="s">
        <v>3764</v>
      </c>
      <c r="G410" s="1" t="s">
        <v>1936</v>
      </c>
      <c r="H410" s="1">
        <v>8922</v>
      </c>
      <c r="I410" t="s">
        <v>1937</v>
      </c>
    </row>
    <row r="411" spans="1:9" x14ac:dyDescent="0.3">
      <c r="A411" s="1" t="s">
        <v>825</v>
      </c>
      <c r="B411" s="1" t="s">
        <v>3765</v>
      </c>
      <c r="C411" s="1"/>
      <c r="D411" s="1" t="s">
        <v>3766</v>
      </c>
      <c r="E411" s="1" t="s">
        <v>3767</v>
      </c>
      <c r="F411" s="1" t="s">
        <v>3768</v>
      </c>
      <c r="G411" s="1" t="s">
        <v>1944</v>
      </c>
      <c r="H411" s="1" t="s">
        <v>3769</v>
      </c>
      <c r="I411" t="s">
        <v>1937</v>
      </c>
    </row>
    <row r="412" spans="1:9" x14ac:dyDescent="0.3">
      <c r="A412" s="1" t="s">
        <v>827</v>
      </c>
      <c r="B412" s="1" t="s">
        <v>3770</v>
      </c>
      <c r="C412" s="1"/>
      <c r="D412" s="1" t="s">
        <v>3771</v>
      </c>
      <c r="E412" s="1" t="s">
        <v>3772</v>
      </c>
      <c r="F412" s="1" t="s">
        <v>3085</v>
      </c>
      <c r="G412" s="1" t="s">
        <v>1936</v>
      </c>
      <c r="H412" s="1">
        <v>94132</v>
      </c>
      <c r="I412" t="s">
        <v>1946</v>
      </c>
    </row>
    <row r="413" spans="1:9" x14ac:dyDescent="0.3">
      <c r="A413" s="1" t="s">
        <v>829</v>
      </c>
      <c r="B413" s="1" t="s">
        <v>3773</v>
      </c>
      <c r="C413" s="1"/>
      <c r="D413" s="1" t="s">
        <v>3774</v>
      </c>
      <c r="E413" s="1" t="s">
        <v>3775</v>
      </c>
      <c r="F413" s="1" t="s">
        <v>3776</v>
      </c>
      <c r="G413" s="1" t="s">
        <v>1936</v>
      </c>
      <c r="H413" s="1">
        <v>70505</v>
      </c>
      <c r="I413" t="s">
        <v>1937</v>
      </c>
    </row>
    <row r="414" spans="1:9" x14ac:dyDescent="0.3">
      <c r="A414" s="1" t="s">
        <v>831</v>
      </c>
      <c r="B414" s="1" t="s">
        <v>3777</v>
      </c>
      <c r="C414" s="1"/>
      <c r="D414" s="1" t="s">
        <v>3778</v>
      </c>
      <c r="E414" s="1" t="s">
        <v>3779</v>
      </c>
      <c r="F414" s="1" t="s">
        <v>3780</v>
      </c>
      <c r="G414" s="1" t="s">
        <v>1936</v>
      </c>
      <c r="H414" s="1">
        <v>92191</v>
      </c>
      <c r="I414" t="s">
        <v>1937</v>
      </c>
    </row>
    <row r="415" spans="1:9" x14ac:dyDescent="0.3">
      <c r="A415" s="1" t="s">
        <v>833</v>
      </c>
      <c r="B415" s="1" t="s">
        <v>3781</v>
      </c>
      <c r="C415" s="1" t="s">
        <v>3782</v>
      </c>
      <c r="D415" s="1" t="s">
        <v>3783</v>
      </c>
      <c r="E415" s="1" t="s">
        <v>3784</v>
      </c>
      <c r="F415" s="1" t="s">
        <v>3785</v>
      </c>
      <c r="G415" s="1" t="s">
        <v>1936</v>
      </c>
      <c r="H415" s="1">
        <v>91841</v>
      </c>
      <c r="I415" t="s">
        <v>1937</v>
      </c>
    </row>
    <row r="416" spans="1:9" x14ac:dyDescent="0.3">
      <c r="A416" s="1" t="s">
        <v>835</v>
      </c>
      <c r="B416" s="1" t="s">
        <v>3786</v>
      </c>
      <c r="C416" s="1"/>
      <c r="D416" s="1" t="s">
        <v>3787</v>
      </c>
      <c r="E416" s="1" t="s">
        <v>3788</v>
      </c>
      <c r="F416" s="1" t="s">
        <v>3510</v>
      </c>
      <c r="G416" s="1" t="s">
        <v>1936</v>
      </c>
      <c r="H416" s="1">
        <v>75799</v>
      </c>
      <c r="I416" t="s">
        <v>1937</v>
      </c>
    </row>
    <row r="417" spans="1:9" x14ac:dyDescent="0.3">
      <c r="A417" s="1" t="s">
        <v>837</v>
      </c>
      <c r="B417" s="1" t="s">
        <v>3789</v>
      </c>
      <c r="C417" s="1" t="s">
        <v>3790</v>
      </c>
      <c r="D417" s="1"/>
      <c r="E417" s="1" t="s">
        <v>3791</v>
      </c>
      <c r="F417" s="1" t="s">
        <v>3776</v>
      </c>
      <c r="G417" s="1" t="s">
        <v>1936</v>
      </c>
      <c r="H417" s="1">
        <v>70593</v>
      </c>
      <c r="I417" t="s">
        <v>1946</v>
      </c>
    </row>
    <row r="418" spans="1:9" x14ac:dyDescent="0.3">
      <c r="A418" s="1" t="s">
        <v>839</v>
      </c>
      <c r="B418" s="1" t="s">
        <v>3792</v>
      </c>
      <c r="C418" s="1"/>
      <c r="D418" s="1" t="s">
        <v>3793</v>
      </c>
      <c r="E418" s="1" t="s">
        <v>3794</v>
      </c>
      <c r="F418" s="1" t="s">
        <v>1971</v>
      </c>
      <c r="G418" s="1" t="s">
        <v>1936</v>
      </c>
      <c r="H418" s="1">
        <v>45426</v>
      </c>
      <c r="I418" t="s">
        <v>1937</v>
      </c>
    </row>
    <row r="419" spans="1:9" x14ac:dyDescent="0.3">
      <c r="A419" s="1" t="s">
        <v>841</v>
      </c>
      <c r="B419" s="1" t="s">
        <v>3795</v>
      </c>
      <c r="C419" s="1"/>
      <c r="D419" s="1" t="s">
        <v>3796</v>
      </c>
      <c r="E419" s="1" t="s">
        <v>3797</v>
      </c>
      <c r="F419" s="1" t="s">
        <v>3094</v>
      </c>
      <c r="G419" s="1" t="s">
        <v>1936</v>
      </c>
      <c r="H419" s="1">
        <v>85072</v>
      </c>
      <c r="I419" t="s">
        <v>1937</v>
      </c>
    </row>
    <row r="420" spans="1:9" x14ac:dyDescent="0.3">
      <c r="A420" s="1" t="s">
        <v>843</v>
      </c>
      <c r="B420" s="1" t="s">
        <v>3798</v>
      </c>
      <c r="C420" s="1" t="s">
        <v>3799</v>
      </c>
      <c r="D420" s="1"/>
      <c r="E420" s="1" t="s">
        <v>3800</v>
      </c>
      <c r="F420" s="1" t="s">
        <v>2994</v>
      </c>
      <c r="G420" s="1" t="s">
        <v>1936</v>
      </c>
      <c r="H420" s="1">
        <v>94263</v>
      </c>
      <c r="I420" t="s">
        <v>1937</v>
      </c>
    </row>
    <row r="421" spans="1:9" x14ac:dyDescent="0.3">
      <c r="A421" s="1" t="s">
        <v>845</v>
      </c>
      <c r="B421" s="1" t="s">
        <v>3801</v>
      </c>
      <c r="C421" s="1" t="s">
        <v>3802</v>
      </c>
      <c r="D421" s="1" t="s">
        <v>3803</v>
      </c>
      <c r="E421" s="1" t="s">
        <v>3804</v>
      </c>
      <c r="F421" s="1" t="s">
        <v>3331</v>
      </c>
      <c r="G421" s="1" t="s">
        <v>1936</v>
      </c>
      <c r="H421" s="1">
        <v>68505</v>
      </c>
      <c r="I421" t="s">
        <v>1937</v>
      </c>
    </row>
    <row r="422" spans="1:9" x14ac:dyDescent="0.3">
      <c r="A422" s="1" t="s">
        <v>3805</v>
      </c>
      <c r="B422" s="1" t="s">
        <v>3806</v>
      </c>
      <c r="C422" s="1" t="s">
        <v>3807</v>
      </c>
      <c r="D422" s="1" t="s">
        <v>3808</v>
      </c>
      <c r="E422" s="1" t="s">
        <v>3809</v>
      </c>
      <c r="F422" s="1" t="s">
        <v>3657</v>
      </c>
      <c r="G422" s="1" t="s">
        <v>1936</v>
      </c>
      <c r="H422" s="1">
        <v>17126</v>
      </c>
      <c r="I422" t="s">
        <v>1946</v>
      </c>
    </row>
    <row r="423" spans="1:9" x14ac:dyDescent="0.3">
      <c r="A423" s="1" t="s">
        <v>3810</v>
      </c>
      <c r="B423" s="1" t="s">
        <v>3811</v>
      </c>
      <c r="C423" s="1" t="s">
        <v>3812</v>
      </c>
      <c r="D423" s="1" t="s">
        <v>3813</v>
      </c>
      <c r="E423" s="1" t="s">
        <v>3814</v>
      </c>
      <c r="F423" s="1" t="s">
        <v>2139</v>
      </c>
      <c r="G423" s="1" t="s">
        <v>1936</v>
      </c>
      <c r="H423" s="1">
        <v>70174</v>
      </c>
      <c r="I423" t="s">
        <v>1937</v>
      </c>
    </row>
    <row r="424" spans="1:9" x14ac:dyDescent="0.3">
      <c r="A424" s="1" t="s">
        <v>848</v>
      </c>
      <c r="B424" s="1" t="s">
        <v>3815</v>
      </c>
      <c r="C424" s="1"/>
      <c r="D424" s="1" t="s">
        <v>3816</v>
      </c>
      <c r="E424" s="1" t="s">
        <v>3817</v>
      </c>
      <c r="F424" s="1" t="s">
        <v>3818</v>
      </c>
      <c r="G424" s="1" t="s">
        <v>1936</v>
      </c>
      <c r="H424" s="1">
        <v>53726</v>
      </c>
      <c r="I424" t="s">
        <v>1946</v>
      </c>
    </row>
    <row r="425" spans="1:9" x14ac:dyDescent="0.3">
      <c r="A425" s="1" t="s">
        <v>850</v>
      </c>
      <c r="B425" s="1" t="s">
        <v>3819</v>
      </c>
      <c r="C425" s="1"/>
      <c r="D425" s="1" t="s">
        <v>3820</v>
      </c>
      <c r="E425" s="1" t="s">
        <v>3821</v>
      </c>
      <c r="F425" s="1" t="s">
        <v>2117</v>
      </c>
      <c r="G425" s="1" t="s">
        <v>1936</v>
      </c>
      <c r="H425" s="1">
        <v>25336</v>
      </c>
      <c r="I425" t="s">
        <v>1946</v>
      </c>
    </row>
    <row r="426" spans="1:9" x14ac:dyDescent="0.3">
      <c r="A426" s="1" t="s">
        <v>852</v>
      </c>
      <c r="B426" s="1" t="s">
        <v>3822</v>
      </c>
      <c r="C426" s="1" t="s">
        <v>3823</v>
      </c>
      <c r="D426" s="1" t="s">
        <v>3824</v>
      </c>
      <c r="E426" s="1" t="s">
        <v>3825</v>
      </c>
      <c r="F426" s="1" t="s">
        <v>2122</v>
      </c>
      <c r="G426" s="1" t="s">
        <v>1936</v>
      </c>
      <c r="H426" s="1">
        <v>72204</v>
      </c>
      <c r="I426" t="s">
        <v>1937</v>
      </c>
    </row>
    <row r="427" spans="1:9" x14ac:dyDescent="0.3">
      <c r="A427" s="1" t="s">
        <v>854</v>
      </c>
      <c r="B427" s="1" t="s">
        <v>3826</v>
      </c>
      <c r="C427" s="1" t="s">
        <v>3827</v>
      </c>
      <c r="D427" s="1" t="s">
        <v>3828</v>
      </c>
      <c r="E427" s="1" t="s">
        <v>3829</v>
      </c>
      <c r="F427" s="1" t="s">
        <v>2496</v>
      </c>
      <c r="G427" s="1" t="s">
        <v>1936</v>
      </c>
      <c r="H427" s="1">
        <v>99507</v>
      </c>
      <c r="I427" t="s">
        <v>1946</v>
      </c>
    </row>
    <row r="428" spans="1:9" x14ac:dyDescent="0.3">
      <c r="A428" s="1" t="s">
        <v>856</v>
      </c>
      <c r="B428" s="1" t="s">
        <v>3830</v>
      </c>
      <c r="C428" s="1" t="s">
        <v>3831</v>
      </c>
      <c r="D428" s="1" t="s">
        <v>3832</v>
      </c>
      <c r="E428" s="1" t="s">
        <v>3833</v>
      </c>
      <c r="F428" s="1" t="s">
        <v>3834</v>
      </c>
      <c r="G428" s="1" t="s">
        <v>1944</v>
      </c>
      <c r="H428" s="1" t="s">
        <v>3835</v>
      </c>
      <c r="I428" t="s">
        <v>1937</v>
      </c>
    </row>
    <row r="429" spans="1:9" x14ac:dyDescent="0.3">
      <c r="A429" s="1" t="s">
        <v>858</v>
      </c>
      <c r="B429" s="1" t="s">
        <v>3836</v>
      </c>
      <c r="C429" s="1"/>
      <c r="D429" s="1" t="s">
        <v>3837</v>
      </c>
      <c r="E429" s="1" t="s">
        <v>3838</v>
      </c>
      <c r="F429" s="1" t="s">
        <v>3085</v>
      </c>
      <c r="G429" s="1" t="s">
        <v>1936</v>
      </c>
      <c r="H429" s="1">
        <v>94110</v>
      </c>
      <c r="I429" t="s">
        <v>1937</v>
      </c>
    </row>
    <row r="430" spans="1:9" x14ac:dyDescent="0.3">
      <c r="A430" s="1" t="s">
        <v>860</v>
      </c>
      <c r="B430" s="1" t="s">
        <v>3839</v>
      </c>
      <c r="C430" s="1" t="s">
        <v>3840</v>
      </c>
      <c r="D430" s="1" t="s">
        <v>3841</v>
      </c>
      <c r="E430" s="1" t="s">
        <v>3842</v>
      </c>
      <c r="F430" s="1" t="s">
        <v>2835</v>
      </c>
      <c r="G430" s="1" t="s">
        <v>1936</v>
      </c>
      <c r="H430" s="1">
        <v>44485</v>
      </c>
      <c r="I430" t="s">
        <v>1946</v>
      </c>
    </row>
    <row r="431" spans="1:9" x14ac:dyDescent="0.3">
      <c r="A431" s="1" t="s">
        <v>3843</v>
      </c>
      <c r="B431" s="1" t="s">
        <v>3844</v>
      </c>
      <c r="C431" s="1" t="s">
        <v>3845</v>
      </c>
      <c r="D431" s="1" t="s">
        <v>3846</v>
      </c>
      <c r="E431" s="1" t="s">
        <v>3847</v>
      </c>
      <c r="F431" s="1" t="s">
        <v>3848</v>
      </c>
      <c r="G431" s="1" t="s">
        <v>1936</v>
      </c>
      <c r="H431" s="1">
        <v>23324</v>
      </c>
      <c r="I431" t="s">
        <v>1946</v>
      </c>
    </row>
    <row r="432" spans="1:9" x14ac:dyDescent="0.3">
      <c r="A432" s="1" t="s">
        <v>863</v>
      </c>
      <c r="B432" s="1" t="s">
        <v>3849</v>
      </c>
      <c r="C432" s="1" t="s">
        <v>3850</v>
      </c>
      <c r="D432" s="1" t="s">
        <v>3851</v>
      </c>
      <c r="E432" s="1" t="s">
        <v>3852</v>
      </c>
      <c r="F432" s="1" t="s">
        <v>3853</v>
      </c>
      <c r="G432" s="1" t="s">
        <v>1936</v>
      </c>
      <c r="H432" s="1">
        <v>39236</v>
      </c>
      <c r="I432" t="s">
        <v>1937</v>
      </c>
    </row>
    <row r="433" spans="1:9" x14ac:dyDescent="0.3">
      <c r="A433" s="1" t="s">
        <v>865</v>
      </c>
      <c r="B433" s="1" t="s">
        <v>3854</v>
      </c>
      <c r="C433" s="1" t="s">
        <v>3855</v>
      </c>
      <c r="D433" s="1" t="s">
        <v>3856</v>
      </c>
      <c r="E433" s="1" t="s">
        <v>3857</v>
      </c>
      <c r="F433" s="1" t="s">
        <v>3858</v>
      </c>
      <c r="G433" s="1" t="s">
        <v>1944</v>
      </c>
      <c r="H433" s="1" t="s">
        <v>3859</v>
      </c>
      <c r="I433" t="s">
        <v>1937</v>
      </c>
    </row>
    <row r="434" spans="1:9" x14ac:dyDescent="0.3">
      <c r="A434" s="1" t="s">
        <v>867</v>
      </c>
      <c r="B434" s="1" t="s">
        <v>3860</v>
      </c>
      <c r="C434" s="1"/>
      <c r="D434" s="1" t="s">
        <v>3861</v>
      </c>
      <c r="E434" s="1" t="s">
        <v>3862</v>
      </c>
      <c r="F434" s="1" t="s">
        <v>3116</v>
      </c>
      <c r="G434" s="1" t="s">
        <v>1936</v>
      </c>
      <c r="H434" s="1">
        <v>53277</v>
      </c>
      <c r="I434" t="s">
        <v>1946</v>
      </c>
    </row>
    <row r="435" spans="1:9" x14ac:dyDescent="0.3">
      <c r="A435" s="1" t="s">
        <v>869</v>
      </c>
      <c r="B435" s="1" t="s">
        <v>3863</v>
      </c>
      <c r="C435" s="1" t="s">
        <v>3864</v>
      </c>
      <c r="D435" s="1" t="s">
        <v>3865</v>
      </c>
      <c r="E435" s="1" t="s">
        <v>3866</v>
      </c>
      <c r="F435" s="1" t="s">
        <v>2994</v>
      </c>
      <c r="G435" s="1" t="s">
        <v>1936</v>
      </c>
      <c r="H435" s="1">
        <v>94250</v>
      </c>
      <c r="I435" t="s">
        <v>1937</v>
      </c>
    </row>
    <row r="436" spans="1:9" x14ac:dyDescent="0.3">
      <c r="A436" s="1" t="s">
        <v>871</v>
      </c>
      <c r="B436" s="1" t="s">
        <v>3867</v>
      </c>
      <c r="C436" s="1"/>
      <c r="D436" s="1" t="s">
        <v>3868</v>
      </c>
      <c r="E436" s="1" t="s">
        <v>3869</v>
      </c>
      <c r="F436" s="1" t="s">
        <v>2153</v>
      </c>
      <c r="G436" s="1" t="s">
        <v>1936</v>
      </c>
      <c r="H436" s="1">
        <v>2298</v>
      </c>
      <c r="I436" t="s">
        <v>1946</v>
      </c>
    </row>
    <row r="437" spans="1:9" x14ac:dyDescent="0.3">
      <c r="A437" s="1" t="s">
        <v>873</v>
      </c>
      <c r="B437" s="1" t="s">
        <v>3870</v>
      </c>
      <c r="C437" s="1" t="s">
        <v>3871</v>
      </c>
      <c r="D437" s="1" t="s">
        <v>3872</v>
      </c>
      <c r="E437" s="1" t="s">
        <v>3873</v>
      </c>
      <c r="F437" s="1" t="s">
        <v>3505</v>
      </c>
      <c r="G437" s="1" t="s">
        <v>1936</v>
      </c>
      <c r="H437" s="1">
        <v>66622</v>
      </c>
      <c r="I437" t="s">
        <v>1946</v>
      </c>
    </row>
    <row r="438" spans="1:9" x14ac:dyDescent="0.3">
      <c r="A438" s="1" t="s">
        <v>875</v>
      </c>
      <c r="B438" s="1" t="s">
        <v>3874</v>
      </c>
      <c r="C438" s="1" t="s">
        <v>3875</v>
      </c>
      <c r="D438" s="1" t="s">
        <v>3876</v>
      </c>
      <c r="E438" s="1" t="s">
        <v>3877</v>
      </c>
      <c r="F438" s="1" t="s">
        <v>2545</v>
      </c>
      <c r="G438" s="1" t="s">
        <v>1936</v>
      </c>
      <c r="H438" s="1">
        <v>58122</v>
      </c>
      <c r="I438" t="s">
        <v>1937</v>
      </c>
    </row>
    <row r="439" spans="1:9" x14ac:dyDescent="0.3">
      <c r="A439" s="1" t="s">
        <v>877</v>
      </c>
      <c r="B439" s="1" t="s">
        <v>3878</v>
      </c>
      <c r="C439" s="1"/>
      <c r="D439" s="1" t="s">
        <v>3879</v>
      </c>
      <c r="E439" s="1" t="s">
        <v>3880</v>
      </c>
      <c r="F439" s="1" t="s">
        <v>2022</v>
      </c>
      <c r="G439" s="1" t="s">
        <v>1936</v>
      </c>
      <c r="H439" s="1">
        <v>77095</v>
      </c>
      <c r="I439" t="s">
        <v>1946</v>
      </c>
    </row>
    <row r="440" spans="1:9" x14ac:dyDescent="0.3">
      <c r="A440" s="1" t="s">
        <v>3881</v>
      </c>
      <c r="B440" s="1" t="s">
        <v>3882</v>
      </c>
      <c r="C440" s="1" t="s">
        <v>3883</v>
      </c>
      <c r="D440" s="1" t="s">
        <v>3884</v>
      </c>
      <c r="E440" s="1" t="s">
        <v>3885</v>
      </c>
      <c r="F440" s="1" t="s">
        <v>2357</v>
      </c>
      <c r="G440" s="1" t="s">
        <v>1936</v>
      </c>
      <c r="H440" s="1">
        <v>73190</v>
      </c>
      <c r="I440" t="s">
        <v>1946</v>
      </c>
    </row>
    <row r="441" spans="1:9" x14ac:dyDescent="0.3">
      <c r="A441" s="1" t="s">
        <v>881</v>
      </c>
      <c r="B441" s="1" t="s">
        <v>3886</v>
      </c>
      <c r="C441" s="1" t="s">
        <v>3887</v>
      </c>
      <c r="D441" s="1" t="s">
        <v>3888</v>
      </c>
      <c r="E441" s="1" t="s">
        <v>3889</v>
      </c>
      <c r="F441" s="1" t="s">
        <v>2026</v>
      </c>
      <c r="G441" s="1" t="s">
        <v>1944</v>
      </c>
      <c r="H441" s="1" t="s">
        <v>2027</v>
      </c>
      <c r="I441" t="s">
        <v>1946</v>
      </c>
    </row>
    <row r="442" spans="1:9" x14ac:dyDescent="0.3">
      <c r="A442" s="1" t="s">
        <v>883</v>
      </c>
      <c r="B442" s="1" t="s">
        <v>3890</v>
      </c>
      <c r="C442" s="1" t="s">
        <v>3891</v>
      </c>
      <c r="D442" s="1" t="s">
        <v>3892</v>
      </c>
      <c r="E442" s="1" t="s">
        <v>3893</v>
      </c>
      <c r="F442" s="1" t="s">
        <v>2345</v>
      </c>
      <c r="G442" s="1" t="s">
        <v>1936</v>
      </c>
      <c r="H442" s="1">
        <v>14205</v>
      </c>
      <c r="I442" t="s">
        <v>1937</v>
      </c>
    </row>
    <row r="443" spans="1:9" x14ac:dyDescent="0.3">
      <c r="A443" s="1" t="s">
        <v>885</v>
      </c>
      <c r="B443" s="1" t="s">
        <v>3894</v>
      </c>
      <c r="C443" s="1" t="s">
        <v>3895</v>
      </c>
      <c r="D443" s="1" t="s">
        <v>3896</v>
      </c>
      <c r="E443" s="1" t="s">
        <v>3897</v>
      </c>
      <c r="F443" s="1" t="s">
        <v>3188</v>
      </c>
      <c r="G443" s="1" t="s">
        <v>1944</v>
      </c>
      <c r="H443" s="1" t="s">
        <v>3189</v>
      </c>
      <c r="I443" t="s">
        <v>1937</v>
      </c>
    </row>
    <row r="444" spans="1:9" x14ac:dyDescent="0.3">
      <c r="A444" s="1" t="s">
        <v>887</v>
      </c>
      <c r="B444" s="1" t="s">
        <v>3898</v>
      </c>
      <c r="C444" s="1" t="s">
        <v>3899</v>
      </c>
      <c r="D444" s="1" t="s">
        <v>3900</v>
      </c>
      <c r="E444" s="1" t="s">
        <v>3901</v>
      </c>
      <c r="F444" s="1" t="s">
        <v>3902</v>
      </c>
      <c r="G444" s="1" t="s">
        <v>1936</v>
      </c>
      <c r="H444" s="1">
        <v>18018</v>
      </c>
      <c r="I444" t="s">
        <v>1946</v>
      </c>
    </row>
    <row r="445" spans="1:9" x14ac:dyDescent="0.3">
      <c r="A445" s="1" t="s">
        <v>889</v>
      </c>
      <c r="B445" s="1" t="s">
        <v>3903</v>
      </c>
      <c r="C445" s="1" t="s">
        <v>3904</v>
      </c>
      <c r="D445" s="1" t="s">
        <v>3905</v>
      </c>
      <c r="E445" s="1" t="s">
        <v>3906</v>
      </c>
      <c r="F445" s="1" t="s">
        <v>3907</v>
      </c>
      <c r="G445" s="1" t="s">
        <v>1944</v>
      </c>
      <c r="H445" s="1" t="s">
        <v>3908</v>
      </c>
      <c r="I445" t="s">
        <v>1937</v>
      </c>
    </row>
    <row r="446" spans="1:9" x14ac:dyDescent="0.3">
      <c r="A446" s="1" t="s">
        <v>891</v>
      </c>
      <c r="B446" s="1" t="s">
        <v>3909</v>
      </c>
      <c r="C446" s="1" t="s">
        <v>3910</v>
      </c>
      <c r="D446" s="1" t="s">
        <v>3911</v>
      </c>
      <c r="E446" s="1" t="s">
        <v>3912</v>
      </c>
      <c r="F446" s="1" t="s">
        <v>3913</v>
      </c>
      <c r="G446" s="1" t="s">
        <v>1944</v>
      </c>
      <c r="H446" s="1" t="s">
        <v>3914</v>
      </c>
      <c r="I446" t="s">
        <v>1946</v>
      </c>
    </row>
    <row r="447" spans="1:9" x14ac:dyDescent="0.3">
      <c r="A447" s="1" t="s">
        <v>893</v>
      </c>
      <c r="B447" s="1" t="s">
        <v>3915</v>
      </c>
      <c r="C447" s="1" t="s">
        <v>3916</v>
      </c>
      <c r="D447" s="1"/>
      <c r="E447" s="1" t="s">
        <v>3917</v>
      </c>
      <c r="F447" s="1" t="s">
        <v>3397</v>
      </c>
      <c r="G447" s="1" t="s">
        <v>1944</v>
      </c>
      <c r="H447" s="1" t="s">
        <v>2078</v>
      </c>
      <c r="I447" t="s">
        <v>1937</v>
      </c>
    </row>
    <row r="448" spans="1:9" x14ac:dyDescent="0.3">
      <c r="A448" s="1" t="s">
        <v>895</v>
      </c>
      <c r="B448" s="1" t="s">
        <v>3918</v>
      </c>
      <c r="C448" s="1" t="s">
        <v>3919</v>
      </c>
      <c r="D448" s="1" t="s">
        <v>3920</v>
      </c>
      <c r="E448" s="1" t="s">
        <v>3921</v>
      </c>
      <c r="F448" s="1" t="s">
        <v>2167</v>
      </c>
      <c r="G448" s="1" t="s">
        <v>2111</v>
      </c>
      <c r="H448" s="1" t="s">
        <v>3922</v>
      </c>
      <c r="I448" t="s">
        <v>1937</v>
      </c>
    </row>
    <row r="449" spans="1:9" x14ac:dyDescent="0.3">
      <c r="A449" s="1" t="s">
        <v>897</v>
      </c>
      <c r="B449" s="1" t="s">
        <v>3923</v>
      </c>
      <c r="C449" s="1" t="s">
        <v>3924</v>
      </c>
      <c r="D449" s="1"/>
      <c r="E449" s="1" t="s">
        <v>3925</v>
      </c>
      <c r="F449" s="1" t="s">
        <v>3094</v>
      </c>
      <c r="G449" s="1" t="s">
        <v>1936</v>
      </c>
      <c r="H449" s="1">
        <v>85099</v>
      </c>
      <c r="I449" t="s">
        <v>1946</v>
      </c>
    </row>
    <row r="450" spans="1:9" x14ac:dyDescent="0.3">
      <c r="A450" s="1" t="s">
        <v>899</v>
      </c>
      <c r="B450" s="1" t="s">
        <v>3926</v>
      </c>
      <c r="C450" s="1" t="s">
        <v>3927</v>
      </c>
      <c r="D450" s="1" t="s">
        <v>3928</v>
      </c>
      <c r="E450" s="1" t="s">
        <v>3929</v>
      </c>
      <c r="F450" s="1" t="s">
        <v>3930</v>
      </c>
      <c r="G450" s="1" t="s">
        <v>1944</v>
      </c>
      <c r="H450" s="1" t="s">
        <v>3931</v>
      </c>
      <c r="I450" t="s">
        <v>1946</v>
      </c>
    </row>
    <row r="451" spans="1:9" x14ac:dyDescent="0.3">
      <c r="A451" s="1" t="s">
        <v>901</v>
      </c>
      <c r="B451" s="1" t="s">
        <v>3932</v>
      </c>
      <c r="C451" s="1" t="s">
        <v>3933</v>
      </c>
      <c r="D451" s="1" t="s">
        <v>3934</v>
      </c>
      <c r="E451" s="1" t="s">
        <v>3935</v>
      </c>
      <c r="F451" s="1" t="s">
        <v>2206</v>
      </c>
      <c r="G451" s="1" t="s">
        <v>1936</v>
      </c>
      <c r="H451" s="1">
        <v>43610</v>
      </c>
      <c r="I451" t="s">
        <v>1946</v>
      </c>
    </row>
    <row r="452" spans="1:9" x14ac:dyDescent="0.3">
      <c r="A452" s="1" t="s">
        <v>903</v>
      </c>
      <c r="B452" s="1" t="s">
        <v>3936</v>
      </c>
      <c r="C452" s="1" t="s">
        <v>3937</v>
      </c>
      <c r="D452" s="1" t="s">
        <v>3938</v>
      </c>
      <c r="E452" s="1" t="s">
        <v>3939</v>
      </c>
      <c r="F452" s="1" t="s">
        <v>3940</v>
      </c>
      <c r="G452" s="1" t="s">
        <v>1944</v>
      </c>
      <c r="H452" s="1" t="s">
        <v>3941</v>
      </c>
      <c r="I452" t="s">
        <v>1946</v>
      </c>
    </row>
    <row r="453" spans="1:9" x14ac:dyDescent="0.3">
      <c r="A453" s="1" t="s">
        <v>905</v>
      </c>
      <c r="B453" s="1" t="s">
        <v>3942</v>
      </c>
      <c r="C453" s="1" t="s">
        <v>3943</v>
      </c>
      <c r="D453" s="1" t="s">
        <v>3944</v>
      </c>
      <c r="E453" s="1" t="s">
        <v>3945</v>
      </c>
      <c r="F453" s="1" t="s">
        <v>2295</v>
      </c>
      <c r="G453" s="1" t="s">
        <v>1936</v>
      </c>
      <c r="H453" s="1">
        <v>28210</v>
      </c>
      <c r="I453" t="s">
        <v>1937</v>
      </c>
    </row>
    <row r="454" spans="1:9" x14ac:dyDescent="0.3">
      <c r="A454" s="1" t="s">
        <v>879</v>
      </c>
      <c r="B454" s="1" t="s">
        <v>3946</v>
      </c>
      <c r="C454" s="1" t="s">
        <v>3947</v>
      </c>
      <c r="D454" s="1" t="s">
        <v>3948</v>
      </c>
      <c r="E454" s="1" t="s">
        <v>3949</v>
      </c>
      <c r="F454" s="1" t="s">
        <v>3487</v>
      </c>
      <c r="G454" s="1" t="s">
        <v>1936</v>
      </c>
      <c r="H454" s="1">
        <v>98109</v>
      </c>
      <c r="I454" t="s">
        <v>1946</v>
      </c>
    </row>
    <row r="455" spans="1:9" x14ac:dyDescent="0.3">
      <c r="A455" s="1" t="s">
        <v>908</v>
      </c>
      <c r="B455" s="1" t="s">
        <v>3950</v>
      </c>
      <c r="C455" s="1" t="s">
        <v>3951</v>
      </c>
      <c r="D455" s="1" t="s">
        <v>3952</v>
      </c>
      <c r="E455" s="1" t="s">
        <v>3953</v>
      </c>
      <c r="F455" s="1" t="s">
        <v>2999</v>
      </c>
      <c r="G455" s="1" t="s">
        <v>1936</v>
      </c>
      <c r="H455" s="1">
        <v>18706</v>
      </c>
      <c r="I455" t="s">
        <v>1946</v>
      </c>
    </row>
    <row r="456" spans="1:9" x14ac:dyDescent="0.3">
      <c r="A456" s="1" t="s">
        <v>910</v>
      </c>
      <c r="B456" s="1" t="s">
        <v>3954</v>
      </c>
      <c r="C456" s="1" t="s">
        <v>3955</v>
      </c>
      <c r="D456" s="1"/>
      <c r="E456" s="1" t="s">
        <v>3956</v>
      </c>
      <c r="F456" s="1" t="s">
        <v>3957</v>
      </c>
      <c r="G456" s="1" t="s">
        <v>1944</v>
      </c>
      <c r="H456" s="1" t="s">
        <v>1945</v>
      </c>
      <c r="I456" t="s">
        <v>1937</v>
      </c>
    </row>
    <row r="457" spans="1:9" x14ac:dyDescent="0.3">
      <c r="A457" s="1" t="s">
        <v>912</v>
      </c>
      <c r="B457" s="1" t="s">
        <v>3958</v>
      </c>
      <c r="C457" s="1" t="s">
        <v>3959</v>
      </c>
      <c r="D457" s="1" t="s">
        <v>3960</v>
      </c>
      <c r="E457" s="1" t="s">
        <v>3961</v>
      </c>
      <c r="F457" s="1" t="s">
        <v>3962</v>
      </c>
      <c r="G457" s="1" t="s">
        <v>1944</v>
      </c>
      <c r="H457" s="1" t="s">
        <v>2766</v>
      </c>
      <c r="I457" t="s">
        <v>1937</v>
      </c>
    </row>
    <row r="458" spans="1:9" x14ac:dyDescent="0.3">
      <c r="A458" s="1" t="s">
        <v>914</v>
      </c>
      <c r="B458" s="1" t="s">
        <v>3963</v>
      </c>
      <c r="C458" s="1" t="s">
        <v>3964</v>
      </c>
      <c r="D458" s="1" t="s">
        <v>3965</v>
      </c>
      <c r="E458" s="1" t="s">
        <v>3966</v>
      </c>
      <c r="F458" s="1" t="s">
        <v>2276</v>
      </c>
      <c r="G458" s="1" t="s">
        <v>2111</v>
      </c>
      <c r="H458" s="1" t="s">
        <v>3967</v>
      </c>
      <c r="I458" t="s">
        <v>1946</v>
      </c>
    </row>
    <row r="459" spans="1:9" x14ac:dyDescent="0.3">
      <c r="A459" s="1" t="s">
        <v>916</v>
      </c>
      <c r="B459" s="1" t="s">
        <v>3968</v>
      </c>
      <c r="C459" s="1" t="s">
        <v>3969</v>
      </c>
      <c r="D459" s="1" t="s">
        <v>3970</v>
      </c>
      <c r="E459" s="1" t="s">
        <v>3971</v>
      </c>
      <c r="F459" s="1" t="s">
        <v>2158</v>
      </c>
      <c r="G459" s="1" t="s">
        <v>1936</v>
      </c>
      <c r="H459" s="1">
        <v>14652</v>
      </c>
      <c r="I459" t="s">
        <v>1946</v>
      </c>
    </row>
    <row r="460" spans="1:9" x14ac:dyDescent="0.3">
      <c r="A460" s="1" t="s">
        <v>918</v>
      </c>
      <c r="B460" s="1" t="s">
        <v>3972</v>
      </c>
      <c r="C460" s="1" t="s">
        <v>3973</v>
      </c>
      <c r="D460" s="1" t="s">
        <v>3974</v>
      </c>
      <c r="E460" s="1" t="s">
        <v>3975</v>
      </c>
      <c r="F460" s="1" t="s">
        <v>2135</v>
      </c>
      <c r="G460" s="1" t="s">
        <v>1936</v>
      </c>
      <c r="H460" s="1">
        <v>85754</v>
      </c>
      <c r="I460" t="s">
        <v>1946</v>
      </c>
    </row>
    <row r="461" spans="1:9" x14ac:dyDescent="0.3">
      <c r="A461" s="1" t="s">
        <v>920</v>
      </c>
      <c r="B461" s="1" t="s">
        <v>3976</v>
      </c>
      <c r="C461" s="1" t="s">
        <v>3977</v>
      </c>
      <c r="D461" s="1" t="s">
        <v>3978</v>
      </c>
      <c r="E461" s="1" t="s">
        <v>3979</v>
      </c>
      <c r="F461" s="1" t="s">
        <v>2132</v>
      </c>
      <c r="G461" s="1" t="s">
        <v>1936</v>
      </c>
      <c r="H461" s="1">
        <v>55480</v>
      </c>
      <c r="I461" t="s">
        <v>1946</v>
      </c>
    </row>
    <row r="462" spans="1:9" x14ac:dyDescent="0.3">
      <c r="A462" s="1" t="s">
        <v>922</v>
      </c>
      <c r="B462" s="1" t="s">
        <v>3980</v>
      </c>
      <c r="C462" s="1" t="s">
        <v>3981</v>
      </c>
      <c r="D462" s="1" t="s">
        <v>3982</v>
      </c>
      <c r="E462" s="1" t="s">
        <v>3983</v>
      </c>
      <c r="F462" s="1" t="s">
        <v>3984</v>
      </c>
      <c r="G462" s="1" t="s">
        <v>1944</v>
      </c>
      <c r="H462" s="1" t="s">
        <v>3985</v>
      </c>
      <c r="I462" t="s">
        <v>1937</v>
      </c>
    </row>
    <row r="463" spans="1:9" x14ac:dyDescent="0.3">
      <c r="A463" s="1" t="s">
        <v>924</v>
      </c>
      <c r="B463" s="1" t="s">
        <v>3986</v>
      </c>
      <c r="C463" s="1" t="s">
        <v>3987</v>
      </c>
      <c r="D463" s="1" t="s">
        <v>3988</v>
      </c>
      <c r="E463" s="1" t="s">
        <v>3989</v>
      </c>
      <c r="F463" s="1" t="s">
        <v>3990</v>
      </c>
      <c r="G463" s="1" t="s">
        <v>2111</v>
      </c>
      <c r="H463" s="1" t="s">
        <v>3991</v>
      </c>
      <c r="I463" t="s">
        <v>1937</v>
      </c>
    </row>
    <row r="464" spans="1:9" x14ac:dyDescent="0.3">
      <c r="A464" s="1" t="s">
        <v>926</v>
      </c>
      <c r="B464" s="1" t="s">
        <v>3992</v>
      </c>
      <c r="C464" s="1" t="s">
        <v>3993</v>
      </c>
      <c r="D464" s="1" t="s">
        <v>3994</v>
      </c>
      <c r="E464" s="1" t="s">
        <v>3995</v>
      </c>
      <c r="F464" s="1" t="s">
        <v>3044</v>
      </c>
      <c r="G464" s="1" t="s">
        <v>1936</v>
      </c>
      <c r="H464" s="1">
        <v>31119</v>
      </c>
      <c r="I464" t="s">
        <v>1937</v>
      </c>
    </row>
    <row r="465" spans="1:9" x14ac:dyDescent="0.3">
      <c r="A465" s="1" t="s">
        <v>928</v>
      </c>
      <c r="B465" s="1" t="s">
        <v>3996</v>
      </c>
      <c r="C465" s="1" t="s">
        <v>3997</v>
      </c>
      <c r="D465" s="1" t="s">
        <v>3998</v>
      </c>
      <c r="E465" s="1" t="s">
        <v>3999</v>
      </c>
      <c r="F465" s="1" t="s">
        <v>4000</v>
      </c>
      <c r="G465" s="1" t="s">
        <v>1944</v>
      </c>
      <c r="H465" s="1" t="s">
        <v>4001</v>
      </c>
      <c r="I465" t="s">
        <v>1946</v>
      </c>
    </row>
    <row r="466" spans="1:9" x14ac:dyDescent="0.3">
      <c r="A466" s="1" t="s">
        <v>930</v>
      </c>
      <c r="B466" s="1" t="s">
        <v>4002</v>
      </c>
      <c r="C466" s="1" t="s">
        <v>4003</v>
      </c>
      <c r="D466" s="1" t="s">
        <v>4004</v>
      </c>
      <c r="E466" s="1" t="s">
        <v>4005</v>
      </c>
      <c r="F466" s="1" t="s">
        <v>2867</v>
      </c>
      <c r="G466" s="1" t="s">
        <v>2111</v>
      </c>
      <c r="H466" s="1" t="s">
        <v>2868</v>
      </c>
      <c r="I466" t="s">
        <v>1946</v>
      </c>
    </row>
    <row r="467" spans="1:9" x14ac:dyDescent="0.3">
      <c r="A467" s="1" t="s">
        <v>932</v>
      </c>
      <c r="B467" s="1" t="s">
        <v>4006</v>
      </c>
      <c r="C467" s="1" t="s">
        <v>4007</v>
      </c>
      <c r="D467" s="1" t="s">
        <v>4008</v>
      </c>
      <c r="E467" s="1" t="s">
        <v>4009</v>
      </c>
      <c r="F467" s="1" t="s">
        <v>3407</v>
      </c>
      <c r="G467" s="1" t="s">
        <v>1936</v>
      </c>
      <c r="H467" s="1">
        <v>37939</v>
      </c>
      <c r="I467" t="s">
        <v>1937</v>
      </c>
    </row>
    <row r="468" spans="1:9" x14ac:dyDescent="0.3">
      <c r="A468" s="1" t="s">
        <v>934</v>
      </c>
      <c r="B468" s="1" t="s">
        <v>4010</v>
      </c>
      <c r="C468" s="1" t="s">
        <v>4011</v>
      </c>
      <c r="D468" s="1" t="s">
        <v>4012</v>
      </c>
      <c r="E468" s="1" t="s">
        <v>4013</v>
      </c>
      <c r="F468" s="1" t="s">
        <v>4014</v>
      </c>
      <c r="G468" s="1" t="s">
        <v>1936</v>
      </c>
      <c r="H468" s="1">
        <v>48604</v>
      </c>
      <c r="I468" t="s">
        <v>1937</v>
      </c>
    </row>
    <row r="469" spans="1:9" x14ac:dyDescent="0.3">
      <c r="A469" s="1" t="s">
        <v>936</v>
      </c>
      <c r="B469" s="1" t="s">
        <v>4015</v>
      </c>
      <c r="C469" s="1" t="s">
        <v>4016</v>
      </c>
      <c r="D469" s="1" t="s">
        <v>4017</v>
      </c>
      <c r="E469" s="1" t="s">
        <v>4018</v>
      </c>
      <c r="F469" s="1" t="s">
        <v>4019</v>
      </c>
      <c r="G469" s="1" t="s">
        <v>1936</v>
      </c>
      <c r="H469" s="1">
        <v>32092</v>
      </c>
      <c r="I469" t="s">
        <v>1946</v>
      </c>
    </row>
    <row r="470" spans="1:9" x14ac:dyDescent="0.3">
      <c r="A470" s="1" t="s">
        <v>938</v>
      </c>
      <c r="B470" s="1" t="s">
        <v>4020</v>
      </c>
      <c r="C470" s="1" t="s">
        <v>4021</v>
      </c>
      <c r="D470" s="1"/>
      <c r="E470" s="1" t="s">
        <v>4022</v>
      </c>
      <c r="F470" s="1" t="s">
        <v>4023</v>
      </c>
      <c r="G470" s="1" t="s">
        <v>1936</v>
      </c>
      <c r="H470" s="1">
        <v>94913</v>
      </c>
      <c r="I470" t="s">
        <v>1937</v>
      </c>
    </row>
    <row r="471" spans="1:9" x14ac:dyDescent="0.3">
      <c r="A471" s="1" t="s">
        <v>4024</v>
      </c>
      <c r="B471" s="1" t="s">
        <v>4025</v>
      </c>
      <c r="C471" s="1" t="s">
        <v>4026</v>
      </c>
      <c r="D471" s="1" t="s">
        <v>4027</v>
      </c>
      <c r="E471" s="1" t="s">
        <v>4028</v>
      </c>
      <c r="F471" s="1" t="s">
        <v>1990</v>
      </c>
      <c r="G471" s="1" t="s">
        <v>1936</v>
      </c>
      <c r="H471" s="1">
        <v>95113</v>
      </c>
      <c r="I471" t="s">
        <v>1937</v>
      </c>
    </row>
    <row r="472" spans="1:9" x14ac:dyDescent="0.3">
      <c r="A472" s="1" t="s">
        <v>942</v>
      </c>
      <c r="B472" s="1" t="s">
        <v>4029</v>
      </c>
      <c r="C472" s="1" t="s">
        <v>4030</v>
      </c>
      <c r="D472" s="1" t="s">
        <v>4031</v>
      </c>
      <c r="E472" s="1" t="s">
        <v>4032</v>
      </c>
      <c r="F472" s="1" t="s">
        <v>3677</v>
      </c>
      <c r="G472" s="1" t="s">
        <v>1936</v>
      </c>
      <c r="H472" s="1">
        <v>30045</v>
      </c>
      <c r="I472" t="s">
        <v>1937</v>
      </c>
    </row>
    <row r="473" spans="1:9" x14ac:dyDescent="0.3">
      <c r="A473" s="1" t="s">
        <v>944</v>
      </c>
      <c r="B473" s="1" t="s">
        <v>4033</v>
      </c>
      <c r="C473" s="1"/>
      <c r="D473" s="1" t="s">
        <v>4034</v>
      </c>
      <c r="E473" s="1" t="s">
        <v>4035</v>
      </c>
      <c r="F473" s="1" t="s">
        <v>3505</v>
      </c>
      <c r="G473" s="1" t="s">
        <v>1936</v>
      </c>
      <c r="H473" s="1">
        <v>66622</v>
      </c>
      <c r="I473" t="s">
        <v>1937</v>
      </c>
    </row>
    <row r="474" spans="1:9" x14ac:dyDescent="0.3">
      <c r="A474" s="1" t="s">
        <v>946</v>
      </c>
      <c r="B474" s="1" t="s">
        <v>4036</v>
      </c>
      <c r="C474" s="1" t="s">
        <v>4037</v>
      </c>
      <c r="D474" s="1" t="s">
        <v>4038</v>
      </c>
      <c r="E474" s="1" t="s">
        <v>4039</v>
      </c>
      <c r="F474" s="1" t="s">
        <v>2983</v>
      </c>
      <c r="G474" s="1" t="s">
        <v>1936</v>
      </c>
      <c r="H474" s="1">
        <v>66276</v>
      </c>
      <c r="I474" t="s">
        <v>1946</v>
      </c>
    </row>
    <row r="475" spans="1:9" x14ac:dyDescent="0.3">
      <c r="A475" s="1" t="s">
        <v>948</v>
      </c>
      <c r="B475" s="1" t="s">
        <v>4040</v>
      </c>
      <c r="C475" s="1" t="s">
        <v>4041</v>
      </c>
      <c r="D475" s="1" t="s">
        <v>4042</v>
      </c>
      <c r="E475" s="1" t="s">
        <v>4043</v>
      </c>
      <c r="F475" s="1" t="s">
        <v>3487</v>
      </c>
      <c r="G475" s="1" t="s">
        <v>1936</v>
      </c>
      <c r="H475" s="1">
        <v>98148</v>
      </c>
      <c r="I475" t="s">
        <v>1946</v>
      </c>
    </row>
    <row r="476" spans="1:9" x14ac:dyDescent="0.3">
      <c r="A476" s="1" t="s">
        <v>950</v>
      </c>
      <c r="B476" s="1" t="s">
        <v>4044</v>
      </c>
      <c r="C476" s="1" t="s">
        <v>4045</v>
      </c>
      <c r="D476" s="1" t="s">
        <v>4046</v>
      </c>
      <c r="E476" s="1" t="s">
        <v>4047</v>
      </c>
      <c r="F476" s="1" t="s">
        <v>3075</v>
      </c>
      <c r="G476" s="1" t="s">
        <v>1944</v>
      </c>
      <c r="H476" s="1" t="s">
        <v>3076</v>
      </c>
      <c r="I476" t="s">
        <v>1937</v>
      </c>
    </row>
    <row r="477" spans="1:9" x14ac:dyDescent="0.3">
      <c r="A477" s="1" t="s">
        <v>952</v>
      </c>
      <c r="B477" s="1" t="s">
        <v>4048</v>
      </c>
      <c r="C477" s="1" t="s">
        <v>4049</v>
      </c>
      <c r="D477" s="1"/>
      <c r="E477" s="1" t="s">
        <v>4050</v>
      </c>
      <c r="F477" s="1" t="s">
        <v>4051</v>
      </c>
      <c r="G477" s="1" t="s">
        <v>1936</v>
      </c>
      <c r="H477" s="1">
        <v>34745</v>
      </c>
      <c r="I477" t="s">
        <v>1946</v>
      </c>
    </row>
    <row r="478" spans="1:9" x14ac:dyDescent="0.3">
      <c r="A478" s="1" t="s">
        <v>954</v>
      </c>
      <c r="B478" s="1" t="s">
        <v>4052</v>
      </c>
      <c r="C478" s="1" t="s">
        <v>4053</v>
      </c>
      <c r="D478" s="1" t="s">
        <v>4054</v>
      </c>
      <c r="E478" s="1" t="s">
        <v>4055</v>
      </c>
      <c r="F478" s="1" t="s">
        <v>2158</v>
      </c>
      <c r="G478" s="1" t="s">
        <v>1936</v>
      </c>
      <c r="H478" s="1">
        <v>14683</v>
      </c>
      <c r="I478" t="s">
        <v>1937</v>
      </c>
    </row>
    <row r="479" spans="1:9" x14ac:dyDescent="0.3">
      <c r="A479" s="1" t="s">
        <v>956</v>
      </c>
      <c r="B479" s="1" t="s">
        <v>4056</v>
      </c>
      <c r="C479" s="1" t="s">
        <v>4057</v>
      </c>
      <c r="D479" s="1" t="s">
        <v>4058</v>
      </c>
      <c r="E479" s="1" t="s">
        <v>4059</v>
      </c>
      <c r="F479" s="1" t="s">
        <v>3510</v>
      </c>
      <c r="G479" s="1" t="s">
        <v>1936</v>
      </c>
      <c r="H479" s="1">
        <v>75799</v>
      </c>
      <c r="I479" t="s">
        <v>1946</v>
      </c>
    </row>
    <row r="480" spans="1:9" x14ac:dyDescent="0.3">
      <c r="A480" s="1" t="s">
        <v>940</v>
      </c>
      <c r="B480" s="1" t="s">
        <v>4060</v>
      </c>
      <c r="C480" s="1" t="s">
        <v>4061</v>
      </c>
      <c r="D480" s="1" t="s">
        <v>4062</v>
      </c>
      <c r="E480" s="1" t="s">
        <v>4063</v>
      </c>
      <c r="F480" s="1" t="s">
        <v>4064</v>
      </c>
      <c r="G480" s="1" t="s">
        <v>1936</v>
      </c>
      <c r="H480" s="1">
        <v>11388</v>
      </c>
      <c r="I480" t="s">
        <v>1937</v>
      </c>
    </row>
    <row r="481" spans="1:9" x14ac:dyDescent="0.3">
      <c r="A481" s="1" t="s">
        <v>4065</v>
      </c>
      <c r="B481" s="1" t="s">
        <v>4066</v>
      </c>
      <c r="C481" s="1"/>
      <c r="D481" s="1" t="s">
        <v>4067</v>
      </c>
      <c r="E481" s="1" t="s">
        <v>4068</v>
      </c>
      <c r="F481" s="1" t="s">
        <v>4069</v>
      </c>
      <c r="G481" s="1" t="s">
        <v>1936</v>
      </c>
      <c r="H481" s="1">
        <v>20167</v>
      </c>
      <c r="I481" t="s">
        <v>1937</v>
      </c>
    </row>
    <row r="482" spans="1:9" x14ac:dyDescent="0.3">
      <c r="A482" s="1" t="s">
        <v>4070</v>
      </c>
      <c r="B482" s="1" t="s">
        <v>4071</v>
      </c>
      <c r="C482" s="1" t="s">
        <v>4072</v>
      </c>
      <c r="D482" s="1" t="s">
        <v>4073</v>
      </c>
      <c r="E482" s="1" t="s">
        <v>4074</v>
      </c>
      <c r="F482" s="1" t="s">
        <v>1999</v>
      </c>
      <c r="G482" s="1" t="s">
        <v>1936</v>
      </c>
      <c r="H482" s="1">
        <v>23203</v>
      </c>
      <c r="I482" t="s">
        <v>1946</v>
      </c>
    </row>
    <row r="483" spans="1:9" x14ac:dyDescent="0.3">
      <c r="A483" s="1" t="s">
        <v>959</v>
      </c>
      <c r="B483" s="1" t="s">
        <v>4075</v>
      </c>
      <c r="C483" s="1" t="s">
        <v>4076</v>
      </c>
      <c r="D483" s="1" t="s">
        <v>4077</v>
      </c>
      <c r="E483" s="1" t="s">
        <v>4078</v>
      </c>
      <c r="F483" s="1" t="s">
        <v>4079</v>
      </c>
      <c r="G483" s="1" t="s">
        <v>2111</v>
      </c>
      <c r="H483" s="1" t="s">
        <v>2388</v>
      </c>
      <c r="I483" t="s">
        <v>1946</v>
      </c>
    </row>
    <row r="484" spans="1:9" x14ac:dyDescent="0.3">
      <c r="A484" s="1" t="s">
        <v>961</v>
      </c>
      <c r="B484" s="1" t="s">
        <v>4080</v>
      </c>
      <c r="C484" s="1" t="s">
        <v>4081</v>
      </c>
      <c r="D484" s="1" t="s">
        <v>4082</v>
      </c>
      <c r="E484" s="1" t="s">
        <v>4083</v>
      </c>
      <c r="F484" s="1" t="s">
        <v>2694</v>
      </c>
      <c r="G484" s="1" t="s">
        <v>1936</v>
      </c>
      <c r="H484" s="1">
        <v>22309</v>
      </c>
      <c r="I484" t="s">
        <v>1937</v>
      </c>
    </row>
    <row r="485" spans="1:9" x14ac:dyDescent="0.3">
      <c r="A485" s="1" t="s">
        <v>963</v>
      </c>
      <c r="B485" s="1" t="s">
        <v>4084</v>
      </c>
      <c r="C485" s="1"/>
      <c r="D485" s="1" t="s">
        <v>4085</v>
      </c>
      <c r="E485" s="1" t="s">
        <v>4086</v>
      </c>
      <c r="F485" s="1" t="s">
        <v>2933</v>
      </c>
      <c r="G485" s="1" t="s">
        <v>1936</v>
      </c>
      <c r="H485" s="1">
        <v>84115</v>
      </c>
      <c r="I485" t="s">
        <v>1937</v>
      </c>
    </row>
    <row r="486" spans="1:9" x14ac:dyDescent="0.3">
      <c r="A486" s="1" t="s">
        <v>965</v>
      </c>
      <c r="B486" s="1" t="s">
        <v>4087</v>
      </c>
      <c r="C486" s="1" t="s">
        <v>4088</v>
      </c>
      <c r="D486" s="1"/>
      <c r="E486" s="1" t="s">
        <v>4089</v>
      </c>
      <c r="F486" s="1" t="s">
        <v>1990</v>
      </c>
      <c r="G486" s="1" t="s">
        <v>1936</v>
      </c>
      <c r="H486" s="1">
        <v>95108</v>
      </c>
      <c r="I486" t="s">
        <v>1946</v>
      </c>
    </row>
    <row r="487" spans="1:9" x14ac:dyDescent="0.3">
      <c r="A487" s="1" t="s">
        <v>967</v>
      </c>
      <c r="B487" s="1" t="s">
        <v>4090</v>
      </c>
      <c r="C487" s="1" t="s">
        <v>4091</v>
      </c>
      <c r="D487" s="1" t="s">
        <v>4092</v>
      </c>
      <c r="E487" s="1" t="s">
        <v>4093</v>
      </c>
      <c r="F487" s="1" t="s">
        <v>4094</v>
      </c>
      <c r="G487" s="1" t="s">
        <v>1944</v>
      </c>
      <c r="H487" s="1" t="s">
        <v>4095</v>
      </c>
      <c r="I487" t="s">
        <v>1937</v>
      </c>
    </row>
    <row r="488" spans="1:9" x14ac:dyDescent="0.3">
      <c r="A488" s="1" t="s">
        <v>969</v>
      </c>
      <c r="B488" s="1" t="s">
        <v>4096</v>
      </c>
      <c r="C488" s="1" t="s">
        <v>4097</v>
      </c>
      <c r="D488" s="1" t="s">
        <v>4098</v>
      </c>
      <c r="E488" s="1" t="s">
        <v>4099</v>
      </c>
      <c r="F488" s="1" t="s">
        <v>4100</v>
      </c>
      <c r="G488" s="1" t="s">
        <v>1944</v>
      </c>
      <c r="H488" s="1" t="s">
        <v>2540</v>
      </c>
      <c r="I488" t="s">
        <v>1937</v>
      </c>
    </row>
    <row r="489" spans="1:9" x14ac:dyDescent="0.3">
      <c r="A489" s="1" t="s">
        <v>971</v>
      </c>
      <c r="B489" s="1" t="s">
        <v>4101</v>
      </c>
      <c r="C489" s="1" t="s">
        <v>4102</v>
      </c>
      <c r="D489" s="1" t="s">
        <v>4103</v>
      </c>
      <c r="E489" s="1" t="s">
        <v>4104</v>
      </c>
      <c r="F489" s="1" t="s">
        <v>4100</v>
      </c>
      <c r="G489" s="1" t="s">
        <v>1944</v>
      </c>
      <c r="H489" s="1" t="s">
        <v>2540</v>
      </c>
      <c r="I489" t="s">
        <v>1946</v>
      </c>
    </row>
    <row r="490" spans="1:9" x14ac:dyDescent="0.3">
      <c r="A490" s="1" t="s">
        <v>973</v>
      </c>
      <c r="B490" s="1" t="s">
        <v>4105</v>
      </c>
      <c r="C490" s="1" t="s">
        <v>4106</v>
      </c>
      <c r="D490" s="1" t="s">
        <v>4107</v>
      </c>
      <c r="E490" s="1" t="s">
        <v>4108</v>
      </c>
      <c r="F490" s="1" t="s">
        <v>4109</v>
      </c>
      <c r="G490" s="1" t="s">
        <v>1944</v>
      </c>
      <c r="H490" s="1" t="s">
        <v>2850</v>
      </c>
      <c r="I490" t="s">
        <v>1937</v>
      </c>
    </row>
    <row r="491" spans="1:9" x14ac:dyDescent="0.3">
      <c r="A491" s="1" t="s">
        <v>975</v>
      </c>
      <c r="B491" s="1" t="s">
        <v>4110</v>
      </c>
      <c r="C491" s="1" t="s">
        <v>4111</v>
      </c>
      <c r="D491" s="1" t="s">
        <v>4112</v>
      </c>
      <c r="E491" s="1" t="s">
        <v>4113</v>
      </c>
      <c r="F491" s="1" t="s">
        <v>2443</v>
      </c>
      <c r="G491" s="1" t="s">
        <v>1936</v>
      </c>
      <c r="H491" s="1">
        <v>79945</v>
      </c>
      <c r="I491" t="s">
        <v>1946</v>
      </c>
    </row>
    <row r="492" spans="1:9" x14ac:dyDescent="0.3">
      <c r="A492" s="1" t="s">
        <v>977</v>
      </c>
      <c r="B492" s="1" t="s">
        <v>4114</v>
      </c>
      <c r="C492" s="1" t="s">
        <v>4115</v>
      </c>
      <c r="D492" s="1" t="s">
        <v>4116</v>
      </c>
      <c r="E492" s="1" t="s">
        <v>4117</v>
      </c>
      <c r="F492" s="1" t="s">
        <v>2186</v>
      </c>
      <c r="G492" s="1" t="s">
        <v>1936</v>
      </c>
      <c r="H492" s="1">
        <v>33355</v>
      </c>
      <c r="I492" t="s">
        <v>1946</v>
      </c>
    </row>
    <row r="493" spans="1:9" x14ac:dyDescent="0.3">
      <c r="A493" s="1" t="s">
        <v>979</v>
      </c>
      <c r="B493" s="1" t="s">
        <v>4118</v>
      </c>
      <c r="C493" s="1"/>
      <c r="D493" s="1" t="s">
        <v>4119</v>
      </c>
      <c r="E493" s="1" t="s">
        <v>4120</v>
      </c>
      <c r="F493" s="1" t="s">
        <v>3478</v>
      </c>
      <c r="G493" s="1" t="s">
        <v>1936</v>
      </c>
      <c r="H493" s="1">
        <v>46295</v>
      </c>
      <c r="I493" t="s">
        <v>1946</v>
      </c>
    </row>
    <row r="494" spans="1:9" x14ac:dyDescent="0.3">
      <c r="A494" s="1" t="s">
        <v>981</v>
      </c>
      <c r="B494" s="1" t="s">
        <v>4121</v>
      </c>
      <c r="C494" s="1" t="s">
        <v>4122</v>
      </c>
      <c r="D494" s="1" t="s">
        <v>4123</v>
      </c>
      <c r="E494" s="1" t="s">
        <v>4124</v>
      </c>
      <c r="F494" s="1" t="s">
        <v>3116</v>
      </c>
      <c r="G494" s="1" t="s">
        <v>1936</v>
      </c>
      <c r="H494" s="1">
        <v>53234</v>
      </c>
      <c r="I494" t="s">
        <v>1937</v>
      </c>
    </row>
    <row r="495" spans="1:9" x14ac:dyDescent="0.3">
      <c r="A495" s="1" t="s">
        <v>983</v>
      </c>
      <c r="B495" s="1" t="s">
        <v>4125</v>
      </c>
      <c r="C495" s="1" t="s">
        <v>4126</v>
      </c>
      <c r="D495" s="1" t="s">
        <v>4127</v>
      </c>
      <c r="E495" s="1" t="s">
        <v>4128</v>
      </c>
      <c r="F495" s="1" t="s">
        <v>3325</v>
      </c>
      <c r="G495" s="1" t="s">
        <v>2111</v>
      </c>
      <c r="H495" s="1" t="s">
        <v>3326</v>
      </c>
      <c r="I495" t="s">
        <v>1946</v>
      </c>
    </row>
    <row r="496" spans="1:9" x14ac:dyDescent="0.3">
      <c r="A496" s="1" t="s">
        <v>985</v>
      </c>
      <c r="B496" s="1" t="s">
        <v>4129</v>
      </c>
      <c r="C496" s="1" t="s">
        <v>4130</v>
      </c>
      <c r="D496" s="1" t="s">
        <v>4131</v>
      </c>
      <c r="E496" s="1" t="s">
        <v>4132</v>
      </c>
      <c r="F496" s="1" t="s">
        <v>3065</v>
      </c>
      <c r="G496" s="1" t="s">
        <v>1936</v>
      </c>
      <c r="H496" s="1">
        <v>70836</v>
      </c>
      <c r="I496" t="s">
        <v>1946</v>
      </c>
    </row>
    <row r="497" spans="1:9" x14ac:dyDescent="0.3">
      <c r="A497" s="1" t="s">
        <v>987</v>
      </c>
      <c r="B497" s="1" t="s">
        <v>4133</v>
      </c>
      <c r="C497" s="1"/>
      <c r="D497" s="1" t="s">
        <v>4134</v>
      </c>
      <c r="E497" s="1" t="s">
        <v>4135</v>
      </c>
      <c r="F497" s="1" t="s">
        <v>3278</v>
      </c>
      <c r="G497" s="1" t="s">
        <v>1936</v>
      </c>
      <c r="H497" s="1">
        <v>6816</v>
      </c>
      <c r="I497" t="s">
        <v>1937</v>
      </c>
    </row>
    <row r="498" spans="1:9" x14ac:dyDescent="0.3">
      <c r="A498" s="1" t="s">
        <v>989</v>
      </c>
      <c r="B498" s="1" t="s">
        <v>4136</v>
      </c>
      <c r="C498" s="1" t="s">
        <v>4137</v>
      </c>
      <c r="D498" s="1" t="s">
        <v>4138</v>
      </c>
      <c r="E498" s="1" t="s">
        <v>4139</v>
      </c>
      <c r="F498" s="1" t="s">
        <v>2220</v>
      </c>
      <c r="G498" s="1" t="s">
        <v>1936</v>
      </c>
      <c r="H498" s="1">
        <v>32590</v>
      </c>
      <c r="I498" t="s">
        <v>1946</v>
      </c>
    </row>
    <row r="499" spans="1:9" x14ac:dyDescent="0.3">
      <c r="A499" s="1" t="s">
        <v>991</v>
      </c>
      <c r="B499" s="1" t="s">
        <v>4140</v>
      </c>
      <c r="C499" s="1" t="s">
        <v>4141</v>
      </c>
      <c r="D499" s="1" t="s">
        <v>4142</v>
      </c>
      <c r="E499" s="1" t="s">
        <v>4143</v>
      </c>
      <c r="F499" s="1" t="s">
        <v>4144</v>
      </c>
      <c r="G499" s="1" t="s">
        <v>1944</v>
      </c>
      <c r="H499" s="1" t="s">
        <v>2078</v>
      </c>
      <c r="I499" t="s">
        <v>1946</v>
      </c>
    </row>
    <row r="500" spans="1:9" x14ac:dyDescent="0.3">
      <c r="A500" s="1" t="s">
        <v>4145</v>
      </c>
      <c r="B500" s="1" t="s">
        <v>4146</v>
      </c>
      <c r="C500" s="1" t="s">
        <v>4147</v>
      </c>
      <c r="D500" s="1" t="s">
        <v>4148</v>
      </c>
      <c r="E500" s="1" t="s">
        <v>4149</v>
      </c>
      <c r="F500" s="1" t="s">
        <v>3233</v>
      </c>
      <c r="G500" s="1" t="s">
        <v>2111</v>
      </c>
      <c r="H500" s="1" t="s">
        <v>3234</v>
      </c>
      <c r="I500" t="s">
        <v>1937</v>
      </c>
    </row>
    <row r="501" spans="1:9" x14ac:dyDescent="0.3">
      <c r="A501" s="1" t="s">
        <v>995</v>
      </c>
      <c r="B501" s="1" t="s">
        <v>4150</v>
      </c>
      <c r="C501" s="1"/>
      <c r="D501" s="1" t="s">
        <v>4151</v>
      </c>
      <c r="E501" s="1" t="s">
        <v>4152</v>
      </c>
      <c r="F501" s="1" t="s">
        <v>2928</v>
      </c>
      <c r="G501" s="1" t="s">
        <v>1944</v>
      </c>
      <c r="H501" s="1" t="s">
        <v>2078</v>
      </c>
      <c r="I501" t="s">
        <v>1937</v>
      </c>
    </row>
    <row r="502" spans="1:9" x14ac:dyDescent="0.3">
      <c r="A502" s="1" t="s">
        <v>997</v>
      </c>
      <c r="B502" s="1" t="s">
        <v>4153</v>
      </c>
      <c r="C502" s="1"/>
      <c r="D502" s="1" t="s">
        <v>4154</v>
      </c>
      <c r="E502" s="1" t="s">
        <v>4155</v>
      </c>
      <c r="F502" s="1" t="s">
        <v>2043</v>
      </c>
      <c r="G502" s="1" t="s">
        <v>1936</v>
      </c>
      <c r="H502" s="1">
        <v>49518</v>
      </c>
      <c r="I502" t="s">
        <v>1946</v>
      </c>
    </row>
    <row r="503" spans="1:9" x14ac:dyDescent="0.3">
      <c r="A503" s="1" t="s">
        <v>999</v>
      </c>
      <c r="B503" s="1" t="s">
        <v>4156</v>
      </c>
      <c r="C503" s="1" t="s">
        <v>4157</v>
      </c>
      <c r="D503" s="1" t="s">
        <v>4158</v>
      </c>
      <c r="E503" s="1" t="s">
        <v>4159</v>
      </c>
      <c r="F503" s="1" t="s">
        <v>3360</v>
      </c>
      <c r="G503" s="1" t="s">
        <v>2111</v>
      </c>
      <c r="H503" s="1" t="s">
        <v>3361</v>
      </c>
      <c r="I503" t="s">
        <v>1946</v>
      </c>
    </row>
    <row r="504" spans="1:9" x14ac:dyDescent="0.3">
      <c r="A504" s="1" t="s">
        <v>4160</v>
      </c>
      <c r="B504" s="1" t="s">
        <v>4161</v>
      </c>
      <c r="C504" s="1" t="s">
        <v>4162</v>
      </c>
      <c r="D504" s="1" t="s">
        <v>4163</v>
      </c>
      <c r="E504" s="1" t="s">
        <v>4164</v>
      </c>
      <c r="F504" s="1" t="s">
        <v>2370</v>
      </c>
      <c r="G504" s="1" t="s">
        <v>1936</v>
      </c>
      <c r="H504" s="1">
        <v>66160</v>
      </c>
      <c r="I504" t="s">
        <v>1946</v>
      </c>
    </row>
    <row r="505" spans="1:9" x14ac:dyDescent="0.3">
      <c r="A505" s="1" t="s">
        <v>4165</v>
      </c>
      <c r="B505" s="1" t="s">
        <v>4166</v>
      </c>
      <c r="C505" s="1"/>
      <c r="D505" s="1" t="s">
        <v>4167</v>
      </c>
      <c r="E505" s="1" t="s">
        <v>4168</v>
      </c>
      <c r="F505" s="1" t="s">
        <v>4169</v>
      </c>
      <c r="G505" s="1" t="s">
        <v>1936</v>
      </c>
      <c r="H505" s="1">
        <v>14905</v>
      </c>
      <c r="I505" t="s">
        <v>1946</v>
      </c>
    </row>
    <row r="506" spans="1:9" x14ac:dyDescent="0.3">
      <c r="A506" s="1" t="s">
        <v>4170</v>
      </c>
      <c r="B506" s="1" t="s">
        <v>4171</v>
      </c>
      <c r="C506" s="1" t="s">
        <v>4172</v>
      </c>
      <c r="D506" s="1" t="s">
        <v>4173</v>
      </c>
      <c r="E506" s="1" t="s">
        <v>4174</v>
      </c>
      <c r="F506" s="1" t="s">
        <v>3116</v>
      </c>
      <c r="G506" s="1" t="s">
        <v>1936</v>
      </c>
      <c r="H506" s="1">
        <v>53205</v>
      </c>
      <c r="I506" t="s">
        <v>1937</v>
      </c>
    </row>
    <row r="507" spans="1:9" x14ac:dyDescent="0.3">
      <c r="A507" s="1" t="s">
        <v>1001</v>
      </c>
      <c r="B507" s="1" t="s">
        <v>4175</v>
      </c>
      <c r="C507" s="1" t="s">
        <v>4176</v>
      </c>
      <c r="D507" s="1" t="s">
        <v>4177</v>
      </c>
      <c r="E507" s="1" t="s">
        <v>4178</v>
      </c>
      <c r="F507" s="1" t="s">
        <v>4179</v>
      </c>
      <c r="G507" s="1" t="s">
        <v>1936</v>
      </c>
      <c r="H507" s="1">
        <v>27264</v>
      </c>
      <c r="I507" t="s">
        <v>1946</v>
      </c>
    </row>
    <row r="508" spans="1:9" x14ac:dyDescent="0.3">
      <c r="A508" s="1" t="s">
        <v>1003</v>
      </c>
      <c r="B508" s="1" t="s">
        <v>4180</v>
      </c>
      <c r="C508" s="1" t="s">
        <v>4181</v>
      </c>
      <c r="D508" s="1" t="s">
        <v>4182</v>
      </c>
      <c r="E508" s="1" t="s">
        <v>4183</v>
      </c>
      <c r="F508" s="1" t="s">
        <v>2443</v>
      </c>
      <c r="G508" s="1" t="s">
        <v>1936</v>
      </c>
      <c r="H508" s="1">
        <v>88546</v>
      </c>
      <c r="I508" t="s">
        <v>1937</v>
      </c>
    </row>
    <row r="509" spans="1:9" x14ac:dyDescent="0.3">
      <c r="A509" s="1" t="s">
        <v>1005</v>
      </c>
      <c r="B509" s="1" t="s">
        <v>4184</v>
      </c>
      <c r="C509" s="1" t="s">
        <v>4185</v>
      </c>
      <c r="D509" s="1" t="s">
        <v>4186</v>
      </c>
      <c r="E509" s="1" t="s">
        <v>4187</v>
      </c>
      <c r="F509" s="1" t="s">
        <v>4188</v>
      </c>
      <c r="G509" s="1" t="s">
        <v>1936</v>
      </c>
      <c r="H509" s="1">
        <v>44185</v>
      </c>
      <c r="I509" t="s">
        <v>1937</v>
      </c>
    </row>
    <row r="510" spans="1:9" x14ac:dyDescent="0.3">
      <c r="A510" s="1" t="s">
        <v>1007</v>
      </c>
      <c r="B510" s="1" t="s">
        <v>4189</v>
      </c>
      <c r="C510" s="1" t="s">
        <v>4190</v>
      </c>
      <c r="D510" s="1" t="s">
        <v>4191</v>
      </c>
      <c r="E510" s="1" t="s">
        <v>4192</v>
      </c>
      <c r="F510" s="1" t="s">
        <v>4193</v>
      </c>
      <c r="G510" s="1" t="s">
        <v>1944</v>
      </c>
      <c r="H510" s="1" t="s">
        <v>4194</v>
      </c>
      <c r="I510" t="s">
        <v>1946</v>
      </c>
    </row>
    <row r="511" spans="1:9" x14ac:dyDescent="0.3">
      <c r="A511" s="1" t="s">
        <v>993</v>
      </c>
      <c r="B511" s="1" t="s">
        <v>4195</v>
      </c>
      <c r="C511" s="1" t="s">
        <v>4196</v>
      </c>
      <c r="D511" s="1" t="s">
        <v>4197</v>
      </c>
      <c r="E511" s="1" t="s">
        <v>4198</v>
      </c>
      <c r="F511" s="1" t="s">
        <v>4199</v>
      </c>
      <c r="G511" s="1" t="s">
        <v>1944</v>
      </c>
      <c r="H511" s="1" t="s">
        <v>4200</v>
      </c>
      <c r="I511" t="s">
        <v>1937</v>
      </c>
    </row>
    <row r="512" spans="1:9" x14ac:dyDescent="0.3">
      <c r="A512" s="1" t="s">
        <v>1010</v>
      </c>
      <c r="B512" s="1" t="s">
        <v>4201</v>
      </c>
      <c r="C512" s="1" t="s">
        <v>4202</v>
      </c>
      <c r="D512" s="1" t="s">
        <v>4203</v>
      </c>
      <c r="E512" s="1" t="s">
        <v>4204</v>
      </c>
      <c r="F512" s="1" t="s">
        <v>3744</v>
      </c>
      <c r="G512" s="1" t="s">
        <v>1944</v>
      </c>
      <c r="H512" s="1" t="s">
        <v>3745</v>
      </c>
      <c r="I512" t="s">
        <v>1937</v>
      </c>
    </row>
    <row r="513" spans="1:9" x14ac:dyDescent="0.3">
      <c r="A513" s="1" t="s">
        <v>1012</v>
      </c>
      <c r="B513" s="1" t="s">
        <v>4205</v>
      </c>
      <c r="C513" s="1" t="s">
        <v>4206</v>
      </c>
      <c r="D513" s="1" t="s">
        <v>4207</v>
      </c>
      <c r="E513" s="1" t="s">
        <v>4208</v>
      </c>
      <c r="F513" s="1" t="s">
        <v>2167</v>
      </c>
      <c r="G513" s="1" t="s">
        <v>1936</v>
      </c>
      <c r="H513" s="1">
        <v>35244</v>
      </c>
      <c r="I513" t="s">
        <v>1937</v>
      </c>
    </row>
    <row r="514" spans="1:9" x14ac:dyDescent="0.3">
      <c r="A514" s="1" t="s">
        <v>1014</v>
      </c>
      <c r="B514" s="1" t="s">
        <v>4209</v>
      </c>
      <c r="C514" s="1" t="s">
        <v>4210</v>
      </c>
      <c r="D514" s="1" t="s">
        <v>4211</v>
      </c>
      <c r="E514" s="1" t="s">
        <v>4212</v>
      </c>
      <c r="F514" s="1" t="s">
        <v>4213</v>
      </c>
      <c r="G514" s="1" t="s">
        <v>1936</v>
      </c>
      <c r="H514" s="1">
        <v>56372</v>
      </c>
      <c r="I514" t="s">
        <v>1946</v>
      </c>
    </row>
    <row r="515" spans="1:9" x14ac:dyDescent="0.3">
      <c r="A515" s="1" t="s">
        <v>1016</v>
      </c>
      <c r="B515" s="1" t="s">
        <v>4214</v>
      </c>
      <c r="C515" s="1" t="s">
        <v>4215</v>
      </c>
      <c r="D515" s="1"/>
      <c r="E515" s="1" t="s">
        <v>4216</v>
      </c>
      <c r="F515" s="1" t="s">
        <v>2012</v>
      </c>
      <c r="G515" s="1" t="s">
        <v>1936</v>
      </c>
      <c r="H515" s="1">
        <v>19191</v>
      </c>
      <c r="I515" t="s">
        <v>1946</v>
      </c>
    </row>
    <row r="516" spans="1:9" x14ac:dyDescent="0.3">
      <c r="A516" s="1" t="s">
        <v>1018</v>
      </c>
      <c r="B516" s="1" t="s">
        <v>4217</v>
      </c>
      <c r="C516" s="1" t="s">
        <v>4218</v>
      </c>
      <c r="D516" s="1" t="s">
        <v>4219</v>
      </c>
      <c r="E516" s="1" t="s">
        <v>4220</v>
      </c>
      <c r="F516" s="1" t="s">
        <v>2816</v>
      </c>
      <c r="G516" s="1" t="s">
        <v>1936</v>
      </c>
      <c r="H516" s="1">
        <v>48211</v>
      </c>
      <c r="I516" t="s">
        <v>1937</v>
      </c>
    </row>
    <row r="517" spans="1:9" x14ac:dyDescent="0.3">
      <c r="A517" s="1" t="s">
        <v>1020</v>
      </c>
      <c r="B517" s="1" t="s">
        <v>4221</v>
      </c>
      <c r="C517" s="1" t="s">
        <v>4222</v>
      </c>
      <c r="D517" s="1" t="s">
        <v>4223</v>
      </c>
      <c r="E517" s="1" t="s">
        <v>4224</v>
      </c>
      <c r="F517" s="1" t="s">
        <v>2008</v>
      </c>
      <c r="G517" s="1" t="s">
        <v>1936</v>
      </c>
      <c r="H517" s="1">
        <v>63180</v>
      </c>
      <c r="I517" t="s">
        <v>1946</v>
      </c>
    </row>
    <row r="518" spans="1:9" x14ac:dyDescent="0.3">
      <c r="A518" s="1" t="s">
        <v>1022</v>
      </c>
      <c r="B518" s="1" t="s">
        <v>4225</v>
      </c>
      <c r="C518" s="1"/>
      <c r="D518" s="1" t="s">
        <v>4226</v>
      </c>
      <c r="E518" s="1" t="s">
        <v>4227</v>
      </c>
      <c r="F518" s="1" t="s">
        <v>4228</v>
      </c>
      <c r="G518" s="1" t="s">
        <v>1936</v>
      </c>
      <c r="H518" s="1">
        <v>12305</v>
      </c>
      <c r="I518" t="s">
        <v>1937</v>
      </c>
    </row>
    <row r="519" spans="1:9" x14ac:dyDescent="0.3">
      <c r="A519" s="1" t="s">
        <v>1024</v>
      </c>
      <c r="B519" s="1" t="s">
        <v>4229</v>
      </c>
      <c r="C519" s="1"/>
      <c r="D519" s="1" t="s">
        <v>4230</v>
      </c>
      <c r="E519" s="1" t="s">
        <v>4231</v>
      </c>
      <c r="F519" s="1" t="s">
        <v>4232</v>
      </c>
      <c r="G519" s="1" t="s">
        <v>1936</v>
      </c>
      <c r="H519" s="1">
        <v>33805</v>
      </c>
      <c r="I519" t="s">
        <v>1946</v>
      </c>
    </row>
    <row r="520" spans="1:9" x14ac:dyDescent="0.3">
      <c r="A520" s="1" t="s">
        <v>1026</v>
      </c>
      <c r="B520" s="1" t="s">
        <v>4233</v>
      </c>
      <c r="C520" s="1" t="s">
        <v>4234</v>
      </c>
      <c r="D520" s="1" t="s">
        <v>4235</v>
      </c>
      <c r="E520" s="1" t="s">
        <v>4236</v>
      </c>
      <c r="F520" s="1" t="s">
        <v>4237</v>
      </c>
      <c r="G520" s="1" t="s">
        <v>1936</v>
      </c>
      <c r="H520" s="1">
        <v>32941</v>
      </c>
      <c r="I520" t="s">
        <v>1946</v>
      </c>
    </row>
    <row r="521" spans="1:9" x14ac:dyDescent="0.3">
      <c r="A521" s="1" t="s">
        <v>4238</v>
      </c>
      <c r="B521" s="1" t="s">
        <v>4239</v>
      </c>
      <c r="C521" s="1" t="s">
        <v>4240</v>
      </c>
      <c r="D521" s="1" t="s">
        <v>4241</v>
      </c>
      <c r="E521" s="1" t="s">
        <v>4242</v>
      </c>
      <c r="F521" s="1" t="s">
        <v>2022</v>
      </c>
      <c r="G521" s="1" t="s">
        <v>1936</v>
      </c>
      <c r="H521" s="1">
        <v>77075</v>
      </c>
      <c r="I521" t="s">
        <v>1946</v>
      </c>
    </row>
    <row r="522" spans="1:9" x14ac:dyDescent="0.3">
      <c r="A522" s="1" t="s">
        <v>1029</v>
      </c>
      <c r="B522" s="1" t="s">
        <v>4243</v>
      </c>
      <c r="C522" s="1" t="s">
        <v>4244</v>
      </c>
      <c r="D522" s="1" t="s">
        <v>4245</v>
      </c>
      <c r="E522" s="1" t="s">
        <v>4246</v>
      </c>
      <c r="F522" s="1" t="s">
        <v>2139</v>
      </c>
      <c r="G522" s="1" t="s">
        <v>1936</v>
      </c>
      <c r="H522" s="1">
        <v>70179</v>
      </c>
      <c r="I522" t="s">
        <v>1946</v>
      </c>
    </row>
    <row r="523" spans="1:9" x14ac:dyDescent="0.3">
      <c r="A523" s="1" t="s">
        <v>4247</v>
      </c>
      <c r="B523" s="1" t="s">
        <v>4248</v>
      </c>
      <c r="C523" s="1" t="s">
        <v>4249</v>
      </c>
      <c r="D523" s="1" t="s">
        <v>4250</v>
      </c>
      <c r="E523" s="1" t="s">
        <v>4251</v>
      </c>
      <c r="F523" s="1" t="s">
        <v>2357</v>
      </c>
      <c r="G523" s="1" t="s">
        <v>1936</v>
      </c>
      <c r="H523" s="1">
        <v>73142</v>
      </c>
      <c r="I523" t="s">
        <v>1946</v>
      </c>
    </row>
    <row r="524" spans="1:9" x14ac:dyDescent="0.3">
      <c r="A524" s="1" t="s">
        <v>1031</v>
      </c>
      <c r="B524" s="1" t="s">
        <v>4252</v>
      </c>
      <c r="C524" s="1" t="s">
        <v>4253</v>
      </c>
      <c r="D524" s="1" t="s">
        <v>4254</v>
      </c>
      <c r="E524" s="1" t="s">
        <v>4255</v>
      </c>
      <c r="F524" s="1" t="s">
        <v>3505</v>
      </c>
      <c r="G524" s="1" t="s">
        <v>1936</v>
      </c>
      <c r="H524" s="1">
        <v>66617</v>
      </c>
      <c r="I524" t="s">
        <v>1946</v>
      </c>
    </row>
    <row r="525" spans="1:9" x14ac:dyDescent="0.3">
      <c r="A525" s="1" t="s">
        <v>1033</v>
      </c>
      <c r="B525" s="1" t="s">
        <v>4256</v>
      </c>
      <c r="C525" s="1" t="s">
        <v>4257</v>
      </c>
      <c r="D525" s="1" t="s">
        <v>4258</v>
      </c>
      <c r="E525" s="1" t="s">
        <v>4259</v>
      </c>
      <c r="F525" s="1" t="s">
        <v>4260</v>
      </c>
      <c r="G525" s="1" t="s">
        <v>1944</v>
      </c>
      <c r="H525" s="1" t="s">
        <v>3613</v>
      </c>
      <c r="I525" t="s">
        <v>1946</v>
      </c>
    </row>
    <row r="526" spans="1:9" x14ac:dyDescent="0.3">
      <c r="A526" s="1" t="s">
        <v>1035</v>
      </c>
      <c r="B526" s="1" t="s">
        <v>4261</v>
      </c>
      <c r="C526" s="1"/>
      <c r="D526" s="1" t="s">
        <v>4262</v>
      </c>
      <c r="E526" s="1" t="s">
        <v>4263</v>
      </c>
      <c r="F526" s="1" t="s">
        <v>1957</v>
      </c>
      <c r="G526" s="1" t="s">
        <v>1936</v>
      </c>
      <c r="H526" s="1">
        <v>62723</v>
      </c>
      <c r="I526" t="s">
        <v>1946</v>
      </c>
    </row>
    <row r="527" spans="1:9" x14ac:dyDescent="0.3">
      <c r="A527" s="1" t="s">
        <v>1037</v>
      </c>
      <c r="B527" s="1" t="s">
        <v>4264</v>
      </c>
      <c r="C527" s="1"/>
      <c r="D527" s="1" t="s">
        <v>4265</v>
      </c>
      <c r="E527" s="1" t="s">
        <v>4266</v>
      </c>
      <c r="F527" s="1" t="s">
        <v>4267</v>
      </c>
      <c r="G527" s="1" t="s">
        <v>1936</v>
      </c>
      <c r="H527" s="1">
        <v>8104</v>
      </c>
      <c r="I527" t="s">
        <v>1937</v>
      </c>
    </row>
    <row r="528" spans="1:9" x14ac:dyDescent="0.3">
      <c r="A528" s="1" t="s">
        <v>1039</v>
      </c>
      <c r="B528" s="1" t="s">
        <v>4268</v>
      </c>
      <c r="C528" s="1" t="s">
        <v>4269</v>
      </c>
      <c r="D528" s="1" t="s">
        <v>4270</v>
      </c>
      <c r="E528" s="1" t="s">
        <v>4271</v>
      </c>
      <c r="F528" s="1" t="s">
        <v>3487</v>
      </c>
      <c r="G528" s="1" t="s">
        <v>1936</v>
      </c>
      <c r="H528" s="1">
        <v>98185</v>
      </c>
      <c r="I528" t="s">
        <v>1937</v>
      </c>
    </row>
    <row r="529" spans="1:9" x14ac:dyDescent="0.3">
      <c r="A529" s="1" t="s">
        <v>1041</v>
      </c>
      <c r="B529" s="1" t="s">
        <v>4272</v>
      </c>
      <c r="C529" s="1" t="s">
        <v>4273</v>
      </c>
      <c r="D529" s="1" t="s">
        <v>4274</v>
      </c>
      <c r="E529" s="1" t="s">
        <v>4275</v>
      </c>
      <c r="F529" s="1" t="s">
        <v>2237</v>
      </c>
      <c r="G529" s="1" t="s">
        <v>2111</v>
      </c>
      <c r="H529" s="1" t="s">
        <v>2238</v>
      </c>
      <c r="I529" t="s">
        <v>1946</v>
      </c>
    </row>
    <row r="530" spans="1:9" x14ac:dyDescent="0.3">
      <c r="A530" s="1" t="s">
        <v>1043</v>
      </c>
      <c r="B530" s="1" t="s">
        <v>4276</v>
      </c>
      <c r="C530" s="1" t="s">
        <v>4277</v>
      </c>
      <c r="D530" s="1" t="s">
        <v>4278</v>
      </c>
      <c r="E530" s="1" t="s">
        <v>4279</v>
      </c>
      <c r="F530" s="1" t="s">
        <v>4280</v>
      </c>
      <c r="G530" s="1" t="s">
        <v>1936</v>
      </c>
      <c r="H530" s="1">
        <v>76711</v>
      </c>
      <c r="I530" t="s">
        <v>1946</v>
      </c>
    </row>
    <row r="531" spans="1:9" x14ac:dyDescent="0.3">
      <c r="A531" s="1" t="s">
        <v>1045</v>
      </c>
      <c r="B531" s="1" t="s">
        <v>4281</v>
      </c>
      <c r="C531" s="1" t="s">
        <v>4282</v>
      </c>
      <c r="D531" s="1" t="s">
        <v>4283</v>
      </c>
      <c r="E531" s="1" t="s">
        <v>4284</v>
      </c>
      <c r="F531" s="1" t="s">
        <v>1999</v>
      </c>
      <c r="G531" s="1" t="s">
        <v>1936</v>
      </c>
      <c r="H531" s="1">
        <v>23242</v>
      </c>
      <c r="I531" t="s">
        <v>1946</v>
      </c>
    </row>
    <row r="532" spans="1:9" x14ac:dyDescent="0.3">
      <c r="A532" s="1" t="s">
        <v>1047</v>
      </c>
      <c r="B532" s="1" t="s">
        <v>4285</v>
      </c>
      <c r="C532" s="1" t="s">
        <v>4286</v>
      </c>
      <c r="D532" s="1" t="s">
        <v>4287</v>
      </c>
      <c r="E532" s="1" t="s">
        <v>4288</v>
      </c>
      <c r="F532" s="1" t="s">
        <v>2206</v>
      </c>
      <c r="G532" s="1" t="s">
        <v>1936</v>
      </c>
      <c r="H532" s="1">
        <v>43610</v>
      </c>
      <c r="I532" t="s">
        <v>1946</v>
      </c>
    </row>
    <row r="533" spans="1:9" x14ac:dyDescent="0.3">
      <c r="A533" s="1" t="s">
        <v>1049</v>
      </c>
      <c r="B533" s="1" t="s">
        <v>4289</v>
      </c>
      <c r="C533" s="1" t="s">
        <v>4290</v>
      </c>
      <c r="D533" s="1" t="s">
        <v>4291</v>
      </c>
      <c r="E533" s="1" t="s">
        <v>4292</v>
      </c>
      <c r="F533" s="1" t="s">
        <v>2476</v>
      </c>
      <c r="G533" s="1" t="s">
        <v>1936</v>
      </c>
      <c r="H533" s="1">
        <v>25705</v>
      </c>
      <c r="I533" t="s">
        <v>1946</v>
      </c>
    </row>
    <row r="534" spans="1:9" x14ac:dyDescent="0.3">
      <c r="A534" s="1" t="s">
        <v>1051</v>
      </c>
      <c r="B534" s="1" t="s">
        <v>4293</v>
      </c>
      <c r="C534" s="1" t="s">
        <v>4294</v>
      </c>
      <c r="D534" s="1" t="s">
        <v>4295</v>
      </c>
      <c r="E534" s="1" t="s">
        <v>4296</v>
      </c>
      <c r="F534" s="1" t="s">
        <v>4297</v>
      </c>
      <c r="G534" s="1" t="s">
        <v>1936</v>
      </c>
      <c r="H534" s="1">
        <v>33884</v>
      </c>
      <c r="I534" t="s">
        <v>1937</v>
      </c>
    </row>
    <row r="535" spans="1:9" x14ac:dyDescent="0.3">
      <c r="A535" s="1" t="s">
        <v>1053</v>
      </c>
      <c r="B535" s="1" t="s">
        <v>4298</v>
      </c>
      <c r="C535" s="1"/>
      <c r="D535" s="1" t="s">
        <v>4299</v>
      </c>
      <c r="E535" s="1" t="s">
        <v>4300</v>
      </c>
      <c r="F535" s="1" t="s">
        <v>2320</v>
      </c>
      <c r="G535" s="1" t="s">
        <v>1936</v>
      </c>
      <c r="H535" s="1">
        <v>75323</v>
      </c>
      <c r="I535" t="s">
        <v>1946</v>
      </c>
    </row>
    <row r="536" spans="1:9" x14ac:dyDescent="0.3">
      <c r="A536" s="1" t="s">
        <v>1055</v>
      </c>
      <c r="B536" s="1" t="s">
        <v>4301</v>
      </c>
      <c r="C536" s="1" t="s">
        <v>4302</v>
      </c>
      <c r="D536" s="1" t="s">
        <v>4303</v>
      </c>
      <c r="E536" s="1" t="s">
        <v>4304</v>
      </c>
      <c r="F536" s="1" t="s">
        <v>2340</v>
      </c>
      <c r="G536" s="1" t="s">
        <v>1944</v>
      </c>
      <c r="H536" s="1" t="s">
        <v>2341</v>
      </c>
      <c r="I536" t="s">
        <v>1937</v>
      </c>
    </row>
    <row r="537" spans="1:9" x14ac:dyDescent="0.3">
      <c r="A537" s="1" t="s">
        <v>1057</v>
      </c>
      <c r="B537" s="1" t="s">
        <v>4305</v>
      </c>
      <c r="C537" s="1"/>
      <c r="D537" s="1" t="s">
        <v>4306</v>
      </c>
      <c r="E537" s="1" t="s">
        <v>4307</v>
      </c>
      <c r="F537" s="1" t="s">
        <v>2595</v>
      </c>
      <c r="G537" s="1" t="s">
        <v>1944</v>
      </c>
      <c r="H537" s="1" t="s">
        <v>2540</v>
      </c>
      <c r="I537" t="s">
        <v>1946</v>
      </c>
    </row>
    <row r="538" spans="1:9" x14ac:dyDescent="0.3">
      <c r="A538" s="1" t="s">
        <v>4308</v>
      </c>
      <c r="B538" s="1" t="s">
        <v>4309</v>
      </c>
      <c r="C538" s="1" t="s">
        <v>4310</v>
      </c>
      <c r="D538" s="1" t="s">
        <v>4311</v>
      </c>
      <c r="E538" s="1" t="s">
        <v>4312</v>
      </c>
      <c r="F538" s="1" t="s">
        <v>2282</v>
      </c>
      <c r="G538" s="1" t="s">
        <v>1936</v>
      </c>
      <c r="H538" s="1">
        <v>43231</v>
      </c>
      <c r="I538" t="s">
        <v>1946</v>
      </c>
    </row>
    <row r="539" spans="1:9" x14ac:dyDescent="0.3">
      <c r="A539" s="1" t="s">
        <v>1060</v>
      </c>
      <c r="B539" s="1" t="s">
        <v>4313</v>
      </c>
      <c r="C539" s="1" t="s">
        <v>4314</v>
      </c>
      <c r="D539" s="1"/>
      <c r="E539" s="1" t="s">
        <v>4315</v>
      </c>
      <c r="F539" s="1" t="s">
        <v>2550</v>
      </c>
      <c r="G539" s="1" t="s">
        <v>1936</v>
      </c>
      <c r="H539" s="1">
        <v>47747</v>
      </c>
      <c r="I539" t="s">
        <v>1937</v>
      </c>
    </row>
    <row r="540" spans="1:9" x14ac:dyDescent="0.3">
      <c r="A540" s="1" t="s">
        <v>1062</v>
      </c>
      <c r="B540" s="1" t="s">
        <v>4316</v>
      </c>
      <c r="C540" s="1" t="s">
        <v>4317</v>
      </c>
      <c r="D540" s="1"/>
      <c r="E540" s="1" t="s">
        <v>4318</v>
      </c>
      <c r="F540" s="1" t="s">
        <v>4319</v>
      </c>
      <c r="G540" s="1" t="s">
        <v>1936</v>
      </c>
      <c r="H540" s="1">
        <v>60567</v>
      </c>
      <c r="I540" t="s">
        <v>1937</v>
      </c>
    </row>
    <row r="541" spans="1:9" x14ac:dyDescent="0.3">
      <c r="A541" s="1" t="s">
        <v>1064</v>
      </c>
      <c r="B541" s="1" t="s">
        <v>4320</v>
      </c>
      <c r="C541" s="1" t="s">
        <v>4321</v>
      </c>
      <c r="D541" s="1"/>
      <c r="E541" s="1" t="s">
        <v>4322</v>
      </c>
      <c r="F541" s="1" t="s">
        <v>2117</v>
      </c>
      <c r="G541" s="1" t="s">
        <v>1936</v>
      </c>
      <c r="H541" s="1">
        <v>29424</v>
      </c>
      <c r="I541" t="s">
        <v>1946</v>
      </c>
    </row>
    <row r="542" spans="1:9" x14ac:dyDescent="0.3">
      <c r="A542" s="1" t="s">
        <v>1066</v>
      </c>
      <c r="B542" s="1" t="s">
        <v>4323</v>
      </c>
      <c r="C542" s="1" t="s">
        <v>4324</v>
      </c>
      <c r="D542" s="1" t="s">
        <v>4325</v>
      </c>
      <c r="E542" s="1" t="s">
        <v>4326</v>
      </c>
      <c r="F542" s="1" t="s">
        <v>2795</v>
      </c>
      <c r="G542" s="1" t="s">
        <v>1936</v>
      </c>
      <c r="H542" s="1">
        <v>48930</v>
      </c>
      <c r="I542" t="s">
        <v>1937</v>
      </c>
    </row>
    <row r="543" spans="1:9" x14ac:dyDescent="0.3">
      <c r="A543" s="1" t="s">
        <v>1068</v>
      </c>
      <c r="B543" s="1" t="s">
        <v>4327</v>
      </c>
      <c r="C543" s="1"/>
      <c r="D543" s="1" t="s">
        <v>4328</v>
      </c>
      <c r="E543" s="1" t="s">
        <v>4329</v>
      </c>
      <c r="F543" s="1" t="s">
        <v>4330</v>
      </c>
      <c r="G543" s="1" t="s">
        <v>1944</v>
      </c>
      <c r="H543" s="1" t="s">
        <v>4194</v>
      </c>
      <c r="I543" t="s">
        <v>1937</v>
      </c>
    </row>
    <row r="544" spans="1:9" x14ac:dyDescent="0.3">
      <c r="A544" s="1" t="s">
        <v>1070</v>
      </c>
      <c r="B544" s="1" t="s">
        <v>4331</v>
      </c>
      <c r="C544" s="1" t="s">
        <v>4332</v>
      </c>
      <c r="D544" s="1" t="s">
        <v>4333</v>
      </c>
      <c r="E544" s="1" t="s">
        <v>4334</v>
      </c>
      <c r="F544" s="1" t="s">
        <v>3519</v>
      </c>
      <c r="G544" s="1" t="s">
        <v>1936</v>
      </c>
      <c r="H544" s="1">
        <v>71115</v>
      </c>
      <c r="I544" t="s">
        <v>1946</v>
      </c>
    </row>
    <row r="545" spans="1:9" x14ac:dyDescent="0.3">
      <c r="A545" s="1" t="s">
        <v>1072</v>
      </c>
      <c r="B545" s="1" t="s">
        <v>4335</v>
      </c>
      <c r="C545" s="1" t="s">
        <v>4336</v>
      </c>
      <c r="D545" s="1" t="s">
        <v>4337</v>
      </c>
      <c r="E545" s="1" t="s">
        <v>4338</v>
      </c>
      <c r="F545" s="1" t="s">
        <v>1990</v>
      </c>
      <c r="G545" s="1" t="s">
        <v>1936</v>
      </c>
      <c r="H545" s="1">
        <v>95194</v>
      </c>
      <c r="I545" t="s">
        <v>1946</v>
      </c>
    </row>
    <row r="546" spans="1:9" x14ac:dyDescent="0.3">
      <c r="A546" s="1" t="s">
        <v>1074</v>
      </c>
      <c r="B546" s="1" t="s">
        <v>4339</v>
      </c>
      <c r="C546" s="1" t="s">
        <v>4340</v>
      </c>
      <c r="D546" s="1" t="s">
        <v>4341</v>
      </c>
      <c r="E546" s="1" t="s">
        <v>4342</v>
      </c>
      <c r="F546" s="1" t="s">
        <v>2012</v>
      </c>
      <c r="G546" s="1" t="s">
        <v>1936</v>
      </c>
      <c r="H546" s="1">
        <v>19104</v>
      </c>
      <c r="I546" t="s">
        <v>1946</v>
      </c>
    </row>
    <row r="547" spans="1:9" x14ac:dyDescent="0.3">
      <c r="A547" s="1" t="s">
        <v>1076</v>
      </c>
      <c r="B547" s="1" t="s">
        <v>4343</v>
      </c>
      <c r="C547" s="1" t="s">
        <v>4344</v>
      </c>
      <c r="D547" s="1" t="s">
        <v>4345</v>
      </c>
      <c r="E547" s="1" t="s">
        <v>4346</v>
      </c>
      <c r="F547" s="1" t="s">
        <v>3129</v>
      </c>
      <c r="G547" s="1" t="s">
        <v>2111</v>
      </c>
      <c r="H547" s="1" t="s">
        <v>3130</v>
      </c>
      <c r="I547" t="s">
        <v>1946</v>
      </c>
    </row>
    <row r="548" spans="1:9" x14ac:dyDescent="0.3">
      <c r="A548" s="1" t="s">
        <v>1078</v>
      </c>
      <c r="B548" s="1" t="s">
        <v>4347</v>
      </c>
      <c r="C548" s="1"/>
      <c r="D548" s="1" t="s">
        <v>4348</v>
      </c>
      <c r="E548" s="1" t="s">
        <v>4349</v>
      </c>
      <c r="F548" s="1" t="s">
        <v>4350</v>
      </c>
      <c r="G548" s="1" t="s">
        <v>1944</v>
      </c>
      <c r="H548" s="1" t="s">
        <v>4351</v>
      </c>
      <c r="I548" t="s">
        <v>1946</v>
      </c>
    </row>
    <row r="549" spans="1:9" x14ac:dyDescent="0.3">
      <c r="A549" s="1" t="s">
        <v>4352</v>
      </c>
      <c r="B549" s="1" t="s">
        <v>4353</v>
      </c>
      <c r="C549" s="1"/>
      <c r="D549" s="1" t="s">
        <v>4354</v>
      </c>
      <c r="E549" s="1" t="s">
        <v>4355</v>
      </c>
      <c r="F549" s="1" t="s">
        <v>3311</v>
      </c>
      <c r="G549" s="1" t="s">
        <v>1936</v>
      </c>
      <c r="H549" s="1">
        <v>21229</v>
      </c>
      <c r="I549" t="s">
        <v>1937</v>
      </c>
    </row>
    <row r="550" spans="1:9" x14ac:dyDescent="0.3">
      <c r="A550" s="1" t="s">
        <v>1082</v>
      </c>
      <c r="B550" s="1" t="s">
        <v>4356</v>
      </c>
      <c r="C550" s="1" t="s">
        <v>4357</v>
      </c>
      <c r="D550" s="1" t="s">
        <v>4358</v>
      </c>
      <c r="E550" s="1" t="s">
        <v>4359</v>
      </c>
      <c r="F550" s="1" t="s">
        <v>2357</v>
      </c>
      <c r="G550" s="1" t="s">
        <v>1936</v>
      </c>
      <c r="H550" s="1">
        <v>73119</v>
      </c>
      <c r="I550" t="s">
        <v>1937</v>
      </c>
    </row>
    <row r="551" spans="1:9" x14ac:dyDescent="0.3">
      <c r="A551" s="1" t="s">
        <v>1080</v>
      </c>
      <c r="B551" s="1" t="s">
        <v>4360</v>
      </c>
      <c r="C551" s="1" t="s">
        <v>4361</v>
      </c>
      <c r="D551" s="1" t="s">
        <v>4362</v>
      </c>
      <c r="E551" s="1" t="s">
        <v>4363</v>
      </c>
      <c r="F551" s="1" t="s">
        <v>2032</v>
      </c>
      <c r="G551" s="1" t="s">
        <v>1936</v>
      </c>
      <c r="H551" s="1">
        <v>10060</v>
      </c>
      <c r="I551" t="s">
        <v>1937</v>
      </c>
    </row>
    <row r="552" spans="1:9" x14ac:dyDescent="0.3">
      <c r="A552" s="1" t="s">
        <v>1085</v>
      </c>
      <c r="B552" s="1" t="s">
        <v>4364</v>
      </c>
      <c r="C552" s="1" t="s">
        <v>4365</v>
      </c>
      <c r="D552" s="1" t="s">
        <v>4366</v>
      </c>
      <c r="E552" s="1" t="s">
        <v>4367</v>
      </c>
      <c r="F552" s="1" t="s">
        <v>2251</v>
      </c>
      <c r="G552" s="1" t="s">
        <v>1936</v>
      </c>
      <c r="H552" s="1">
        <v>7112</v>
      </c>
      <c r="I552" t="s">
        <v>1937</v>
      </c>
    </row>
    <row r="553" spans="1:9" x14ac:dyDescent="0.3">
      <c r="A553" s="1" t="s">
        <v>1087</v>
      </c>
      <c r="B553" s="1" t="s">
        <v>4368</v>
      </c>
      <c r="C553" s="1" t="s">
        <v>4369</v>
      </c>
      <c r="D553" s="1" t="s">
        <v>4370</v>
      </c>
      <c r="E553" s="1" t="s">
        <v>4371</v>
      </c>
      <c r="F553" s="1" t="s">
        <v>3672</v>
      </c>
      <c r="G553" s="1" t="s">
        <v>1936</v>
      </c>
      <c r="H553" s="1">
        <v>6510</v>
      </c>
      <c r="I553" t="s">
        <v>1946</v>
      </c>
    </row>
    <row r="554" spans="1:9" x14ac:dyDescent="0.3">
      <c r="A554" s="1" t="s">
        <v>1089</v>
      </c>
      <c r="B554" s="1" t="s">
        <v>4372</v>
      </c>
      <c r="C554" s="1" t="s">
        <v>4373</v>
      </c>
      <c r="D554" s="1" t="s">
        <v>4374</v>
      </c>
      <c r="E554" s="1" t="s">
        <v>4375</v>
      </c>
      <c r="F554" s="1" t="s">
        <v>3360</v>
      </c>
      <c r="G554" s="1" t="s">
        <v>2111</v>
      </c>
      <c r="H554" s="1" t="s">
        <v>3361</v>
      </c>
      <c r="I554" t="s">
        <v>1937</v>
      </c>
    </row>
    <row r="555" spans="1:9" x14ac:dyDescent="0.3">
      <c r="A555" s="1" t="s">
        <v>1091</v>
      </c>
      <c r="B555" s="1" t="s">
        <v>4376</v>
      </c>
      <c r="C555" s="1" t="s">
        <v>4377</v>
      </c>
      <c r="D555" s="1"/>
      <c r="E555" s="1" t="s">
        <v>4378</v>
      </c>
      <c r="F555" s="1" t="s">
        <v>2206</v>
      </c>
      <c r="G555" s="1" t="s">
        <v>1936</v>
      </c>
      <c r="H555" s="1">
        <v>43610</v>
      </c>
      <c r="I555" t="s">
        <v>1946</v>
      </c>
    </row>
    <row r="556" spans="1:9" x14ac:dyDescent="0.3">
      <c r="A556" s="1" t="s">
        <v>1093</v>
      </c>
      <c r="B556" s="1" t="s">
        <v>4379</v>
      </c>
      <c r="C556" s="1"/>
      <c r="D556" s="1" t="s">
        <v>4380</v>
      </c>
      <c r="E556" s="1" t="s">
        <v>4381</v>
      </c>
      <c r="F556" s="1" t="s">
        <v>3159</v>
      </c>
      <c r="G556" s="1" t="s">
        <v>2111</v>
      </c>
      <c r="H556" s="1" t="s">
        <v>4382</v>
      </c>
      <c r="I556" t="s">
        <v>1937</v>
      </c>
    </row>
    <row r="557" spans="1:9" x14ac:dyDescent="0.3">
      <c r="A557" s="1" t="s">
        <v>1095</v>
      </c>
      <c r="B557" s="1" t="s">
        <v>4383</v>
      </c>
      <c r="C557" s="1" t="s">
        <v>4384</v>
      </c>
      <c r="D557" s="1" t="s">
        <v>4385</v>
      </c>
      <c r="E557" s="1" t="s">
        <v>4386</v>
      </c>
      <c r="F557" s="1" t="s">
        <v>4387</v>
      </c>
      <c r="G557" s="1" t="s">
        <v>1944</v>
      </c>
      <c r="H557" s="1" t="s">
        <v>4388</v>
      </c>
      <c r="I557" t="s">
        <v>1946</v>
      </c>
    </row>
    <row r="558" spans="1:9" x14ac:dyDescent="0.3">
      <c r="A558" s="1" t="s">
        <v>1097</v>
      </c>
      <c r="B558" s="1" t="s">
        <v>4389</v>
      </c>
      <c r="C558" s="1" t="s">
        <v>4390</v>
      </c>
      <c r="D558" s="1"/>
      <c r="E558" s="1" t="s">
        <v>4391</v>
      </c>
      <c r="F558" s="1" t="s">
        <v>3519</v>
      </c>
      <c r="G558" s="1" t="s">
        <v>1936</v>
      </c>
      <c r="H558" s="1">
        <v>71161</v>
      </c>
      <c r="I558" t="s">
        <v>1937</v>
      </c>
    </row>
    <row r="559" spans="1:9" x14ac:dyDescent="0.3">
      <c r="A559" s="1" t="s">
        <v>4392</v>
      </c>
      <c r="B559" s="1" t="s">
        <v>4393</v>
      </c>
      <c r="C559" s="1"/>
      <c r="D559" s="1" t="s">
        <v>4394</v>
      </c>
      <c r="E559" s="1" t="s">
        <v>4395</v>
      </c>
      <c r="F559" s="1" t="s">
        <v>4396</v>
      </c>
      <c r="G559" s="1" t="s">
        <v>1936</v>
      </c>
      <c r="H559" s="1">
        <v>32835</v>
      </c>
      <c r="I559" t="s">
        <v>1946</v>
      </c>
    </row>
    <row r="560" spans="1:9" x14ac:dyDescent="0.3">
      <c r="A560" s="1" t="s">
        <v>1100</v>
      </c>
      <c r="B560" s="1" t="s">
        <v>4397</v>
      </c>
      <c r="C560" s="1"/>
      <c r="D560" s="1" t="s">
        <v>4398</v>
      </c>
      <c r="E560" s="1" t="s">
        <v>4399</v>
      </c>
      <c r="F560" s="1" t="s">
        <v>3315</v>
      </c>
      <c r="G560" s="1" t="s">
        <v>1936</v>
      </c>
      <c r="H560" s="1">
        <v>40515</v>
      </c>
      <c r="I560" t="s">
        <v>1937</v>
      </c>
    </row>
    <row r="561" spans="1:9" x14ac:dyDescent="0.3">
      <c r="A561" s="1" t="s">
        <v>1102</v>
      </c>
      <c r="B561" s="1" t="s">
        <v>4400</v>
      </c>
      <c r="C561" s="1" t="s">
        <v>4401</v>
      </c>
      <c r="D561" s="1" t="s">
        <v>4402</v>
      </c>
      <c r="E561" s="1" t="s">
        <v>4403</v>
      </c>
      <c r="F561" s="1" t="s">
        <v>3116</v>
      </c>
      <c r="G561" s="1" t="s">
        <v>1936</v>
      </c>
      <c r="H561" s="1">
        <v>53263</v>
      </c>
      <c r="I561" t="s">
        <v>1937</v>
      </c>
    </row>
    <row r="562" spans="1:9" x14ac:dyDescent="0.3">
      <c r="A562" s="1" t="s">
        <v>1104</v>
      </c>
      <c r="B562" s="1" t="s">
        <v>4404</v>
      </c>
      <c r="C562" s="1"/>
      <c r="D562" s="1" t="s">
        <v>4405</v>
      </c>
      <c r="E562" s="1" t="s">
        <v>4406</v>
      </c>
      <c r="F562" s="1" t="s">
        <v>4407</v>
      </c>
      <c r="G562" s="1" t="s">
        <v>1936</v>
      </c>
      <c r="H562" s="1">
        <v>79176</v>
      </c>
      <c r="I562" t="s">
        <v>1937</v>
      </c>
    </row>
    <row r="563" spans="1:9" x14ac:dyDescent="0.3">
      <c r="A563" s="1" t="s">
        <v>1106</v>
      </c>
      <c r="B563" s="1" t="s">
        <v>4408</v>
      </c>
      <c r="C563" s="1"/>
      <c r="D563" s="1" t="s">
        <v>4409</v>
      </c>
      <c r="E563" s="1" t="s">
        <v>4410</v>
      </c>
      <c r="F563" s="1" t="s">
        <v>4411</v>
      </c>
      <c r="G563" s="1" t="s">
        <v>1944</v>
      </c>
      <c r="H563" s="1" t="s">
        <v>4412</v>
      </c>
      <c r="I563" t="s">
        <v>1937</v>
      </c>
    </row>
    <row r="564" spans="1:9" x14ac:dyDescent="0.3">
      <c r="A564" s="1" t="s">
        <v>1108</v>
      </c>
      <c r="B564" s="1" t="s">
        <v>4413</v>
      </c>
      <c r="C564" s="1" t="s">
        <v>4414</v>
      </c>
      <c r="D564" s="1" t="s">
        <v>4415</v>
      </c>
      <c r="E564" s="1" t="s">
        <v>4416</v>
      </c>
      <c r="F564" s="1" t="s">
        <v>4417</v>
      </c>
      <c r="G564" s="1" t="s">
        <v>2111</v>
      </c>
      <c r="H564" s="1" t="s">
        <v>4418</v>
      </c>
      <c r="I564" t="s">
        <v>1946</v>
      </c>
    </row>
    <row r="565" spans="1:9" x14ac:dyDescent="0.3">
      <c r="A565" s="1" t="s">
        <v>4419</v>
      </c>
      <c r="B565" s="1" t="s">
        <v>4420</v>
      </c>
      <c r="C565" s="1" t="s">
        <v>4421</v>
      </c>
      <c r="D565" s="1" t="s">
        <v>4422</v>
      </c>
      <c r="E565" s="1" t="s">
        <v>4423</v>
      </c>
      <c r="F565" s="1" t="s">
        <v>3044</v>
      </c>
      <c r="G565" s="1" t="s">
        <v>1936</v>
      </c>
      <c r="H565" s="1">
        <v>30323</v>
      </c>
      <c r="I565" t="s">
        <v>1946</v>
      </c>
    </row>
    <row r="566" spans="1:9" x14ac:dyDescent="0.3">
      <c r="A566" s="1" t="s">
        <v>1112</v>
      </c>
      <c r="B566" s="1" t="s">
        <v>4424</v>
      </c>
      <c r="C566" s="1" t="s">
        <v>4425</v>
      </c>
      <c r="D566" s="1" t="s">
        <v>4426</v>
      </c>
      <c r="E566" s="1" t="s">
        <v>4427</v>
      </c>
      <c r="F566" s="1" t="s">
        <v>3407</v>
      </c>
      <c r="G566" s="1" t="s">
        <v>1936</v>
      </c>
      <c r="H566" s="1">
        <v>37924</v>
      </c>
      <c r="I566" t="s">
        <v>1946</v>
      </c>
    </row>
    <row r="567" spans="1:9" x14ac:dyDescent="0.3">
      <c r="A567" s="1" t="s">
        <v>1114</v>
      </c>
      <c r="B567" s="1" t="s">
        <v>4428</v>
      </c>
      <c r="C567" s="1" t="s">
        <v>4429</v>
      </c>
      <c r="D567" s="1" t="s">
        <v>4430</v>
      </c>
      <c r="E567" s="1" t="s">
        <v>4431</v>
      </c>
      <c r="F567" s="1" t="s">
        <v>2983</v>
      </c>
      <c r="G567" s="1" t="s">
        <v>1936</v>
      </c>
      <c r="H567" s="1">
        <v>66225</v>
      </c>
      <c r="I567" t="s">
        <v>1946</v>
      </c>
    </row>
    <row r="568" spans="1:9" x14ac:dyDescent="0.3">
      <c r="A568" s="1" t="s">
        <v>1116</v>
      </c>
      <c r="B568" s="1" t="s">
        <v>4432</v>
      </c>
      <c r="C568" s="1" t="s">
        <v>4433</v>
      </c>
      <c r="D568" s="1" t="s">
        <v>4434</v>
      </c>
      <c r="E568" s="1" t="s">
        <v>4435</v>
      </c>
      <c r="F568" s="1" t="s">
        <v>2186</v>
      </c>
      <c r="G568" s="1" t="s">
        <v>1936</v>
      </c>
      <c r="H568" s="1">
        <v>33330</v>
      </c>
      <c r="I568" t="s">
        <v>1937</v>
      </c>
    </row>
    <row r="569" spans="1:9" x14ac:dyDescent="0.3">
      <c r="A569" s="1" t="s">
        <v>1118</v>
      </c>
      <c r="B569" s="1" t="s">
        <v>4436</v>
      </c>
      <c r="C569" s="1"/>
      <c r="D569" s="1" t="s">
        <v>4437</v>
      </c>
      <c r="E569" s="1" t="s">
        <v>4438</v>
      </c>
      <c r="F569" s="1" t="s">
        <v>2071</v>
      </c>
      <c r="G569" s="1" t="s">
        <v>1944</v>
      </c>
      <c r="H569" s="1" t="s">
        <v>2072</v>
      </c>
      <c r="I569" t="s">
        <v>1946</v>
      </c>
    </row>
    <row r="570" spans="1:9" x14ac:dyDescent="0.3">
      <c r="A570" s="1" t="s">
        <v>1120</v>
      </c>
      <c r="B570" s="1" t="s">
        <v>4439</v>
      </c>
      <c r="C570" s="1" t="s">
        <v>4440</v>
      </c>
      <c r="D570" s="1" t="s">
        <v>4441</v>
      </c>
      <c r="E570" s="1" t="s">
        <v>4442</v>
      </c>
      <c r="F570" s="1" t="s">
        <v>2382</v>
      </c>
      <c r="G570" s="1" t="s">
        <v>1936</v>
      </c>
      <c r="H570" s="1">
        <v>78715</v>
      </c>
      <c r="I570" t="s">
        <v>1937</v>
      </c>
    </row>
    <row r="571" spans="1:9" x14ac:dyDescent="0.3">
      <c r="A571" s="1" t="s">
        <v>4443</v>
      </c>
      <c r="B571" s="1" t="s">
        <v>4444</v>
      </c>
      <c r="C571" s="1" t="s">
        <v>4445</v>
      </c>
      <c r="D571" s="1" t="s">
        <v>4446</v>
      </c>
      <c r="E571" s="1" t="s">
        <v>4447</v>
      </c>
      <c r="F571" s="1" t="s">
        <v>4188</v>
      </c>
      <c r="G571" s="1" t="s">
        <v>1936</v>
      </c>
      <c r="H571" s="1">
        <v>44105</v>
      </c>
      <c r="I571" t="s">
        <v>1946</v>
      </c>
    </row>
    <row r="572" spans="1:9" x14ac:dyDescent="0.3">
      <c r="A572" s="1" t="s">
        <v>1123</v>
      </c>
      <c r="B572" s="1" t="s">
        <v>4448</v>
      </c>
      <c r="C572" s="1" t="s">
        <v>4449</v>
      </c>
      <c r="D572" s="1" t="s">
        <v>4450</v>
      </c>
      <c r="E572" s="1" t="s">
        <v>4451</v>
      </c>
      <c r="F572" s="1" t="s">
        <v>4452</v>
      </c>
      <c r="G572" s="1" t="s">
        <v>1936</v>
      </c>
      <c r="H572" s="1">
        <v>20784</v>
      </c>
      <c r="I572" t="s">
        <v>1946</v>
      </c>
    </row>
    <row r="573" spans="1:9" x14ac:dyDescent="0.3">
      <c r="A573" s="1" t="s">
        <v>1125</v>
      </c>
      <c r="B573" s="1" t="s">
        <v>4453</v>
      </c>
      <c r="C573" s="1" t="s">
        <v>4454</v>
      </c>
      <c r="D573" s="1" t="s">
        <v>4455</v>
      </c>
      <c r="E573" s="1" t="s">
        <v>4456</v>
      </c>
      <c r="F573" s="1" t="s">
        <v>4457</v>
      </c>
      <c r="G573" s="1" t="s">
        <v>2111</v>
      </c>
      <c r="H573" s="1" t="s">
        <v>4458</v>
      </c>
      <c r="I573" t="s">
        <v>1946</v>
      </c>
    </row>
    <row r="574" spans="1:9" x14ac:dyDescent="0.3">
      <c r="A574" s="1" t="s">
        <v>1127</v>
      </c>
      <c r="B574" s="1" t="s">
        <v>4459</v>
      </c>
      <c r="C574" s="1"/>
      <c r="D574" s="1"/>
      <c r="E574" s="1" t="s">
        <v>4460</v>
      </c>
      <c r="F574" s="1" t="s">
        <v>2942</v>
      </c>
      <c r="G574" s="1" t="s">
        <v>1936</v>
      </c>
      <c r="H574" s="1">
        <v>91103</v>
      </c>
      <c r="I574" t="s">
        <v>1937</v>
      </c>
    </row>
    <row r="575" spans="1:9" x14ac:dyDescent="0.3">
      <c r="A575" s="1" t="s">
        <v>1129</v>
      </c>
      <c r="B575" s="1" t="s">
        <v>4461</v>
      </c>
      <c r="C575" s="1" t="s">
        <v>4462</v>
      </c>
      <c r="D575" s="1" t="s">
        <v>4463</v>
      </c>
      <c r="E575" s="1" t="s">
        <v>4464</v>
      </c>
      <c r="F575" s="1" t="s">
        <v>3519</v>
      </c>
      <c r="G575" s="1" t="s">
        <v>1936</v>
      </c>
      <c r="H575" s="1">
        <v>71161</v>
      </c>
      <c r="I575" t="s">
        <v>1946</v>
      </c>
    </row>
    <row r="576" spans="1:9" x14ac:dyDescent="0.3">
      <c r="A576" s="1" t="s">
        <v>1131</v>
      </c>
      <c r="B576" s="1" t="s">
        <v>4465</v>
      </c>
      <c r="C576" s="1" t="s">
        <v>4466</v>
      </c>
      <c r="D576" s="1"/>
      <c r="E576" s="1" t="s">
        <v>4467</v>
      </c>
      <c r="F576" s="1" t="s">
        <v>2220</v>
      </c>
      <c r="G576" s="1" t="s">
        <v>1936</v>
      </c>
      <c r="H576" s="1">
        <v>32590</v>
      </c>
      <c r="I576" t="s">
        <v>1937</v>
      </c>
    </row>
    <row r="577" spans="1:9" x14ac:dyDescent="0.3">
      <c r="A577" s="1" t="s">
        <v>1133</v>
      </c>
      <c r="B577" s="1" t="s">
        <v>4468</v>
      </c>
      <c r="C577" s="1" t="s">
        <v>4469</v>
      </c>
      <c r="D577" s="1" t="s">
        <v>4470</v>
      </c>
      <c r="E577" s="1" t="s">
        <v>4471</v>
      </c>
      <c r="F577" s="1" t="s">
        <v>1981</v>
      </c>
      <c r="G577" s="1" t="s">
        <v>1936</v>
      </c>
      <c r="H577" s="1">
        <v>90035</v>
      </c>
      <c r="I577" t="s">
        <v>1946</v>
      </c>
    </row>
    <row r="578" spans="1:9" x14ac:dyDescent="0.3">
      <c r="A578" s="1" t="s">
        <v>1135</v>
      </c>
      <c r="B578" s="1" t="s">
        <v>4472</v>
      </c>
      <c r="C578" s="1" t="s">
        <v>4473</v>
      </c>
      <c r="D578" s="1" t="s">
        <v>4474</v>
      </c>
      <c r="E578" s="1" t="s">
        <v>4475</v>
      </c>
      <c r="F578" s="1" t="s">
        <v>4476</v>
      </c>
      <c r="G578" s="1" t="s">
        <v>1936</v>
      </c>
      <c r="H578" s="1">
        <v>27705</v>
      </c>
      <c r="I578" t="s">
        <v>1946</v>
      </c>
    </row>
    <row r="579" spans="1:9" x14ac:dyDescent="0.3">
      <c r="A579" s="1" t="s">
        <v>1110</v>
      </c>
      <c r="B579" s="1" t="s">
        <v>4477</v>
      </c>
      <c r="C579" s="1" t="s">
        <v>4478</v>
      </c>
      <c r="D579" s="1"/>
      <c r="E579" s="1" t="s">
        <v>4479</v>
      </c>
      <c r="F579" s="1" t="s">
        <v>4480</v>
      </c>
      <c r="G579" s="1" t="s">
        <v>2111</v>
      </c>
      <c r="H579" s="1" t="s">
        <v>4481</v>
      </c>
      <c r="I579" t="s">
        <v>1946</v>
      </c>
    </row>
    <row r="580" spans="1:9" x14ac:dyDescent="0.3">
      <c r="A580" s="1" t="s">
        <v>1138</v>
      </c>
      <c r="B580" s="1" t="s">
        <v>4482</v>
      </c>
      <c r="C580" s="1" t="s">
        <v>4483</v>
      </c>
      <c r="D580" s="1" t="s">
        <v>4484</v>
      </c>
      <c r="E580" s="1" t="s">
        <v>4485</v>
      </c>
      <c r="F580" s="1" t="s">
        <v>4486</v>
      </c>
      <c r="G580" s="1" t="s">
        <v>1944</v>
      </c>
      <c r="H580" s="1" t="s">
        <v>4487</v>
      </c>
      <c r="I580" t="s">
        <v>1946</v>
      </c>
    </row>
    <row r="581" spans="1:9" x14ac:dyDescent="0.3">
      <c r="A581" s="1" t="s">
        <v>4488</v>
      </c>
      <c r="B581" s="1" t="s">
        <v>4489</v>
      </c>
      <c r="C581" s="1" t="s">
        <v>4490</v>
      </c>
      <c r="D581" s="1" t="s">
        <v>4491</v>
      </c>
      <c r="E581" s="1" t="s">
        <v>4492</v>
      </c>
      <c r="F581" s="1" t="s">
        <v>4411</v>
      </c>
      <c r="G581" s="1" t="s">
        <v>1944</v>
      </c>
      <c r="H581" s="1" t="s">
        <v>4412</v>
      </c>
      <c r="I581" t="s">
        <v>1946</v>
      </c>
    </row>
    <row r="582" spans="1:9" x14ac:dyDescent="0.3">
      <c r="A582" s="1" t="s">
        <v>1140</v>
      </c>
      <c r="B582" s="1" t="s">
        <v>4493</v>
      </c>
      <c r="C582" s="1" t="s">
        <v>4494</v>
      </c>
      <c r="D582" s="1" t="s">
        <v>4495</v>
      </c>
      <c r="E582" s="1" t="s">
        <v>4496</v>
      </c>
      <c r="F582" s="1" t="s">
        <v>2753</v>
      </c>
      <c r="G582" s="1" t="s">
        <v>1936</v>
      </c>
      <c r="H582" s="1">
        <v>90605</v>
      </c>
      <c r="I582" t="s">
        <v>1937</v>
      </c>
    </row>
    <row r="583" spans="1:9" x14ac:dyDescent="0.3">
      <c r="A583" s="1" t="s">
        <v>1142</v>
      </c>
      <c r="B583" s="1" t="s">
        <v>4497</v>
      </c>
      <c r="C583" s="1" t="s">
        <v>4498</v>
      </c>
      <c r="D583" s="1"/>
      <c r="E583" s="1" t="s">
        <v>4499</v>
      </c>
      <c r="F583" s="1" t="s">
        <v>2167</v>
      </c>
      <c r="G583" s="1" t="s">
        <v>2111</v>
      </c>
      <c r="H583" s="1" t="s">
        <v>2481</v>
      </c>
      <c r="I583" t="s">
        <v>1937</v>
      </c>
    </row>
    <row r="584" spans="1:9" x14ac:dyDescent="0.3">
      <c r="A584" s="1" t="s">
        <v>1144</v>
      </c>
      <c r="B584" s="1" t="s">
        <v>4500</v>
      </c>
      <c r="C584" s="1" t="s">
        <v>4501</v>
      </c>
      <c r="D584" s="1" t="s">
        <v>4502</v>
      </c>
      <c r="E584" s="1" t="s">
        <v>4503</v>
      </c>
      <c r="F584" s="1" t="s">
        <v>1999</v>
      </c>
      <c r="G584" s="1" t="s">
        <v>1936</v>
      </c>
      <c r="H584" s="1">
        <v>23237</v>
      </c>
      <c r="I584" t="s">
        <v>1946</v>
      </c>
    </row>
    <row r="585" spans="1:9" x14ac:dyDescent="0.3">
      <c r="A585" s="1" t="s">
        <v>1146</v>
      </c>
      <c r="B585" s="1" t="s">
        <v>4504</v>
      </c>
      <c r="C585" s="1" t="s">
        <v>4505</v>
      </c>
      <c r="D585" s="1" t="s">
        <v>4506</v>
      </c>
      <c r="E585" s="1" t="s">
        <v>4507</v>
      </c>
      <c r="F585" s="1" t="s">
        <v>4069</v>
      </c>
      <c r="G585" s="1" t="s">
        <v>1936</v>
      </c>
      <c r="H585" s="1">
        <v>20167</v>
      </c>
      <c r="I585" t="s">
        <v>1937</v>
      </c>
    </row>
    <row r="586" spans="1:9" x14ac:dyDescent="0.3">
      <c r="A586" s="1" t="s">
        <v>1148</v>
      </c>
      <c r="B586" s="1" t="s">
        <v>4508</v>
      </c>
      <c r="C586" s="1" t="s">
        <v>4509</v>
      </c>
      <c r="D586" s="1" t="s">
        <v>4510</v>
      </c>
      <c r="E586" s="1" t="s">
        <v>4511</v>
      </c>
      <c r="F586" s="1" t="s">
        <v>2620</v>
      </c>
      <c r="G586" s="1" t="s">
        <v>1936</v>
      </c>
      <c r="H586" s="1">
        <v>89706</v>
      </c>
      <c r="I586" t="s">
        <v>1946</v>
      </c>
    </row>
    <row r="587" spans="1:9" x14ac:dyDescent="0.3">
      <c r="A587" s="1" t="s">
        <v>4512</v>
      </c>
      <c r="B587" s="1" t="s">
        <v>4513</v>
      </c>
      <c r="C587" s="1" t="s">
        <v>4514</v>
      </c>
      <c r="D587" s="1" t="s">
        <v>4515</v>
      </c>
      <c r="E587" s="1" t="s">
        <v>4516</v>
      </c>
      <c r="F587" s="1" t="s">
        <v>2668</v>
      </c>
      <c r="G587" s="1" t="s">
        <v>1944</v>
      </c>
      <c r="H587" s="1" t="s">
        <v>2669</v>
      </c>
      <c r="I587" t="s">
        <v>1937</v>
      </c>
    </row>
    <row r="588" spans="1:9" x14ac:dyDescent="0.3">
      <c r="A588" s="1" t="s">
        <v>1152</v>
      </c>
      <c r="B588" s="1" t="s">
        <v>4517</v>
      </c>
      <c r="C588" s="1"/>
      <c r="D588" s="1" t="s">
        <v>4518</v>
      </c>
      <c r="E588" s="1" t="s">
        <v>4519</v>
      </c>
      <c r="F588" s="1" t="s">
        <v>2228</v>
      </c>
      <c r="G588" s="1" t="s">
        <v>1936</v>
      </c>
      <c r="H588" s="1">
        <v>55123</v>
      </c>
      <c r="I588" t="s">
        <v>1946</v>
      </c>
    </row>
    <row r="589" spans="1:9" x14ac:dyDescent="0.3">
      <c r="A589" s="1" t="s">
        <v>1154</v>
      </c>
      <c r="B589" s="1" t="s">
        <v>4520</v>
      </c>
      <c r="C589" s="1" t="s">
        <v>4521</v>
      </c>
      <c r="D589" s="1"/>
      <c r="E589" s="1" t="s">
        <v>4522</v>
      </c>
      <c r="F589" s="1" t="s">
        <v>2562</v>
      </c>
      <c r="G589" s="1" t="s">
        <v>1936</v>
      </c>
      <c r="H589" s="1">
        <v>35895</v>
      </c>
      <c r="I589" t="s">
        <v>1937</v>
      </c>
    </row>
    <row r="590" spans="1:9" x14ac:dyDescent="0.3">
      <c r="A590" s="1" t="s">
        <v>1156</v>
      </c>
      <c r="B590" s="1" t="s">
        <v>4523</v>
      </c>
      <c r="C590" s="1" t="s">
        <v>4524</v>
      </c>
      <c r="D590" s="1" t="s">
        <v>4525</v>
      </c>
      <c r="E590" s="1" t="s">
        <v>4526</v>
      </c>
      <c r="F590" s="1" t="s">
        <v>2443</v>
      </c>
      <c r="G590" s="1" t="s">
        <v>1936</v>
      </c>
      <c r="H590" s="1">
        <v>88553</v>
      </c>
      <c r="I590" t="s">
        <v>1937</v>
      </c>
    </row>
    <row r="591" spans="1:9" x14ac:dyDescent="0.3">
      <c r="A591" s="1" t="s">
        <v>1158</v>
      </c>
      <c r="B591" s="1" t="s">
        <v>4527</v>
      </c>
      <c r="C591" s="1" t="s">
        <v>4528</v>
      </c>
      <c r="D591" s="1"/>
      <c r="E591" s="1" t="s">
        <v>4529</v>
      </c>
      <c r="F591" s="1" t="s">
        <v>4530</v>
      </c>
      <c r="G591" s="1" t="s">
        <v>1936</v>
      </c>
      <c r="H591" s="1">
        <v>30033</v>
      </c>
      <c r="I591" t="s">
        <v>1946</v>
      </c>
    </row>
    <row r="592" spans="1:9" x14ac:dyDescent="0.3">
      <c r="A592" s="1" t="s">
        <v>1160</v>
      </c>
      <c r="B592" s="1" t="s">
        <v>4531</v>
      </c>
      <c r="C592" s="1" t="s">
        <v>4532</v>
      </c>
      <c r="D592" s="1" t="s">
        <v>4533</v>
      </c>
      <c r="E592" s="1" t="s">
        <v>4534</v>
      </c>
      <c r="F592" s="1" t="s">
        <v>2611</v>
      </c>
      <c r="G592" s="1" t="s">
        <v>1936</v>
      </c>
      <c r="H592" s="1">
        <v>92668</v>
      </c>
      <c r="I592" t="s">
        <v>1937</v>
      </c>
    </row>
    <row r="593" spans="1:9" x14ac:dyDescent="0.3">
      <c r="A593" s="1" t="s">
        <v>1162</v>
      </c>
      <c r="B593" s="1" t="s">
        <v>4535</v>
      </c>
      <c r="C593" s="1" t="s">
        <v>4536</v>
      </c>
      <c r="D593" s="1"/>
      <c r="E593" s="1" t="s">
        <v>4537</v>
      </c>
      <c r="F593" s="1" t="s">
        <v>4538</v>
      </c>
      <c r="G593" s="1" t="s">
        <v>1936</v>
      </c>
      <c r="H593" s="1">
        <v>92648</v>
      </c>
      <c r="I593" t="s">
        <v>1937</v>
      </c>
    </row>
    <row r="594" spans="1:9" x14ac:dyDescent="0.3">
      <c r="A594" s="1" t="s">
        <v>1164</v>
      </c>
      <c r="B594" s="1" t="s">
        <v>4539</v>
      </c>
      <c r="C594" s="1"/>
      <c r="D594" s="1" t="s">
        <v>4540</v>
      </c>
      <c r="E594" s="1" t="s">
        <v>4541</v>
      </c>
      <c r="F594" s="1" t="s">
        <v>3116</v>
      </c>
      <c r="G594" s="1" t="s">
        <v>1936</v>
      </c>
      <c r="H594" s="1">
        <v>53285</v>
      </c>
      <c r="I594" t="s">
        <v>1946</v>
      </c>
    </row>
    <row r="595" spans="1:9" x14ac:dyDescent="0.3">
      <c r="A595" s="1" t="s">
        <v>1150</v>
      </c>
      <c r="B595" s="1" t="s">
        <v>4542</v>
      </c>
      <c r="C595" s="1" t="s">
        <v>4543</v>
      </c>
      <c r="D595" s="1"/>
      <c r="E595" s="1" t="s">
        <v>4544</v>
      </c>
      <c r="F595" s="1" t="s">
        <v>2110</v>
      </c>
      <c r="G595" s="1" t="s">
        <v>2111</v>
      </c>
      <c r="H595" s="1" t="s">
        <v>2112</v>
      </c>
      <c r="I595" t="s">
        <v>1937</v>
      </c>
    </row>
    <row r="596" spans="1:9" x14ac:dyDescent="0.3">
      <c r="A596" s="1" t="s">
        <v>1167</v>
      </c>
      <c r="B596" s="1" t="s">
        <v>4545</v>
      </c>
      <c r="C596" s="1" t="s">
        <v>4546</v>
      </c>
      <c r="D596" s="1" t="s">
        <v>4547</v>
      </c>
      <c r="E596" s="1" t="s">
        <v>4548</v>
      </c>
      <c r="F596" s="1" t="s">
        <v>2673</v>
      </c>
      <c r="G596" s="1" t="s">
        <v>1936</v>
      </c>
      <c r="H596" s="1">
        <v>37416</v>
      </c>
      <c r="I596" t="s">
        <v>1946</v>
      </c>
    </row>
    <row r="597" spans="1:9" x14ac:dyDescent="0.3">
      <c r="A597" s="1" t="s">
        <v>1169</v>
      </c>
      <c r="B597" s="1" t="s">
        <v>4549</v>
      </c>
      <c r="C597" s="1"/>
      <c r="D597" s="1"/>
      <c r="E597" s="1" t="s">
        <v>4550</v>
      </c>
      <c r="F597" s="1" t="s">
        <v>4551</v>
      </c>
      <c r="G597" s="1" t="s">
        <v>2111</v>
      </c>
      <c r="H597" s="1" t="s">
        <v>4552</v>
      </c>
      <c r="I597" t="s">
        <v>1946</v>
      </c>
    </row>
    <row r="598" spans="1:9" x14ac:dyDescent="0.3">
      <c r="A598" s="1" t="s">
        <v>1171</v>
      </c>
      <c r="B598" s="1" t="s">
        <v>4553</v>
      </c>
      <c r="C598" s="1" t="s">
        <v>4554</v>
      </c>
      <c r="D598" s="1" t="s">
        <v>4555</v>
      </c>
      <c r="E598" s="1" t="s">
        <v>4556</v>
      </c>
      <c r="F598" s="1" t="s">
        <v>2282</v>
      </c>
      <c r="G598" s="1" t="s">
        <v>1936</v>
      </c>
      <c r="H598" s="1">
        <v>43268</v>
      </c>
      <c r="I598" t="s">
        <v>1946</v>
      </c>
    </row>
    <row r="599" spans="1:9" x14ac:dyDescent="0.3">
      <c r="A599" s="1" t="s">
        <v>1173</v>
      </c>
      <c r="B599" s="1" t="s">
        <v>4557</v>
      </c>
      <c r="C599" s="1" t="s">
        <v>4558</v>
      </c>
      <c r="D599" s="1" t="s">
        <v>4559</v>
      </c>
      <c r="E599" s="1" t="s">
        <v>4560</v>
      </c>
      <c r="F599" s="1" t="s">
        <v>2942</v>
      </c>
      <c r="G599" s="1" t="s">
        <v>1936</v>
      </c>
      <c r="H599" s="1">
        <v>91186</v>
      </c>
      <c r="I599" t="s">
        <v>1937</v>
      </c>
    </row>
    <row r="600" spans="1:9" x14ac:dyDescent="0.3">
      <c r="A600" s="1" t="s">
        <v>1175</v>
      </c>
      <c r="B600" s="1" t="s">
        <v>4561</v>
      </c>
      <c r="C600" s="1" t="s">
        <v>4562</v>
      </c>
      <c r="D600" s="1" t="s">
        <v>4563</v>
      </c>
      <c r="E600" s="1" t="s">
        <v>4564</v>
      </c>
      <c r="F600" s="1" t="s">
        <v>3085</v>
      </c>
      <c r="G600" s="1" t="s">
        <v>1936</v>
      </c>
      <c r="H600" s="1">
        <v>94159</v>
      </c>
      <c r="I600" t="s">
        <v>1937</v>
      </c>
    </row>
    <row r="601" spans="1:9" x14ac:dyDescent="0.3">
      <c r="A601" s="1" t="s">
        <v>1177</v>
      </c>
      <c r="B601" s="1" t="s">
        <v>4565</v>
      </c>
      <c r="C601" s="1" t="s">
        <v>4566</v>
      </c>
      <c r="D601" s="1"/>
      <c r="E601" s="1" t="s">
        <v>4567</v>
      </c>
      <c r="F601" s="1" t="s">
        <v>3519</v>
      </c>
      <c r="G601" s="1" t="s">
        <v>1936</v>
      </c>
      <c r="H601" s="1">
        <v>71137</v>
      </c>
      <c r="I601" t="s">
        <v>1937</v>
      </c>
    </row>
    <row r="602" spans="1:9" x14ac:dyDescent="0.3">
      <c r="A602" s="1" t="s">
        <v>1179</v>
      </c>
      <c r="B602" s="1" t="s">
        <v>4568</v>
      </c>
      <c r="C602" s="1" t="s">
        <v>4569</v>
      </c>
      <c r="D602" s="1" t="s">
        <v>4570</v>
      </c>
      <c r="E602" s="1" t="s">
        <v>4571</v>
      </c>
      <c r="F602" s="1" t="s">
        <v>2012</v>
      </c>
      <c r="G602" s="1" t="s">
        <v>1936</v>
      </c>
      <c r="H602" s="1">
        <v>19141</v>
      </c>
      <c r="I602" t="s">
        <v>1946</v>
      </c>
    </row>
    <row r="603" spans="1:9" x14ac:dyDescent="0.3">
      <c r="A603" s="1" t="s">
        <v>1181</v>
      </c>
      <c r="B603" s="1" t="s">
        <v>4572</v>
      </c>
      <c r="C603" s="1" t="s">
        <v>4573</v>
      </c>
      <c r="D603" s="1" t="s">
        <v>4574</v>
      </c>
      <c r="E603" s="1" t="s">
        <v>4575</v>
      </c>
      <c r="F603" s="1" t="s">
        <v>2003</v>
      </c>
      <c r="G603" s="1" t="s">
        <v>1936</v>
      </c>
      <c r="H603" s="1">
        <v>41905</v>
      </c>
      <c r="I603" t="s">
        <v>1937</v>
      </c>
    </row>
    <row r="604" spans="1:9" x14ac:dyDescent="0.3">
      <c r="A604" s="1" t="s">
        <v>1183</v>
      </c>
      <c r="B604" s="1" t="s">
        <v>4576</v>
      </c>
      <c r="C604" s="1" t="s">
        <v>4577</v>
      </c>
      <c r="D604" s="1" t="s">
        <v>4578</v>
      </c>
      <c r="E604" s="1" t="s">
        <v>4579</v>
      </c>
      <c r="F604" s="1" t="s">
        <v>2206</v>
      </c>
      <c r="G604" s="1" t="s">
        <v>1936</v>
      </c>
      <c r="H604" s="1">
        <v>43666</v>
      </c>
      <c r="I604" t="s">
        <v>1937</v>
      </c>
    </row>
    <row r="605" spans="1:9" x14ac:dyDescent="0.3">
      <c r="A605" s="1" t="s">
        <v>1185</v>
      </c>
      <c r="B605" s="1" t="s">
        <v>4580</v>
      </c>
      <c r="C605" s="1" t="s">
        <v>4581</v>
      </c>
      <c r="D605" s="1"/>
      <c r="E605" s="1" t="s">
        <v>4582</v>
      </c>
      <c r="F605" s="1" t="s">
        <v>2335</v>
      </c>
      <c r="G605" s="1" t="s">
        <v>1936</v>
      </c>
      <c r="H605" s="1">
        <v>80945</v>
      </c>
      <c r="I605" t="s">
        <v>1946</v>
      </c>
    </row>
    <row r="606" spans="1:9" x14ac:dyDescent="0.3">
      <c r="A606" s="1" t="s">
        <v>1187</v>
      </c>
      <c r="B606" s="1" t="s">
        <v>4583</v>
      </c>
      <c r="C606" s="1"/>
      <c r="D606" s="1" t="s">
        <v>4584</v>
      </c>
      <c r="E606" s="1" t="s">
        <v>4585</v>
      </c>
      <c r="F606" s="1" t="s">
        <v>3834</v>
      </c>
      <c r="G606" s="1" t="s">
        <v>1944</v>
      </c>
      <c r="H606" s="1" t="s">
        <v>3835</v>
      </c>
      <c r="I606" t="s">
        <v>1946</v>
      </c>
    </row>
    <row r="607" spans="1:9" x14ac:dyDescent="0.3">
      <c r="A607" s="1" t="s">
        <v>1189</v>
      </c>
      <c r="B607" s="1" t="s">
        <v>4586</v>
      </c>
      <c r="C607" s="1" t="s">
        <v>4587</v>
      </c>
      <c r="D607" s="1" t="s">
        <v>4588</v>
      </c>
      <c r="E607" s="1" t="s">
        <v>4589</v>
      </c>
      <c r="F607" s="1" t="s">
        <v>4590</v>
      </c>
      <c r="G607" s="1" t="s">
        <v>1936</v>
      </c>
      <c r="H607" s="1">
        <v>15274</v>
      </c>
      <c r="I607" t="s">
        <v>1937</v>
      </c>
    </row>
    <row r="608" spans="1:9" x14ac:dyDescent="0.3">
      <c r="A608" s="1" t="s">
        <v>4591</v>
      </c>
      <c r="B608" s="1" t="s">
        <v>4592</v>
      </c>
      <c r="C608" s="1" t="s">
        <v>4593</v>
      </c>
      <c r="D608" s="1" t="s">
        <v>4594</v>
      </c>
      <c r="E608" s="1" t="s">
        <v>4595</v>
      </c>
      <c r="F608" s="1" t="s">
        <v>3383</v>
      </c>
      <c r="G608" s="1" t="s">
        <v>1936</v>
      </c>
      <c r="H608" s="1">
        <v>33411</v>
      </c>
      <c r="I608" t="s">
        <v>1946</v>
      </c>
    </row>
    <row r="609" spans="1:9" x14ac:dyDescent="0.3">
      <c r="A609" s="1" t="s">
        <v>1192</v>
      </c>
      <c r="B609" s="1" t="s">
        <v>4596</v>
      </c>
      <c r="C609" s="1" t="s">
        <v>4597</v>
      </c>
      <c r="D609" s="1" t="s">
        <v>4598</v>
      </c>
      <c r="E609" s="1" t="s">
        <v>4599</v>
      </c>
      <c r="F609" s="1" t="s">
        <v>3519</v>
      </c>
      <c r="G609" s="1" t="s">
        <v>1936</v>
      </c>
      <c r="H609" s="1">
        <v>71115</v>
      </c>
      <c r="I609" t="s">
        <v>1937</v>
      </c>
    </row>
    <row r="610" spans="1:9" x14ac:dyDescent="0.3">
      <c r="A610" s="1" t="s">
        <v>1194</v>
      </c>
      <c r="B610" s="1" t="s">
        <v>4600</v>
      </c>
      <c r="C610" s="1"/>
      <c r="D610" s="1"/>
      <c r="E610" s="1" t="s">
        <v>4601</v>
      </c>
      <c r="F610" s="1" t="s">
        <v>4188</v>
      </c>
      <c r="G610" s="1" t="s">
        <v>1936</v>
      </c>
      <c r="H610" s="1">
        <v>44105</v>
      </c>
      <c r="I610" t="s">
        <v>1946</v>
      </c>
    </row>
    <row r="611" spans="1:9" x14ac:dyDescent="0.3">
      <c r="A611" s="1" t="s">
        <v>1196</v>
      </c>
      <c r="B611" s="1" t="s">
        <v>4602</v>
      </c>
      <c r="C611" s="1" t="s">
        <v>4603</v>
      </c>
      <c r="D611" s="1" t="s">
        <v>4604</v>
      </c>
      <c r="E611" s="1" t="s">
        <v>4605</v>
      </c>
      <c r="F611" s="1" t="s">
        <v>3116</v>
      </c>
      <c r="G611" s="1" t="s">
        <v>1936</v>
      </c>
      <c r="H611" s="1">
        <v>53234</v>
      </c>
      <c r="I611" t="s">
        <v>1937</v>
      </c>
    </row>
    <row r="612" spans="1:9" x14ac:dyDescent="0.3">
      <c r="A612" s="1" t="s">
        <v>1198</v>
      </c>
      <c r="B612" s="1" t="s">
        <v>4606</v>
      </c>
      <c r="C612" s="1" t="s">
        <v>4607</v>
      </c>
      <c r="D612" s="1" t="s">
        <v>4608</v>
      </c>
      <c r="E612" s="1" t="s">
        <v>4609</v>
      </c>
      <c r="F612" s="1" t="s">
        <v>2186</v>
      </c>
      <c r="G612" s="1" t="s">
        <v>1936</v>
      </c>
      <c r="H612" s="1">
        <v>33345</v>
      </c>
      <c r="I612" t="s">
        <v>1946</v>
      </c>
    </row>
    <row r="613" spans="1:9" x14ac:dyDescent="0.3">
      <c r="A613" s="1" t="s">
        <v>1200</v>
      </c>
      <c r="B613" s="1" t="s">
        <v>4610</v>
      </c>
      <c r="C613" s="1" t="s">
        <v>4611</v>
      </c>
      <c r="D613" s="1" t="s">
        <v>4612</v>
      </c>
      <c r="E613" s="1" t="s">
        <v>4613</v>
      </c>
      <c r="F613" s="1" t="s">
        <v>3519</v>
      </c>
      <c r="G613" s="1" t="s">
        <v>1936</v>
      </c>
      <c r="H613" s="1">
        <v>71105</v>
      </c>
      <c r="I613" t="s">
        <v>1946</v>
      </c>
    </row>
    <row r="614" spans="1:9" x14ac:dyDescent="0.3">
      <c r="A614" s="1" t="s">
        <v>1202</v>
      </c>
      <c r="B614" s="1" t="s">
        <v>4614</v>
      </c>
      <c r="C614" s="1"/>
      <c r="D614" s="1" t="s">
        <v>4615</v>
      </c>
      <c r="E614" s="1" t="s">
        <v>4616</v>
      </c>
      <c r="F614" s="1" t="s">
        <v>2361</v>
      </c>
      <c r="G614" s="1" t="s">
        <v>1944</v>
      </c>
      <c r="H614" s="1" t="s">
        <v>2540</v>
      </c>
      <c r="I614" t="s">
        <v>1946</v>
      </c>
    </row>
    <row r="615" spans="1:9" x14ac:dyDescent="0.3">
      <c r="A615" s="1" t="s">
        <v>1204</v>
      </c>
      <c r="B615" s="1" t="s">
        <v>4617</v>
      </c>
      <c r="C615" s="1"/>
      <c r="D615" s="1" t="s">
        <v>4618</v>
      </c>
      <c r="E615" s="1" t="s">
        <v>4619</v>
      </c>
      <c r="F615" s="1" t="s">
        <v>2994</v>
      </c>
      <c r="G615" s="1" t="s">
        <v>1936</v>
      </c>
      <c r="H615" s="1">
        <v>94207</v>
      </c>
      <c r="I615" t="s">
        <v>1946</v>
      </c>
    </row>
    <row r="616" spans="1:9" x14ac:dyDescent="0.3">
      <c r="A616" s="1" t="s">
        <v>4620</v>
      </c>
      <c r="B616" s="1" t="s">
        <v>4621</v>
      </c>
      <c r="C616" s="1"/>
      <c r="D616" s="1" t="s">
        <v>4622</v>
      </c>
      <c r="E616" s="1" t="s">
        <v>4623</v>
      </c>
      <c r="F616" s="1" t="s">
        <v>2501</v>
      </c>
      <c r="G616" s="1" t="s">
        <v>1936</v>
      </c>
      <c r="H616" s="1">
        <v>37240</v>
      </c>
      <c r="I616" t="s">
        <v>1946</v>
      </c>
    </row>
    <row r="617" spans="1:9" x14ac:dyDescent="0.3">
      <c r="A617" s="1" t="s">
        <v>1207</v>
      </c>
      <c r="B617" s="1" t="s">
        <v>4624</v>
      </c>
      <c r="C617" s="1" t="s">
        <v>4625</v>
      </c>
      <c r="D617" s="1" t="s">
        <v>4626</v>
      </c>
      <c r="E617" s="1" t="s">
        <v>4627</v>
      </c>
      <c r="F617" s="1" t="s">
        <v>2545</v>
      </c>
      <c r="G617" s="1" t="s">
        <v>1936</v>
      </c>
      <c r="H617" s="1">
        <v>58122</v>
      </c>
      <c r="I617" t="s">
        <v>1937</v>
      </c>
    </row>
    <row r="618" spans="1:9" x14ac:dyDescent="0.3">
      <c r="A618" s="1" t="s">
        <v>1209</v>
      </c>
      <c r="B618" s="1" t="s">
        <v>4628</v>
      </c>
      <c r="C618" s="1" t="s">
        <v>4629</v>
      </c>
      <c r="D618" s="1" t="s">
        <v>4630</v>
      </c>
      <c r="E618" s="1" t="s">
        <v>4631</v>
      </c>
      <c r="F618" s="1" t="s">
        <v>4632</v>
      </c>
      <c r="G618" s="1" t="s">
        <v>2111</v>
      </c>
      <c r="H618" s="1" t="s">
        <v>4633</v>
      </c>
      <c r="I618" t="s">
        <v>1946</v>
      </c>
    </row>
    <row r="619" spans="1:9" x14ac:dyDescent="0.3">
      <c r="A619" s="1" t="s">
        <v>1211</v>
      </c>
      <c r="B619" s="1" t="s">
        <v>4634</v>
      </c>
      <c r="C619" s="1" t="s">
        <v>4635</v>
      </c>
      <c r="D619" s="1" t="s">
        <v>4636</v>
      </c>
      <c r="E619" s="1" t="s">
        <v>4637</v>
      </c>
      <c r="F619" s="1" t="s">
        <v>2811</v>
      </c>
      <c r="G619" s="1" t="s">
        <v>1936</v>
      </c>
      <c r="H619" s="1">
        <v>74184</v>
      </c>
      <c r="I619" t="s">
        <v>1946</v>
      </c>
    </row>
    <row r="620" spans="1:9" x14ac:dyDescent="0.3">
      <c r="A620" s="1" t="s">
        <v>1213</v>
      </c>
      <c r="B620" s="1" t="s">
        <v>4638</v>
      </c>
      <c r="C620" s="1" t="s">
        <v>4639</v>
      </c>
      <c r="D620" s="1" t="s">
        <v>4640</v>
      </c>
      <c r="E620" s="1" t="s">
        <v>4641</v>
      </c>
      <c r="F620" s="1" t="s">
        <v>2032</v>
      </c>
      <c r="G620" s="1" t="s">
        <v>1936</v>
      </c>
      <c r="H620" s="1">
        <v>10045</v>
      </c>
      <c r="I620" t="s">
        <v>1937</v>
      </c>
    </row>
    <row r="621" spans="1:9" x14ac:dyDescent="0.3">
      <c r="A621" s="1" t="s">
        <v>1215</v>
      </c>
      <c r="B621" s="1" t="s">
        <v>4642</v>
      </c>
      <c r="C621" s="1" t="s">
        <v>4643</v>
      </c>
      <c r="D621" s="1" t="s">
        <v>4644</v>
      </c>
      <c r="E621" s="1" t="s">
        <v>4645</v>
      </c>
      <c r="F621" s="1" t="s">
        <v>4646</v>
      </c>
      <c r="G621" s="1" t="s">
        <v>1936</v>
      </c>
      <c r="H621" s="1">
        <v>34642</v>
      </c>
      <c r="I621" t="s">
        <v>1937</v>
      </c>
    </row>
    <row r="622" spans="1:9" x14ac:dyDescent="0.3">
      <c r="A622" s="1" t="s">
        <v>4647</v>
      </c>
      <c r="B622" s="1" t="s">
        <v>4648</v>
      </c>
      <c r="C622" s="1" t="s">
        <v>4649</v>
      </c>
      <c r="D622" s="1" t="s">
        <v>4650</v>
      </c>
      <c r="E622" s="1" t="s">
        <v>4651</v>
      </c>
      <c r="F622" s="1" t="s">
        <v>3913</v>
      </c>
      <c r="G622" s="1" t="s">
        <v>1944</v>
      </c>
      <c r="H622" s="1" t="s">
        <v>3914</v>
      </c>
      <c r="I622" t="s">
        <v>1946</v>
      </c>
    </row>
    <row r="623" spans="1:9" x14ac:dyDescent="0.3">
      <c r="A623" s="1" t="s">
        <v>1219</v>
      </c>
      <c r="B623" s="1" t="s">
        <v>4652</v>
      </c>
      <c r="C623" s="1" t="s">
        <v>4653</v>
      </c>
      <c r="D623" s="1" t="s">
        <v>4654</v>
      </c>
      <c r="E623" s="1" t="s">
        <v>4655</v>
      </c>
      <c r="F623" s="1" t="s">
        <v>2017</v>
      </c>
      <c r="G623" s="1" t="s">
        <v>1936</v>
      </c>
      <c r="H623" s="1">
        <v>97296</v>
      </c>
      <c r="I623" t="s">
        <v>1946</v>
      </c>
    </row>
    <row r="624" spans="1:9" x14ac:dyDescent="0.3">
      <c r="A624" s="1" t="s">
        <v>1221</v>
      </c>
      <c r="B624" s="1" t="s">
        <v>4656</v>
      </c>
      <c r="C624" s="1" t="s">
        <v>4657</v>
      </c>
      <c r="D624" s="1"/>
      <c r="E624" s="1" t="s">
        <v>4658</v>
      </c>
      <c r="F624" s="1" t="s">
        <v>3365</v>
      </c>
      <c r="G624" s="1" t="s">
        <v>1936</v>
      </c>
      <c r="H624" s="1">
        <v>89115</v>
      </c>
      <c r="I624" t="s">
        <v>1946</v>
      </c>
    </row>
    <row r="625" spans="1:9" x14ac:dyDescent="0.3">
      <c r="A625" s="1" t="s">
        <v>1223</v>
      </c>
      <c r="B625" s="1" t="s">
        <v>4659</v>
      </c>
      <c r="C625" s="1"/>
      <c r="D625" s="1" t="s">
        <v>4660</v>
      </c>
      <c r="E625" s="1" t="s">
        <v>4661</v>
      </c>
      <c r="F625" s="1" t="s">
        <v>4662</v>
      </c>
      <c r="G625" s="1" t="s">
        <v>2111</v>
      </c>
      <c r="H625" s="1" t="s">
        <v>4663</v>
      </c>
      <c r="I625" t="s">
        <v>1946</v>
      </c>
    </row>
    <row r="626" spans="1:9" x14ac:dyDescent="0.3">
      <c r="A626" s="1" t="s">
        <v>1225</v>
      </c>
      <c r="B626" s="1" t="s">
        <v>4664</v>
      </c>
      <c r="C626" s="1" t="s">
        <v>4665</v>
      </c>
      <c r="D626" s="1"/>
      <c r="E626" s="1" t="s">
        <v>4666</v>
      </c>
      <c r="F626" s="1" t="s">
        <v>4667</v>
      </c>
      <c r="G626" s="1" t="s">
        <v>1944</v>
      </c>
      <c r="H626" s="1" t="s">
        <v>4668</v>
      </c>
      <c r="I626" t="s">
        <v>1937</v>
      </c>
    </row>
    <row r="627" spans="1:9" x14ac:dyDescent="0.3">
      <c r="A627" s="1" t="s">
        <v>1227</v>
      </c>
      <c r="B627" s="1" t="s">
        <v>4669</v>
      </c>
      <c r="C627" s="1" t="s">
        <v>4670</v>
      </c>
      <c r="D627" s="1" t="s">
        <v>4671</v>
      </c>
      <c r="E627" s="1" t="s">
        <v>4672</v>
      </c>
      <c r="F627" s="1" t="s">
        <v>3085</v>
      </c>
      <c r="G627" s="1" t="s">
        <v>1936</v>
      </c>
      <c r="H627" s="1">
        <v>94159</v>
      </c>
      <c r="I627" t="s">
        <v>1946</v>
      </c>
    </row>
    <row r="628" spans="1:9" x14ac:dyDescent="0.3">
      <c r="A628" s="1" t="s">
        <v>1229</v>
      </c>
      <c r="B628" s="1" t="s">
        <v>4673</v>
      </c>
      <c r="C628" s="1" t="s">
        <v>4674</v>
      </c>
      <c r="D628" s="1" t="s">
        <v>4675</v>
      </c>
      <c r="E628" s="1" t="s">
        <v>4676</v>
      </c>
      <c r="F628" s="1" t="s">
        <v>4590</v>
      </c>
      <c r="G628" s="1" t="s">
        <v>1936</v>
      </c>
      <c r="H628" s="1">
        <v>15274</v>
      </c>
      <c r="I628" t="s">
        <v>1946</v>
      </c>
    </row>
    <row r="629" spans="1:9" x14ac:dyDescent="0.3">
      <c r="A629" s="1" t="s">
        <v>1231</v>
      </c>
      <c r="B629" s="1" t="s">
        <v>4677</v>
      </c>
      <c r="C629" s="1" t="s">
        <v>4678</v>
      </c>
      <c r="D629" s="1" t="s">
        <v>4679</v>
      </c>
      <c r="E629" s="1" t="s">
        <v>4680</v>
      </c>
      <c r="F629" s="1" t="s">
        <v>2022</v>
      </c>
      <c r="G629" s="1" t="s">
        <v>1936</v>
      </c>
      <c r="H629" s="1">
        <v>77281</v>
      </c>
      <c r="I629" t="s">
        <v>1937</v>
      </c>
    </row>
    <row r="630" spans="1:9" x14ac:dyDescent="0.3">
      <c r="A630" s="1" t="s">
        <v>1233</v>
      </c>
      <c r="B630" s="1" t="s">
        <v>4681</v>
      </c>
      <c r="C630" s="1" t="s">
        <v>4682</v>
      </c>
      <c r="D630" s="1" t="s">
        <v>4683</v>
      </c>
      <c r="E630" s="1" t="s">
        <v>4684</v>
      </c>
      <c r="F630" s="1" t="s">
        <v>4685</v>
      </c>
      <c r="G630" s="1" t="s">
        <v>1944</v>
      </c>
      <c r="H630" s="1" t="s">
        <v>2027</v>
      </c>
      <c r="I630" t="s">
        <v>1937</v>
      </c>
    </row>
    <row r="631" spans="1:9" x14ac:dyDescent="0.3">
      <c r="A631" s="1" t="s">
        <v>1217</v>
      </c>
      <c r="B631" s="1" t="s">
        <v>4686</v>
      </c>
      <c r="C631" s="1" t="s">
        <v>4687</v>
      </c>
      <c r="D631" s="1"/>
      <c r="E631" s="1" t="s">
        <v>4688</v>
      </c>
      <c r="F631" s="1" t="s">
        <v>2186</v>
      </c>
      <c r="G631" s="1" t="s">
        <v>1936</v>
      </c>
      <c r="H631" s="1">
        <v>33345</v>
      </c>
      <c r="I631" t="s">
        <v>1946</v>
      </c>
    </row>
    <row r="632" spans="1:9" x14ac:dyDescent="0.3">
      <c r="A632" s="1" t="s">
        <v>4689</v>
      </c>
      <c r="B632" s="1" t="s">
        <v>4690</v>
      </c>
      <c r="C632" s="1" t="s">
        <v>4691</v>
      </c>
      <c r="D632" s="1" t="s">
        <v>4692</v>
      </c>
      <c r="E632" s="1" t="s">
        <v>4693</v>
      </c>
      <c r="F632" s="1" t="s">
        <v>3174</v>
      </c>
      <c r="G632" s="1" t="s">
        <v>1936</v>
      </c>
      <c r="H632" s="1">
        <v>76210</v>
      </c>
      <c r="I632" t="s">
        <v>1946</v>
      </c>
    </row>
    <row r="633" spans="1:9" x14ac:dyDescent="0.3">
      <c r="A633" s="1" t="s">
        <v>4694</v>
      </c>
      <c r="B633" s="1" t="s">
        <v>4695</v>
      </c>
      <c r="C633" s="1" t="s">
        <v>4696</v>
      </c>
      <c r="D633" s="1" t="s">
        <v>4697</v>
      </c>
      <c r="E633" s="1" t="s">
        <v>4698</v>
      </c>
      <c r="F633" s="1" t="s">
        <v>3962</v>
      </c>
      <c r="G633" s="1" t="s">
        <v>1944</v>
      </c>
      <c r="H633" s="1" t="s">
        <v>2766</v>
      </c>
      <c r="I633" t="s">
        <v>1937</v>
      </c>
    </row>
    <row r="634" spans="1:9" x14ac:dyDescent="0.3">
      <c r="A634" s="1" t="s">
        <v>1235</v>
      </c>
      <c r="B634" s="1" t="s">
        <v>4699</v>
      </c>
      <c r="C634" s="1" t="s">
        <v>4700</v>
      </c>
      <c r="D634" s="1" t="s">
        <v>4701</v>
      </c>
      <c r="E634" s="1" t="s">
        <v>4702</v>
      </c>
      <c r="F634" s="1" t="s">
        <v>1981</v>
      </c>
      <c r="G634" s="1" t="s">
        <v>1936</v>
      </c>
      <c r="H634" s="1">
        <v>90005</v>
      </c>
      <c r="I634" t="s">
        <v>1946</v>
      </c>
    </row>
    <row r="635" spans="1:9" x14ac:dyDescent="0.3">
      <c r="A635" s="1" t="s">
        <v>1237</v>
      </c>
      <c r="B635" s="1" t="s">
        <v>4703</v>
      </c>
      <c r="C635" s="1" t="s">
        <v>4704</v>
      </c>
      <c r="D635" s="1" t="s">
        <v>4705</v>
      </c>
      <c r="E635" s="1" t="s">
        <v>4706</v>
      </c>
      <c r="F635" s="1" t="s">
        <v>2999</v>
      </c>
      <c r="G635" s="1" t="s">
        <v>1936</v>
      </c>
      <c r="H635" s="1">
        <v>18706</v>
      </c>
      <c r="I635" t="s">
        <v>1946</v>
      </c>
    </row>
    <row r="636" spans="1:9" x14ac:dyDescent="0.3">
      <c r="A636" s="1" t="s">
        <v>1239</v>
      </c>
      <c r="B636" s="1" t="s">
        <v>4707</v>
      </c>
      <c r="C636" s="1" t="s">
        <v>4708</v>
      </c>
      <c r="D636" s="1" t="s">
        <v>4709</v>
      </c>
      <c r="E636" s="1" t="s">
        <v>4710</v>
      </c>
      <c r="F636" s="1" t="s">
        <v>3174</v>
      </c>
      <c r="G636" s="1" t="s">
        <v>1936</v>
      </c>
      <c r="H636" s="1">
        <v>76205</v>
      </c>
      <c r="I636" t="s">
        <v>1946</v>
      </c>
    </row>
    <row r="637" spans="1:9" x14ac:dyDescent="0.3">
      <c r="A637" s="1" t="s">
        <v>1241</v>
      </c>
      <c r="B637" s="1" t="s">
        <v>4711</v>
      </c>
      <c r="C637" s="1" t="s">
        <v>4712</v>
      </c>
      <c r="D637" s="1" t="s">
        <v>4713</v>
      </c>
      <c r="E637" s="1" t="s">
        <v>4714</v>
      </c>
      <c r="F637" s="1" t="s">
        <v>2952</v>
      </c>
      <c r="G637" s="1" t="s">
        <v>1936</v>
      </c>
      <c r="H637" s="1">
        <v>64082</v>
      </c>
      <c r="I637" t="s">
        <v>1937</v>
      </c>
    </row>
    <row r="638" spans="1:9" x14ac:dyDescent="0.3">
      <c r="A638" s="1" t="s">
        <v>1243</v>
      </c>
      <c r="B638" s="1" t="s">
        <v>4715</v>
      </c>
      <c r="C638" s="1" t="s">
        <v>4716</v>
      </c>
      <c r="D638" s="1" t="s">
        <v>4717</v>
      </c>
      <c r="E638" s="1" t="s">
        <v>4718</v>
      </c>
      <c r="F638" s="1" t="s">
        <v>2122</v>
      </c>
      <c r="G638" s="1" t="s">
        <v>1936</v>
      </c>
      <c r="H638" s="1">
        <v>72209</v>
      </c>
      <c r="I638" t="s">
        <v>1937</v>
      </c>
    </row>
    <row r="639" spans="1:9" x14ac:dyDescent="0.3">
      <c r="A639" s="1" t="s">
        <v>1245</v>
      </c>
      <c r="B639" s="1" t="s">
        <v>4719</v>
      </c>
      <c r="C639" s="1" t="s">
        <v>4720</v>
      </c>
      <c r="D639" s="1" t="s">
        <v>4721</v>
      </c>
      <c r="E639" s="1" t="s">
        <v>4722</v>
      </c>
      <c r="F639" s="1" t="s">
        <v>4723</v>
      </c>
      <c r="G639" s="1" t="s">
        <v>1944</v>
      </c>
      <c r="H639" s="1" t="s">
        <v>2826</v>
      </c>
      <c r="I639" t="s">
        <v>1937</v>
      </c>
    </row>
    <row r="640" spans="1:9" x14ac:dyDescent="0.3">
      <c r="A640" s="1" t="s">
        <v>1247</v>
      </c>
      <c r="B640" s="1" t="s">
        <v>4724</v>
      </c>
      <c r="C640" s="1"/>
      <c r="D640" s="1" t="s">
        <v>4725</v>
      </c>
      <c r="E640" s="1" t="s">
        <v>4726</v>
      </c>
      <c r="F640" s="1" t="s">
        <v>4411</v>
      </c>
      <c r="G640" s="1" t="s">
        <v>1944</v>
      </c>
      <c r="H640" s="1" t="s">
        <v>4412</v>
      </c>
      <c r="I640" t="s">
        <v>1937</v>
      </c>
    </row>
    <row r="641" spans="1:9" x14ac:dyDescent="0.3">
      <c r="A641" s="1" t="s">
        <v>1249</v>
      </c>
      <c r="B641" s="1" t="s">
        <v>4727</v>
      </c>
      <c r="C641" s="1" t="s">
        <v>4728</v>
      </c>
      <c r="D641" s="1" t="s">
        <v>4729</v>
      </c>
      <c r="E641" s="1" t="s">
        <v>4730</v>
      </c>
      <c r="F641" s="1" t="s">
        <v>3138</v>
      </c>
      <c r="G641" s="1" t="s">
        <v>1936</v>
      </c>
      <c r="H641" s="1">
        <v>16534</v>
      </c>
      <c r="I641" t="s">
        <v>1937</v>
      </c>
    </row>
    <row r="642" spans="1:9" x14ac:dyDescent="0.3">
      <c r="A642" s="1" t="s">
        <v>4731</v>
      </c>
      <c r="B642" s="1" t="s">
        <v>4732</v>
      </c>
      <c r="C642" s="1"/>
      <c r="D642" s="1" t="s">
        <v>4733</v>
      </c>
      <c r="E642" s="1" t="s">
        <v>4734</v>
      </c>
      <c r="F642" s="1" t="s">
        <v>3159</v>
      </c>
      <c r="G642" s="1" t="s">
        <v>2111</v>
      </c>
      <c r="H642" s="1" t="s">
        <v>3160</v>
      </c>
      <c r="I642" t="s">
        <v>1946</v>
      </c>
    </row>
    <row r="643" spans="1:9" x14ac:dyDescent="0.3">
      <c r="A643" s="1" t="s">
        <v>1253</v>
      </c>
      <c r="B643" s="1" t="s">
        <v>4735</v>
      </c>
      <c r="C643" s="1" t="s">
        <v>4736</v>
      </c>
      <c r="D643" s="1" t="s">
        <v>4737</v>
      </c>
      <c r="E643" s="1" t="s">
        <v>4738</v>
      </c>
      <c r="F643" s="1" t="s">
        <v>4590</v>
      </c>
      <c r="G643" s="1" t="s">
        <v>1936</v>
      </c>
      <c r="H643" s="1">
        <v>15255</v>
      </c>
      <c r="I643" t="s">
        <v>1937</v>
      </c>
    </row>
    <row r="644" spans="1:9" x14ac:dyDescent="0.3">
      <c r="A644" s="1" t="s">
        <v>1255</v>
      </c>
      <c r="B644" s="1" t="s">
        <v>4739</v>
      </c>
      <c r="C644" s="1" t="s">
        <v>4740</v>
      </c>
      <c r="D644" s="1" t="s">
        <v>4741</v>
      </c>
      <c r="E644" s="1" t="s">
        <v>4742</v>
      </c>
      <c r="F644" s="1" t="s">
        <v>4743</v>
      </c>
      <c r="G644" s="1" t="s">
        <v>2111</v>
      </c>
      <c r="H644" s="1" t="s">
        <v>4744</v>
      </c>
      <c r="I644" t="s">
        <v>1937</v>
      </c>
    </row>
    <row r="645" spans="1:9" x14ac:dyDescent="0.3">
      <c r="A645" s="1" t="s">
        <v>1257</v>
      </c>
      <c r="B645" s="1" t="s">
        <v>4745</v>
      </c>
      <c r="C645" s="1" t="s">
        <v>4746</v>
      </c>
      <c r="D645" s="1"/>
      <c r="E645" s="1" t="s">
        <v>4747</v>
      </c>
      <c r="F645" s="1" t="s">
        <v>2320</v>
      </c>
      <c r="G645" s="1" t="s">
        <v>1936</v>
      </c>
      <c r="H645" s="1">
        <v>75260</v>
      </c>
      <c r="I645" t="s">
        <v>1937</v>
      </c>
    </row>
    <row r="646" spans="1:9" x14ac:dyDescent="0.3">
      <c r="A646" s="1" t="s">
        <v>1259</v>
      </c>
      <c r="B646" s="1" t="s">
        <v>4748</v>
      </c>
      <c r="C646" s="1"/>
      <c r="D646" s="1" t="s">
        <v>4749</v>
      </c>
      <c r="E646" s="1" t="s">
        <v>4750</v>
      </c>
      <c r="F646" s="1" t="s">
        <v>3576</v>
      </c>
      <c r="G646" s="1" t="s">
        <v>1936</v>
      </c>
      <c r="H646" s="1">
        <v>33233</v>
      </c>
      <c r="I646" t="s">
        <v>1946</v>
      </c>
    </row>
    <row r="647" spans="1:9" x14ac:dyDescent="0.3">
      <c r="A647" s="1" t="s">
        <v>1261</v>
      </c>
      <c r="B647" s="1" t="s">
        <v>4751</v>
      </c>
      <c r="C647" s="1" t="s">
        <v>4752</v>
      </c>
      <c r="D647" s="1" t="s">
        <v>4753</v>
      </c>
      <c r="E647" s="1" t="s">
        <v>4754</v>
      </c>
      <c r="F647" s="1" t="s">
        <v>4755</v>
      </c>
      <c r="G647" s="1" t="s">
        <v>1936</v>
      </c>
      <c r="H647" s="1">
        <v>76905</v>
      </c>
      <c r="I647" t="s">
        <v>1937</v>
      </c>
    </row>
    <row r="648" spans="1:9" x14ac:dyDescent="0.3">
      <c r="A648" s="1" t="s">
        <v>1263</v>
      </c>
      <c r="B648" s="1" t="s">
        <v>4756</v>
      </c>
      <c r="C648" s="1" t="s">
        <v>4757</v>
      </c>
      <c r="D648" s="1" t="s">
        <v>4758</v>
      </c>
      <c r="E648" s="1" t="s">
        <v>4759</v>
      </c>
      <c r="F648" s="1" t="s">
        <v>2876</v>
      </c>
      <c r="G648" s="1" t="s">
        <v>1936</v>
      </c>
      <c r="H648" s="1">
        <v>12205</v>
      </c>
      <c r="I648" t="s">
        <v>1937</v>
      </c>
    </row>
    <row r="649" spans="1:9" x14ac:dyDescent="0.3">
      <c r="A649" s="1" t="s">
        <v>1265</v>
      </c>
      <c r="B649" s="1" t="s">
        <v>4760</v>
      </c>
      <c r="C649" s="1" t="s">
        <v>4761</v>
      </c>
      <c r="D649" s="1" t="s">
        <v>4762</v>
      </c>
      <c r="E649" s="1" t="s">
        <v>4763</v>
      </c>
      <c r="F649" s="1" t="s">
        <v>4764</v>
      </c>
      <c r="G649" s="1" t="s">
        <v>2111</v>
      </c>
      <c r="H649" s="1" t="s">
        <v>4765</v>
      </c>
      <c r="I649" t="s">
        <v>1937</v>
      </c>
    </row>
    <row r="650" spans="1:9" x14ac:dyDescent="0.3">
      <c r="A650" s="1" t="s">
        <v>1251</v>
      </c>
      <c r="B650" s="1" t="s">
        <v>4766</v>
      </c>
      <c r="C650" s="1" t="s">
        <v>4767</v>
      </c>
      <c r="D650" s="1" t="s">
        <v>4768</v>
      </c>
      <c r="E650" s="1" t="s">
        <v>4769</v>
      </c>
      <c r="F650" s="1" t="s">
        <v>2282</v>
      </c>
      <c r="G650" s="1" t="s">
        <v>1936</v>
      </c>
      <c r="H650" s="1">
        <v>43240</v>
      </c>
      <c r="I650" t="s">
        <v>1946</v>
      </c>
    </row>
    <row r="651" spans="1:9" x14ac:dyDescent="0.3">
      <c r="A651" s="1" t="s">
        <v>1268</v>
      </c>
      <c r="B651" s="1" t="s">
        <v>4770</v>
      </c>
      <c r="C651" s="1" t="s">
        <v>4771</v>
      </c>
      <c r="D651" s="1" t="s">
        <v>4772</v>
      </c>
      <c r="E651" s="1" t="s">
        <v>4773</v>
      </c>
      <c r="F651" s="1" t="s">
        <v>4774</v>
      </c>
      <c r="G651" s="1" t="s">
        <v>2111</v>
      </c>
      <c r="H651" s="1" t="s">
        <v>4775</v>
      </c>
      <c r="I651" t="s">
        <v>1946</v>
      </c>
    </row>
    <row r="652" spans="1:9" x14ac:dyDescent="0.3">
      <c r="A652" s="1" t="s">
        <v>1270</v>
      </c>
      <c r="B652" s="1" t="s">
        <v>4776</v>
      </c>
      <c r="C652" s="1" t="s">
        <v>4777</v>
      </c>
      <c r="D652" s="1" t="s">
        <v>4778</v>
      </c>
      <c r="E652" s="1" t="s">
        <v>4779</v>
      </c>
      <c r="F652" s="1" t="s">
        <v>2378</v>
      </c>
      <c r="G652" s="1" t="s">
        <v>1936</v>
      </c>
      <c r="H652" s="1">
        <v>92883</v>
      </c>
      <c r="I652" t="s">
        <v>1937</v>
      </c>
    </row>
    <row r="653" spans="1:9" x14ac:dyDescent="0.3">
      <c r="A653" s="1" t="s">
        <v>1272</v>
      </c>
      <c r="B653" s="1" t="s">
        <v>4780</v>
      </c>
      <c r="C653" s="1"/>
      <c r="D653" s="1" t="s">
        <v>4781</v>
      </c>
      <c r="E653" s="1" t="s">
        <v>4782</v>
      </c>
      <c r="F653" s="1" t="s">
        <v>2181</v>
      </c>
      <c r="G653" s="1" t="s">
        <v>1936</v>
      </c>
      <c r="H653" s="1">
        <v>20436</v>
      </c>
      <c r="I653" t="s">
        <v>1946</v>
      </c>
    </row>
    <row r="654" spans="1:9" x14ac:dyDescent="0.3">
      <c r="A654" s="1" t="s">
        <v>1274</v>
      </c>
      <c r="B654" s="1" t="s">
        <v>4783</v>
      </c>
      <c r="C654" s="1" t="s">
        <v>4784</v>
      </c>
      <c r="D654" s="1"/>
      <c r="E654" s="1" t="s">
        <v>4785</v>
      </c>
      <c r="F654" s="1" t="s">
        <v>4786</v>
      </c>
      <c r="G654" s="1" t="s">
        <v>1944</v>
      </c>
      <c r="H654" s="1" t="s">
        <v>1945</v>
      </c>
      <c r="I654" t="s">
        <v>1946</v>
      </c>
    </row>
    <row r="655" spans="1:9" x14ac:dyDescent="0.3">
      <c r="A655" s="1" t="s">
        <v>1276</v>
      </c>
      <c r="B655" s="1" t="s">
        <v>4787</v>
      </c>
      <c r="C655" s="1" t="s">
        <v>4788</v>
      </c>
      <c r="D655" s="1" t="s">
        <v>4789</v>
      </c>
      <c r="E655" s="1" t="s">
        <v>4790</v>
      </c>
      <c r="F655" s="1" t="s">
        <v>2206</v>
      </c>
      <c r="G655" s="1" t="s">
        <v>1936</v>
      </c>
      <c r="H655" s="1">
        <v>43610</v>
      </c>
      <c r="I655" t="s">
        <v>1946</v>
      </c>
    </row>
    <row r="656" spans="1:9" x14ac:dyDescent="0.3">
      <c r="A656" s="1" t="s">
        <v>1278</v>
      </c>
      <c r="B656" s="1" t="s">
        <v>4791</v>
      </c>
      <c r="C656" s="1" t="s">
        <v>4792</v>
      </c>
      <c r="D656" s="1" t="s">
        <v>4793</v>
      </c>
      <c r="E656" s="1" t="s">
        <v>4794</v>
      </c>
      <c r="F656" s="1" t="s">
        <v>2181</v>
      </c>
      <c r="G656" s="1" t="s">
        <v>1936</v>
      </c>
      <c r="H656" s="1">
        <v>20088</v>
      </c>
      <c r="I656" t="s">
        <v>1946</v>
      </c>
    </row>
    <row r="657" spans="1:9" x14ac:dyDescent="0.3">
      <c r="A657" s="1" t="s">
        <v>1280</v>
      </c>
      <c r="B657" s="1" t="s">
        <v>4795</v>
      </c>
      <c r="C657" s="1" t="s">
        <v>4796</v>
      </c>
      <c r="D657" s="1"/>
      <c r="E657" s="1" t="s">
        <v>4797</v>
      </c>
      <c r="F657" s="1" t="s">
        <v>4798</v>
      </c>
      <c r="G657" s="1" t="s">
        <v>1936</v>
      </c>
      <c r="H657" s="1">
        <v>52405</v>
      </c>
      <c r="I657" t="s">
        <v>1937</v>
      </c>
    </row>
    <row r="658" spans="1:9" x14ac:dyDescent="0.3">
      <c r="A658" s="1" t="s">
        <v>1282</v>
      </c>
      <c r="B658" s="1" t="s">
        <v>4799</v>
      </c>
      <c r="C658" s="1" t="s">
        <v>4800</v>
      </c>
      <c r="D658" s="1"/>
      <c r="E658" s="1" t="s">
        <v>4801</v>
      </c>
      <c r="F658" s="1" t="s">
        <v>2088</v>
      </c>
      <c r="G658" s="1" t="s">
        <v>1936</v>
      </c>
      <c r="H658" s="1">
        <v>80045</v>
      </c>
      <c r="I658" t="s">
        <v>1946</v>
      </c>
    </row>
    <row r="659" spans="1:9" x14ac:dyDescent="0.3">
      <c r="A659" s="1" t="s">
        <v>1284</v>
      </c>
      <c r="B659" s="1" t="s">
        <v>4802</v>
      </c>
      <c r="C659" s="1" t="s">
        <v>4803</v>
      </c>
      <c r="D659" s="1" t="s">
        <v>4804</v>
      </c>
      <c r="E659" s="1" t="s">
        <v>4805</v>
      </c>
      <c r="F659" s="1" t="s">
        <v>4806</v>
      </c>
      <c r="G659" s="1" t="s">
        <v>1936</v>
      </c>
      <c r="H659" s="1">
        <v>94089</v>
      </c>
      <c r="I659" t="s">
        <v>1937</v>
      </c>
    </row>
    <row r="660" spans="1:9" x14ac:dyDescent="0.3">
      <c r="A660" s="1" t="s">
        <v>4807</v>
      </c>
      <c r="B660" s="1" t="s">
        <v>4808</v>
      </c>
      <c r="C660" s="1"/>
      <c r="D660" s="1"/>
      <c r="E660" s="1" t="s">
        <v>4809</v>
      </c>
      <c r="F660" s="1" t="s">
        <v>4350</v>
      </c>
      <c r="G660" s="1" t="s">
        <v>1944</v>
      </c>
      <c r="H660" s="1" t="s">
        <v>4351</v>
      </c>
      <c r="I660" t="s">
        <v>1937</v>
      </c>
    </row>
    <row r="661" spans="1:9" x14ac:dyDescent="0.3">
      <c r="A661" s="1" t="s">
        <v>1288</v>
      </c>
      <c r="B661" s="1" t="s">
        <v>4810</v>
      </c>
      <c r="C661" s="1" t="s">
        <v>4811</v>
      </c>
      <c r="D661" s="1" t="s">
        <v>4812</v>
      </c>
      <c r="E661" s="1" t="s">
        <v>4813</v>
      </c>
      <c r="F661" s="1" t="s">
        <v>4814</v>
      </c>
      <c r="G661" s="1" t="s">
        <v>1944</v>
      </c>
      <c r="H661" s="1" t="s">
        <v>4412</v>
      </c>
      <c r="I661" t="s">
        <v>1937</v>
      </c>
    </row>
    <row r="662" spans="1:9" x14ac:dyDescent="0.3">
      <c r="A662" s="1" t="s">
        <v>1290</v>
      </c>
      <c r="B662" s="1" t="s">
        <v>4815</v>
      </c>
      <c r="C662" s="1" t="s">
        <v>4816</v>
      </c>
      <c r="D662" s="1" t="s">
        <v>4817</v>
      </c>
      <c r="E662" s="1" t="s">
        <v>4818</v>
      </c>
      <c r="F662" s="1" t="s">
        <v>2795</v>
      </c>
      <c r="G662" s="1" t="s">
        <v>1936</v>
      </c>
      <c r="H662" s="1">
        <v>48930</v>
      </c>
      <c r="I662" t="s">
        <v>1946</v>
      </c>
    </row>
    <row r="663" spans="1:9" x14ac:dyDescent="0.3">
      <c r="A663" s="1" t="s">
        <v>1292</v>
      </c>
      <c r="B663" s="1" t="s">
        <v>4819</v>
      </c>
      <c r="C663" s="1" t="s">
        <v>4820</v>
      </c>
      <c r="D663" s="1" t="s">
        <v>4821</v>
      </c>
      <c r="E663" s="1" t="s">
        <v>4822</v>
      </c>
      <c r="F663" s="1" t="s">
        <v>2022</v>
      </c>
      <c r="G663" s="1" t="s">
        <v>1936</v>
      </c>
      <c r="H663" s="1">
        <v>77281</v>
      </c>
      <c r="I663" t="s">
        <v>1937</v>
      </c>
    </row>
    <row r="664" spans="1:9" x14ac:dyDescent="0.3">
      <c r="A664" s="1" t="s">
        <v>1294</v>
      </c>
      <c r="B664" s="1" t="s">
        <v>4823</v>
      </c>
      <c r="C664" s="1" t="s">
        <v>4824</v>
      </c>
      <c r="D664" s="1"/>
      <c r="E664" s="1" t="s">
        <v>4825</v>
      </c>
      <c r="F664" s="1" t="s">
        <v>4826</v>
      </c>
      <c r="G664" s="1" t="s">
        <v>1936</v>
      </c>
      <c r="H664" s="1">
        <v>37131</v>
      </c>
      <c r="I664" t="s">
        <v>1946</v>
      </c>
    </row>
    <row r="665" spans="1:9" x14ac:dyDescent="0.3">
      <c r="A665" s="1" t="s">
        <v>1296</v>
      </c>
      <c r="B665" s="1" t="s">
        <v>4827</v>
      </c>
      <c r="C665" s="1" t="s">
        <v>4828</v>
      </c>
      <c r="D665" s="1"/>
      <c r="E665" s="1" t="s">
        <v>4829</v>
      </c>
      <c r="F665" s="1" t="s">
        <v>2117</v>
      </c>
      <c r="G665" s="1" t="s">
        <v>1936</v>
      </c>
      <c r="H665" s="1">
        <v>25362</v>
      </c>
      <c r="I665" t="s">
        <v>1946</v>
      </c>
    </row>
    <row r="666" spans="1:9" x14ac:dyDescent="0.3">
      <c r="A666" s="1" t="s">
        <v>1298</v>
      </c>
      <c r="B666" s="1" t="s">
        <v>4830</v>
      </c>
      <c r="C666" s="1" t="s">
        <v>4831</v>
      </c>
      <c r="D666" s="1" t="s">
        <v>4832</v>
      </c>
      <c r="E666" s="1" t="s">
        <v>4833</v>
      </c>
      <c r="F666" s="1" t="s">
        <v>3138</v>
      </c>
      <c r="G666" s="1" t="s">
        <v>1936</v>
      </c>
      <c r="H666" s="1">
        <v>16534</v>
      </c>
      <c r="I666" t="s">
        <v>1946</v>
      </c>
    </row>
    <row r="667" spans="1:9" x14ac:dyDescent="0.3">
      <c r="A667" s="1" t="s">
        <v>4834</v>
      </c>
      <c r="B667" s="1" t="s">
        <v>4835</v>
      </c>
      <c r="C667" s="1" t="s">
        <v>4836</v>
      </c>
      <c r="D667" s="1" t="s">
        <v>4837</v>
      </c>
      <c r="E667" s="1" t="s">
        <v>4838</v>
      </c>
      <c r="F667" s="1" t="s">
        <v>3853</v>
      </c>
      <c r="G667" s="1" t="s">
        <v>1936</v>
      </c>
      <c r="H667" s="1">
        <v>39204</v>
      </c>
      <c r="I667" t="s">
        <v>1937</v>
      </c>
    </row>
    <row r="668" spans="1:9" x14ac:dyDescent="0.3">
      <c r="A668" s="1" t="s">
        <v>1300</v>
      </c>
      <c r="B668" s="1" t="s">
        <v>4839</v>
      </c>
      <c r="C668" s="1" t="s">
        <v>4840</v>
      </c>
      <c r="D668" s="1" t="s">
        <v>4841</v>
      </c>
      <c r="E668" s="1" t="s">
        <v>4842</v>
      </c>
      <c r="F668" s="1" t="s">
        <v>2896</v>
      </c>
      <c r="G668" s="1" t="s">
        <v>1936</v>
      </c>
      <c r="H668" s="1">
        <v>79491</v>
      </c>
      <c r="I668" t="s">
        <v>1946</v>
      </c>
    </row>
    <row r="669" spans="1:9" x14ac:dyDescent="0.3">
      <c r="A669" s="1" t="s">
        <v>1302</v>
      </c>
      <c r="B669" s="1" t="s">
        <v>4843</v>
      </c>
      <c r="C669" s="1" t="s">
        <v>4844</v>
      </c>
      <c r="D669" s="1" t="s">
        <v>4845</v>
      </c>
      <c r="E669" s="1" t="s">
        <v>4846</v>
      </c>
      <c r="F669" s="1" t="s">
        <v>4847</v>
      </c>
      <c r="G669" s="1" t="s">
        <v>1944</v>
      </c>
      <c r="H669" s="1" t="s">
        <v>2084</v>
      </c>
      <c r="I669" t="s">
        <v>1946</v>
      </c>
    </row>
    <row r="670" spans="1:9" x14ac:dyDescent="0.3">
      <c r="A670" s="1" t="s">
        <v>1286</v>
      </c>
      <c r="B670" s="1" t="s">
        <v>4848</v>
      </c>
      <c r="C670" s="1" t="s">
        <v>4849</v>
      </c>
      <c r="D670" s="1" t="s">
        <v>4850</v>
      </c>
      <c r="E670" s="1" t="s">
        <v>4851</v>
      </c>
      <c r="F670" s="1" t="s">
        <v>4476</v>
      </c>
      <c r="G670" s="1" t="s">
        <v>1936</v>
      </c>
      <c r="H670" s="1">
        <v>27717</v>
      </c>
      <c r="I670" t="s">
        <v>1937</v>
      </c>
    </row>
    <row r="671" spans="1:9" x14ac:dyDescent="0.3">
      <c r="A671" s="1" t="s">
        <v>1305</v>
      </c>
      <c r="B671" s="1" t="s">
        <v>4852</v>
      </c>
      <c r="C671" s="1" t="s">
        <v>4853</v>
      </c>
      <c r="D671" s="1" t="s">
        <v>4854</v>
      </c>
      <c r="E671" s="1" t="s">
        <v>4855</v>
      </c>
      <c r="F671" s="1" t="s">
        <v>4856</v>
      </c>
      <c r="G671" s="1" t="s">
        <v>1936</v>
      </c>
      <c r="H671" s="1">
        <v>29505</v>
      </c>
      <c r="I671" t="s">
        <v>1946</v>
      </c>
    </row>
    <row r="672" spans="1:9" x14ac:dyDescent="0.3">
      <c r="A672" s="1" t="s">
        <v>1307</v>
      </c>
      <c r="B672" s="1" t="s">
        <v>4857</v>
      </c>
      <c r="C672" s="1" t="s">
        <v>4858</v>
      </c>
      <c r="D672" s="1" t="s">
        <v>4859</v>
      </c>
      <c r="E672" s="1" t="s">
        <v>4860</v>
      </c>
      <c r="F672" s="1" t="s">
        <v>4861</v>
      </c>
      <c r="G672" s="1" t="s">
        <v>1936</v>
      </c>
      <c r="H672" s="1">
        <v>13205</v>
      </c>
      <c r="I672" t="s">
        <v>1937</v>
      </c>
    </row>
    <row r="673" spans="1:9" x14ac:dyDescent="0.3">
      <c r="A673" s="1" t="s">
        <v>1309</v>
      </c>
      <c r="B673" s="1" t="s">
        <v>4862</v>
      </c>
      <c r="C673" s="1" t="s">
        <v>4863</v>
      </c>
      <c r="D673" s="1" t="s">
        <v>4864</v>
      </c>
      <c r="E673" s="1" t="s">
        <v>4865</v>
      </c>
      <c r="F673" s="1" t="s">
        <v>3677</v>
      </c>
      <c r="G673" s="1" t="s">
        <v>1936</v>
      </c>
      <c r="H673" s="1">
        <v>30245</v>
      </c>
      <c r="I673" t="s">
        <v>1946</v>
      </c>
    </row>
    <row r="674" spans="1:9" x14ac:dyDescent="0.3">
      <c r="A674" s="1" t="s">
        <v>1311</v>
      </c>
      <c r="B674" s="1" t="s">
        <v>4866</v>
      </c>
      <c r="C674" s="1" t="s">
        <v>4867</v>
      </c>
      <c r="D674" s="1"/>
      <c r="E674" s="1" t="s">
        <v>4868</v>
      </c>
      <c r="F674" s="1" t="s">
        <v>2022</v>
      </c>
      <c r="G674" s="1" t="s">
        <v>1936</v>
      </c>
      <c r="H674" s="1">
        <v>77070</v>
      </c>
      <c r="I674" t="s">
        <v>1937</v>
      </c>
    </row>
    <row r="675" spans="1:9" x14ac:dyDescent="0.3">
      <c r="A675" s="1" t="s">
        <v>1313</v>
      </c>
      <c r="B675" s="1" t="s">
        <v>4869</v>
      </c>
      <c r="C675" s="1" t="s">
        <v>4870</v>
      </c>
      <c r="D675" s="1" t="s">
        <v>4871</v>
      </c>
      <c r="E675" s="1" t="s">
        <v>4872</v>
      </c>
      <c r="F675" s="1" t="s">
        <v>2370</v>
      </c>
      <c r="G675" s="1" t="s">
        <v>1936</v>
      </c>
      <c r="H675" s="1">
        <v>66160</v>
      </c>
      <c r="I675" t="s">
        <v>1937</v>
      </c>
    </row>
    <row r="676" spans="1:9" x14ac:dyDescent="0.3">
      <c r="A676" s="1" t="s">
        <v>1315</v>
      </c>
      <c r="B676" s="1" t="s">
        <v>4873</v>
      </c>
      <c r="C676" s="1" t="s">
        <v>4874</v>
      </c>
      <c r="D676" s="1" t="s">
        <v>4875</v>
      </c>
      <c r="E676" s="1" t="s">
        <v>4876</v>
      </c>
      <c r="F676" s="1" t="s">
        <v>4877</v>
      </c>
      <c r="G676" s="1" t="s">
        <v>1936</v>
      </c>
      <c r="H676" s="1">
        <v>34282</v>
      </c>
      <c r="I676" t="s">
        <v>1937</v>
      </c>
    </row>
    <row r="677" spans="1:9" x14ac:dyDescent="0.3">
      <c r="A677" s="1" t="s">
        <v>1317</v>
      </c>
      <c r="B677" s="1" t="s">
        <v>4878</v>
      </c>
      <c r="C677" s="1"/>
      <c r="D677" s="1" t="s">
        <v>4879</v>
      </c>
      <c r="E677" s="1" t="s">
        <v>4880</v>
      </c>
      <c r="F677" s="1" t="s">
        <v>4881</v>
      </c>
      <c r="G677" s="1" t="s">
        <v>1936</v>
      </c>
      <c r="H677" s="1">
        <v>18105</v>
      </c>
      <c r="I677" t="s">
        <v>1937</v>
      </c>
    </row>
    <row r="678" spans="1:9" x14ac:dyDescent="0.3">
      <c r="A678" s="1" t="s">
        <v>1319</v>
      </c>
      <c r="B678" s="1" t="s">
        <v>4882</v>
      </c>
      <c r="C678" s="1"/>
      <c r="D678" s="1" t="s">
        <v>4883</v>
      </c>
      <c r="E678" s="1" t="s">
        <v>4884</v>
      </c>
      <c r="F678" s="1" t="s">
        <v>4885</v>
      </c>
      <c r="G678" s="1" t="s">
        <v>1936</v>
      </c>
      <c r="H678" s="1">
        <v>23663</v>
      </c>
      <c r="I678" t="s">
        <v>1946</v>
      </c>
    </row>
    <row r="679" spans="1:9" x14ac:dyDescent="0.3">
      <c r="A679" s="1" t="s">
        <v>1321</v>
      </c>
      <c r="B679" s="1" t="s">
        <v>4886</v>
      </c>
      <c r="C679" s="1" t="s">
        <v>4887</v>
      </c>
      <c r="D679" s="1" t="s">
        <v>4888</v>
      </c>
      <c r="E679" s="1" t="s">
        <v>4889</v>
      </c>
      <c r="F679" s="1" t="s">
        <v>3744</v>
      </c>
      <c r="G679" s="1" t="s">
        <v>1944</v>
      </c>
      <c r="H679" s="1" t="s">
        <v>3745</v>
      </c>
      <c r="I679" t="s">
        <v>1946</v>
      </c>
    </row>
    <row r="680" spans="1:9" x14ac:dyDescent="0.3">
      <c r="A680" s="1" t="s">
        <v>1323</v>
      </c>
      <c r="B680" s="1" t="s">
        <v>4890</v>
      </c>
      <c r="C680" s="1" t="s">
        <v>4891</v>
      </c>
      <c r="D680" s="1" t="s">
        <v>4892</v>
      </c>
      <c r="E680" s="1" t="s">
        <v>4893</v>
      </c>
      <c r="F680" s="1" t="s">
        <v>4894</v>
      </c>
      <c r="G680" s="1" t="s">
        <v>1936</v>
      </c>
      <c r="H680" s="1">
        <v>67260</v>
      </c>
      <c r="I680" t="s">
        <v>1937</v>
      </c>
    </row>
    <row r="681" spans="1:9" x14ac:dyDescent="0.3">
      <c r="A681" s="1" t="s">
        <v>1325</v>
      </c>
      <c r="B681" s="1" t="s">
        <v>4895</v>
      </c>
      <c r="C681" s="1" t="s">
        <v>4896</v>
      </c>
      <c r="D681" s="1" t="s">
        <v>4897</v>
      </c>
      <c r="E681" s="1" t="s">
        <v>4898</v>
      </c>
      <c r="F681" s="1" t="s">
        <v>4764</v>
      </c>
      <c r="G681" s="1" t="s">
        <v>2111</v>
      </c>
      <c r="H681" s="1" t="s">
        <v>4765</v>
      </c>
      <c r="I681" t="s">
        <v>1946</v>
      </c>
    </row>
    <row r="682" spans="1:9" x14ac:dyDescent="0.3">
      <c r="A682" s="1" t="s">
        <v>1327</v>
      </c>
      <c r="B682" s="1" t="s">
        <v>4899</v>
      </c>
      <c r="C682" s="1" t="s">
        <v>4900</v>
      </c>
      <c r="D682" s="1"/>
      <c r="E682" s="1" t="s">
        <v>4901</v>
      </c>
      <c r="F682" s="1" t="s">
        <v>3278</v>
      </c>
      <c r="G682" s="1" t="s">
        <v>1936</v>
      </c>
      <c r="H682" s="1">
        <v>6816</v>
      </c>
      <c r="I682" t="s">
        <v>1946</v>
      </c>
    </row>
    <row r="683" spans="1:9" x14ac:dyDescent="0.3">
      <c r="A683" s="1" t="s">
        <v>1329</v>
      </c>
      <c r="B683" s="1" t="s">
        <v>4902</v>
      </c>
      <c r="C683" s="1" t="s">
        <v>4903</v>
      </c>
      <c r="D683" s="1" t="s">
        <v>4904</v>
      </c>
      <c r="E683" s="1" t="s">
        <v>4905</v>
      </c>
      <c r="F683" s="1" t="s">
        <v>2194</v>
      </c>
      <c r="G683" s="1" t="s">
        <v>2111</v>
      </c>
      <c r="H683" s="1" t="s">
        <v>2195</v>
      </c>
      <c r="I683" t="s">
        <v>1937</v>
      </c>
    </row>
    <row r="684" spans="1:9" x14ac:dyDescent="0.3">
      <c r="A684" s="1" t="s">
        <v>1331</v>
      </c>
      <c r="B684" s="1" t="s">
        <v>4906</v>
      </c>
      <c r="C684" s="1" t="s">
        <v>4907</v>
      </c>
      <c r="D684" s="1" t="s">
        <v>4908</v>
      </c>
      <c r="E684" s="1" t="s">
        <v>4909</v>
      </c>
      <c r="F684" s="1" t="s">
        <v>3483</v>
      </c>
      <c r="G684" s="1" t="s">
        <v>1936</v>
      </c>
      <c r="H684" s="1">
        <v>32209</v>
      </c>
      <c r="I684" t="s">
        <v>1937</v>
      </c>
    </row>
    <row r="685" spans="1:9" x14ac:dyDescent="0.3">
      <c r="A685" s="1" t="s">
        <v>1333</v>
      </c>
      <c r="B685" s="1" t="s">
        <v>4910</v>
      </c>
      <c r="C685" s="1" t="s">
        <v>4911</v>
      </c>
      <c r="D685" s="1" t="s">
        <v>4912</v>
      </c>
      <c r="E685" s="1" t="s">
        <v>4913</v>
      </c>
      <c r="F685" s="1" t="s">
        <v>2022</v>
      </c>
      <c r="G685" s="1" t="s">
        <v>1936</v>
      </c>
      <c r="H685" s="1">
        <v>77299</v>
      </c>
      <c r="I685" t="s">
        <v>1946</v>
      </c>
    </row>
    <row r="686" spans="1:9" x14ac:dyDescent="0.3">
      <c r="A686" s="1" t="s">
        <v>1335</v>
      </c>
      <c r="B686" s="1" t="s">
        <v>4914</v>
      </c>
      <c r="C686" s="1"/>
      <c r="D686" s="1" t="s">
        <v>4915</v>
      </c>
      <c r="E686" s="1" t="s">
        <v>4916</v>
      </c>
      <c r="F686" s="1" t="s">
        <v>2017</v>
      </c>
      <c r="G686" s="1" t="s">
        <v>1936</v>
      </c>
      <c r="H686" s="1">
        <v>97255</v>
      </c>
      <c r="I686" t="s">
        <v>1946</v>
      </c>
    </row>
    <row r="687" spans="1:9" x14ac:dyDescent="0.3">
      <c r="A687" s="1" t="s">
        <v>1337</v>
      </c>
      <c r="B687" s="1" t="s">
        <v>4917</v>
      </c>
      <c r="C687" s="1" t="s">
        <v>4918</v>
      </c>
      <c r="D687" s="1" t="s">
        <v>4919</v>
      </c>
      <c r="E687" s="1" t="s">
        <v>4920</v>
      </c>
      <c r="F687" s="1" t="s">
        <v>2942</v>
      </c>
      <c r="G687" s="1" t="s">
        <v>1936</v>
      </c>
      <c r="H687" s="1">
        <v>91186</v>
      </c>
      <c r="I687" t="s">
        <v>1937</v>
      </c>
    </row>
    <row r="688" spans="1:9" x14ac:dyDescent="0.3">
      <c r="A688" s="1" t="s">
        <v>1339</v>
      </c>
      <c r="B688" s="1" t="s">
        <v>4921</v>
      </c>
      <c r="C688" s="1" t="s">
        <v>4922</v>
      </c>
      <c r="D688" s="1" t="s">
        <v>4923</v>
      </c>
      <c r="E688" s="1" t="s">
        <v>4924</v>
      </c>
      <c r="F688" s="1" t="s">
        <v>2567</v>
      </c>
      <c r="G688" s="1" t="s">
        <v>1936</v>
      </c>
      <c r="H688" s="1">
        <v>92725</v>
      </c>
      <c r="I688" t="s">
        <v>1937</v>
      </c>
    </row>
    <row r="689" spans="1:9" x14ac:dyDescent="0.3">
      <c r="A689" s="1" t="s">
        <v>1341</v>
      </c>
      <c r="B689" s="1" t="s">
        <v>4925</v>
      </c>
      <c r="C689" s="1" t="s">
        <v>4926</v>
      </c>
      <c r="D689" s="1" t="s">
        <v>4927</v>
      </c>
      <c r="E689" s="1" t="s">
        <v>4928</v>
      </c>
      <c r="F689" s="1" t="s">
        <v>1990</v>
      </c>
      <c r="G689" s="1" t="s">
        <v>1936</v>
      </c>
      <c r="H689" s="1">
        <v>95160</v>
      </c>
      <c r="I689" t="s">
        <v>1946</v>
      </c>
    </row>
    <row r="690" spans="1:9" x14ac:dyDescent="0.3">
      <c r="A690" s="1" t="s">
        <v>1343</v>
      </c>
      <c r="B690" s="1" t="s">
        <v>4929</v>
      </c>
      <c r="C690" s="1" t="s">
        <v>4930</v>
      </c>
      <c r="D690" s="1" t="s">
        <v>4931</v>
      </c>
      <c r="E690" s="1" t="s">
        <v>4932</v>
      </c>
      <c r="F690" s="1" t="s">
        <v>4933</v>
      </c>
      <c r="G690" s="1" t="s">
        <v>1944</v>
      </c>
      <c r="H690" s="1" t="s">
        <v>2038</v>
      </c>
      <c r="I690" t="s">
        <v>1946</v>
      </c>
    </row>
    <row r="691" spans="1:9" x14ac:dyDescent="0.3">
      <c r="A691" s="1" t="s">
        <v>1345</v>
      </c>
      <c r="B691" s="1" t="s">
        <v>4934</v>
      </c>
      <c r="C691" s="1" t="s">
        <v>4935</v>
      </c>
      <c r="D691" s="1" t="s">
        <v>4936</v>
      </c>
      <c r="E691" s="1" t="s">
        <v>4937</v>
      </c>
      <c r="F691" s="1" t="s">
        <v>2335</v>
      </c>
      <c r="G691" s="1" t="s">
        <v>1936</v>
      </c>
      <c r="H691" s="1">
        <v>80935</v>
      </c>
      <c r="I691" t="s">
        <v>1946</v>
      </c>
    </row>
    <row r="692" spans="1:9" x14ac:dyDescent="0.3">
      <c r="A692" s="1" t="s">
        <v>1347</v>
      </c>
      <c r="B692" s="1" t="s">
        <v>4938</v>
      </c>
      <c r="C692" s="1"/>
      <c r="D692" s="1"/>
      <c r="E692" s="1" t="s">
        <v>4939</v>
      </c>
      <c r="F692" s="1" t="s">
        <v>2206</v>
      </c>
      <c r="G692" s="1" t="s">
        <v>1936</v>
      </c>
      <c r="H692" s="1">
        <v>43605</v>
      </c>
      <c r="I692" t="s">
        <v>1946</v>
      </c>
    </row>
    <row r="693" spans="1:9" x14ac:dyDescent="0.3">
      <c r="A693" s="1" t="s">
        <v>4940</v>
      </c>
      <c r="B693" s="1" t="s">
        <v>4941</v>
      </c>
      <c r="C693" s="1" t="s">
        <v>4942</v>
      </c>
      <c r="D693" s="1" t="s">
        <v>4943</v>
      </c>
      <c r="E693" s="1" t="s">
        <v>4944</v>
      </c>
      <c r="F693" s="1" t="s">
        <v>3437</v>
      </c>
      <c r="G693" s="1" t="s">
        <v>1936</v>
      </c>
      <c r="H693" s="1">
        <v>33436</v>
      </c>
      <c r="I693" t="s">
        <v>1937</v>
      </c>
    </row>
    <row r="694" spans="1:9" x14ac:dyDescent="0.3">
      <c r="A694" s="1" t="s">
        <v>1351</v>
      </c>
      <c r="B694" s="1" t="s">
        <v>4945</v>
      </c>
      <c r="C694" s="1" t="s">
        <v>4946</v>
      </c>
      <c r="D694" s="1" t="s">
        <v>4947</v>
      </c>
      <c r="E694" s="1" t="s">
        <v>4948</v>
      </c>
      <c r="F694" s="1" t="s">
        <v>3032</v>
      </c>
      <c r="G694" s="1" t="s">
        <v>1936</v>
      </c>
      <c r="H694" s="1">
        <v>45999</v>
      </c>
      <c r="I694" t="s">
        <v>1946</v>
      </c>
    </row>
    <row r="695" spans="1:9" x14ac:dyDescent="0.3">
      <c r="A695" s="1" t="s">
        <v>1353</v>
      </c>
      <c r="B695" s="1" t="s">
        <v>4949</v>
      </c>
      <c r="C695" s="1" t="s">
        <v>4950</v>
      </c>
      <c r="D695" s="1" t="s">
        <v>4951</v>
      </c>
      <c r="E695" s="1" t="s">
        <v>4952</v>
      </c>
      <c r="F695" s="1" t="s">
        <v>2008</v>
      </c>
      <c r="G695" s="1" t="s">
        <v>1936</v>
      </c>
      <c r="H695" s="1">
        <v>63121</v>
      </c>
      <c r="I695" t="s">
        <v>1937</v>
      </c>
    </row>
    <row r="696" spans="1:9" x14ac:dyDescent="0.3">
      <c r="A696" s="1" t="s">
        <v>1355</v>
      </c>
      <c r="B696" s="1" t="s">
        <v>4953</v>
      </c>
      <c r="C696" s="1" t="s">
        <v>4954</v>
      </c>
      <c r="D696" s="1" t="s">
        <v>4955</v>
      </c>
      <c r="E696" s="1" t="s">
        <v>4956</v>
      </c>
      <c r="F696" s="1" t="s">
        <v>4957</v>
      </c>
      <c r="G696" s="1" t="s">
        <v>1936</v>
      </c>
      <c r="H696" s="1">
        <v>10705</v>
      </c>
      <c r="I696" t="s">
        <v>1946</v>
      </c>
    </row>
    <row r="697" spans="1:9" x14ac:dyDescent="0.3">
      <c r="A697" s="1" t="s">
        <v>1357</v>
      </c>
      <c r="B697" s="1" t="s">
        <v>4958</v>
      </c>
      <c r="C697" s="1" t="s">
        <v>4959</v>
      </c>
      <c r="D697" s="1" t="s">
        <v>4960</v>
      </c>
      <c r="E697" s="1" t="s">
        <v>4961</v>
      </c>
      <c r="F697" s="1" t="s">
        <v>3311</v>
      </c>
      <c r="G697" s="1" t="s">
        <v>1936</v>
      </c>
      <c r="H697" s="1">
        <v>21290</v>
      </c>
      <c r="I697" t="s">
        <v>1937</v>
      </c>
    </row>
    <row r="698" spans="1:9" x14ac:dyDescent="0.3">
      <c r="A698" s="1" t="s">
        <v>1359</v>
      </c>
      <c r="B698" s="1" t="s">
        <v>4962</v>
      </c>
      <c r="C698" s="1" t="s">
        <v>4963</v>
      </c>
      <c r="D698" s="1" t="s">
        <v>4964</v>
      </c>
      <c r="E698" s="1" t="s">
        <v>4965</v>
      </c>
      <c r="F698" s="1" t="s">
        <v>3483</v>
      </c>
      <c r="G698" s="1" t="s">
        <v>1936</v>
      </c>
      <c r="H698" s="1">
        <v>32230</v>
      </c>
      <c r="I698" t="s">
        <v>1946</v>
      </c>
    </row>
    <row r="699" spans="1:9" x14ac:dyDescent="0.3">
      <c r="A699" s="1" t="s">
        <v>1361</v>
      </c>
      <c r="B699" s="1" t="s">
        <v>4966</v>
      </c>
      <c r="C699" s="1"/>
      <c r="D699" s="1"/>
      <c r="E699" s="1" t="s">
        <v>4967</v>
      </c>
      <c r="F699" s="1" t="s">
        <v>4968</v>
      </c>
      <c r="G699" s="1" t="s">
        <v>1944</v>
      </c>
      <c r="H699" s="1" t="s">
        <v>4969</v>
      </c>
      <c r="I699" t="s">
        <v>1946</v>
      </c>
    </row>
    <row r="700" spans="1:9" x14ac:dyDescent="0.3">
      <c r="A700" s="1" t="s">
        <v>1349</v>
      </c>
      <c r="B700" s="1" t="s">
        <v>4970</v>
      </c>
      <c r="C700" s="1" t="s">
        <v>4971</v>
      </c>
      <c r="D700" s="1" t="s">
        <v>4972</v>
      </c>
      <c r="E700" s="1" t="s">
        <v>4973</v>
      </c>
      <c r="F700" s="1" t="s">
        <v>2361</v>
      </c>
      <c r="G700" s="1" t="s">
        <v>1944</v>
      </c>
      <c r="H700" s="1" t="s">
        <v>2540</v>
      </c>
      <c r="I700" t="s">
        <v>1946</v>
      </c>
    </row>
    <row r="701" spans="1:9" x14ac:dyDescent="0.3">
      <c r="A701" s="1" t="s">
        <v>1364</v>
      </c>
      <c r="B701" s="1" t="s">
        <v>4974</v>
      </c>
      <c r="C701" s="1" t="s">
        <v>4975</v>
      </c>
      <c r="D701" s="1" t="s">
        <v>4976</v>
      </c>
      <c r="E701" s="1" t="s">
        <v>4977</v>
      </c>
      <c r="F701" s="1" t="s">
        <v>3576</v>
      </c>
      <c r="G701" s="1" t="s">
        <v>1936</v>
      </c>
      <c r="H701" s="1">
        <v>33196</v>
      </c>
      <c r="I701" t="s">
        <v>1937</v>
      </c>
    </row>
    <row r="702" spans="1:9" x14ac:dyDescent="0.3">
      <c r="A702" s="1" t="s">
        <v>1366</v>
      </c>
      <c r="B702" s="1" t="s">
        <v>4978</v>
      </c>
      <c r="C702" s="1" t="s">
        <v>4979</v>
      </c>
      <c r="D702" s="1"/>
      <c r="E702" s="1" t="s">
        <v>4980</v>
      </c>
      <c r="F702" s="1" t="s">
        <v>3085</v>
      </c>
      <c r="G702" s="1" t="s">
        <v>1936</v>
      </c>
      <c r="H702" s="1">
        <v>94121</v>
      </c>
      <c r="I702" t="s">
        <v>1946</v>
      </c>
    </row>
    <row r="703" spans="1:9" x14ac:dyDescent="0.3">
      <c r="A703" s="1" t="s">
        <v>1368</v>
      </c>
      <c r="B703" s="1" t="s">
        <v>4981</v>
      </c>
      <c r="C703" s="1" t="s">
        <v>4982</v>
      </c>
      <c r="D703" s="1" t="s">
        <v>4983</v>
      </c>
      <c r="E703" s="1" t="s">
        <v>4984</v>
      </c>
      <c r="F703" s="1" t="s">
        <v>3397</v>
      </c>
      <c r="G703" s="1" t="s">
        <v>1944</v>
      </c>
      <c r="H703" s="1" t="s">
        <v>2078</v>
      </c>
      <c r="I703" t="s">
        <v>1937</v>
      </c>
    </row>
    <row r="704" spans="1:9" x14ac:dyDescent="0.3">
      <c r="A704" s="1" t="s">
        <v>1370</v>
      </c>
      <c r="B704" s="1" t="s">
        <v>4985</v>
      </c>
      <c r="C704" s="1" t="s">
        <v>4986</v>
      </c>
      <c r="D704" s="1"/>
      <c r="E704" s="1" t="s">
        <v>4987</v>
      </c>
      <c r="F704" s="1" t="s">
        <v>2048</v>
      </c>
      <c r="G704" s="1" t="s">
        <v>1936</v>
      </c>
      <c r="H704" s="1">
        <v>33982</v>
      </c>
      <c r="I704" t="s">
        <v>1937</v>
      </c>
    </row>
    <row r="705" spans="1:9" x14ac:dyDescent="0.3">
      <c r="A705" s="1" t="s">
        <v>1372</v>
      </c>
      <c r="B705" s="1" t="s">
        <v>4988</v>
      </c>
      <c r="C705" s="1"/>
      <c r="D705" s="1" t="s">
        <v>4989</v>
      </c>
      <c r="E705" s="1" t="s">
        <v>4990</v>
      </c>
      <c r="F705" s="1" t="s">
        <v>2595</v>
      </c>
      <c r="G705" s="1" t="s">
        <v>1944</v>
      </c>
      <c r="H705" s="1" t="s">
        <v>2540</v>
      </c>
      <c r="I705" t="s">
        <v>1937</v>
      </c>
    </row>
    <row r="706" spans="1:9" x14ac:dyDescent="0.3">
      <c r="A706" s="1" t="s">
        <v>1374</v>
      </c>
      <c r="B706" s="1" t="s">
        <v>4991</v>
      </c>
      <c r="C706" s="1"/>
      <c r="D706" s="1" t="s">
        <v>4992</v>
      </c>
      <c r="E706" s="1" t="s">
        <v>4993</v>
      </c>
      <c r="F706" s="1" t="s">
        <v>2032</v>
      </c>
      <c r="G706" s="1" t="s">
        <v>1936</v>
      </c>
      <c r="H706" s="1">
        <v>10125</v>
      </c>
      <c r="I706" t="s">
        <v>1937</v>
      </c>
    </row>
    <row r="707" spans="1:9" x14ac:dyDescent="0.3">
      <c r="A707" s="1" t="s">
        <v>1376</v>
      </c>
      <c r="B707" s="1" t="s">
        <v>4994</v>
      </c>
      <c r="C707" s="1" t="s">
        <v>4995</v>
      </c>
      <c r="D707" s="1" t="s">
        <v>4996</v>
      </c>
      <c r="E707" s="1" t="s">
        <v>4997</v>
      </c>
      <c r="F707" s="1" t="s">
        <v>2881</v>
      </c>
      <c r="G707" s="1" t="s">
        <v>1936</v>
      </c>
      <c r="H707" s="1">
        <v>29305</v>
      </c>
      <c r="I707" t="s">
        <v>1946</v>
      </c>
    </row>
    <row r="708" spans="1:9" x14ac:dyDescent="0.3">
      <c r="A708" s="1" t="s">
        <v>1378</v>
      </c>
      <c r="B708" s="1" t="s">
        <v>4998</v>
      </c>
      <c r="C708" s="1" t="s">
        <v>4999</v>
      </c>
      <c r="D708" s="1" t="s">
        <v>5000</v>
      </c>
      <c r="E708" s="1" t="s">
        <v>5001</v>
      </c>
      <c r="F708" s="1" t="s">
        <v>5002</v>
      </c>
      <c r="G708" s="1" t="s">
        <v>1936</v>
      </c>
      <c r="H708" s="1">
        <v>93305</v>
      </c>
      <c r="I708" t="s">
        <v>1946</v>
      </c>
    </row>
    <row r="709" spans="1:9" x14ac:dyDescent="0.3">
      <c r="A709" s="1" t="s">
        <v>1380</v>
      </c>
      <c r="B709" s="1" t="s">
        <v>5003</v>
      </c>
      <c r="C709" s="1"/>
      <c r="D709" s="1" t="s">
        <v>5004</v>
      </c>
      <c r="E709" s="1" t="s">
        <v>5005</v>
      </c>
      <c r="F709" s="1" t="s">
        <v>5006</v>
      </c>
      <c r="G709" s="1" t="s">
        <v>1944</v>
      </c>
      <c r="H709" s="1" t="s">
        <v>3908</v>
      </c>
      <c r="I709" t="s">
        <v>1946</v>
      </c>
    </row>
    <row r="710" spans="1:9" x14ac:dyDescent="0.3">
      <c r="A710" s="1" t="s">
        <v>1382</v>
      </c>
      <c r="B710" s="1" t="s">
        <v>5007</v>
      </c>
      <c r="C710" s="1" t="s">
        <v>5008</v>
      </c>
      <c r="D710" s="1" t="s">
        <v>5009</v>
      </c>
      <c r="E710" s="1" t="s">
        <v>5010</v>
      </c>
      <c r="F710" s="1" t="s">
        <v>2008</v>
      </c>
      <c r="G710" s="1" t="s">
        <v>1936</v>
      </c>
      <c r="H710" s="1">
        <v>63169</v>
      </c>
      <c r="I710" t="s">
        <v>1937</v>
      </c>
    </row>
    <row r="711" spans="1:9" x14ac:dyDescent="0.3">
      <c r="A711" s="1" t="s">
        <v>1384</v>
      </c>
      <c r="B711" s="1" t="s">
        <v>5011</v>
      </c>
      <c r="C711" s="1"/>
      <c r="D711" s="1" t="s">
        <v>5012</v>
      </c>
      <c r="E711" s="1" t="s">
        <v>5013</v>
      </c>
      <c r="F711" s="1" t="s">
        <v>2233</v>
      </c>
      <c r="G711" s="1" t="s">
        <v>1936</v>
      </c>
      <c r="H711" s="1">
        <v>46896</v>
      </c>
      <c r="I711" t="s">
        <v>1937</v>
      </c>
    </row>
    <row r="712" spans="1:9" x14ac:dyDescent="0.3">
      <c r="A712" s="1" t="s">
        <v>1386</v>
      </c>
      <c r="B712" s="1" t="s">
        <v>5014</v>
      </c>
      <c r="C712" s="1" t="s">
        <v>5015</v>
      </c>
      <c r="D712" s="1" t="s">
        <v>5016</v>
      </c>
      <c r="E712" s="1" t="s">
        <v>5017</v>
      </c>
      <c r="F712" s="1" t="s">
        <v>5018</v>
      </c>
      <c r="G712" s="1" t="s">
        <v>1936</v>
      </c>
      <c r="H712" s="1">
        <v>55564</v>
      </c>
      <c r="I712" t="s">
        <v>1946</v>
      </c>
    </row>
    <row r="713" spans="1:9" x14ac:dyDescent="0.3">
      <c r="A713" s="1" t="s">
        <v>1388</v>
      </c>
      <c r="B713" s="1" t="s">
        <v>5019</v>
      </c>
      <c r="C713" s="1" t="s">
        <v>5020</v>
      </c>
      <c r="D713" s="1" t="s">
        <v>5021</v>
      </c>
      <c r="E713" s="1" t="s">
        <v>5022</v>
      </c>
      <c r="F713" s="1" t="s">
        <v>5023</v>
      </c>
      <c r="G713" s="1" t="s">
        <v>1936</v>
      </c>
      <c r="H713" s="1">
        <v>72905</v>
      </c>
      <c r="I713" t="s">
        <v>1946</v>
      </c>
    </row>
    <row r="714" spans="1:9" x14ac:dyDescent="0.3">
      <c r="A714" s="1" t="s">
        <v>1390</v>
      </c>
      <c r="B714" s="1" t="s">
        <v>5024</v>
      </c>
      <c r="C714" s="1"/>
      <c r="D714" s="1"/>
      <c r="E714" s="1" t="s">
        <v>5025</v>
      </c>
      <c r="F714" s="1" t="s">
        <v>3558</v>
      </c>
      <c r="G714" s="1" t="s">
        <v>2111</v>
      </c>
      <c r="H714" s="1" t="s">
        <v>3559</v>
      </c>
      <c r="I714" t="s">
        <v>1946</v>
      </c>
    </row>
    <row r="715" spans="1:9" x14ac:dyDescent="0.3">
      <c r="A715" s="1" t="s">
        <v>1392</v>
      </c>
      <c r="B715" s="1" t="s">
        <v>5026</v>
      </c>
      <c r="C715" s="1" t="s">
        <v>5027</v>
      </c>
      <c r="D715" s="1" t="s">
        <v>5028</v>
      </c>
      <c r="E715" s="1" t="s">
        <v>5029</v>
      </c>
      <c r="F715" s="1" t="s">
        <v>2414</v>
      </c>
      <c r="G715" s="1" t="s">
        <v>1936</v>
      </c>
      <c r="H715" s="1">
        <v>95210</v>
      </c>
      <c r="I715" t="s">
        <v>1946</v>
      </c>
    </row>
    <row r="716" spans="1:9" x14ac:dyDescent="0.3">
      <c r="A716" s="1" t="s">
        <v>1394</v>
      </c>
      <c r="B716" s="1" t="s">
        <v>5030</v>
      </c>
      <c r="C716" s="1" t="s">
        <v>5031</v>
      </c>
      <c r="D716" s="1" t="s">
        <v>5032</v>
      </c>
      <c r="E716" s="1" t="s">
        <v>5033</v>
      </c>
      <c r="F716" s="1" t="s">
        <v>5034</v>
      </c>
      <c r="G716" s="1" t="s">
        <v>1944</v>
      </c>
      <c r="H716" s="1" t="s">
        <v>2531</v>
      </c>
      <c r="I716" t="s">
        <v>1937</v>
      </c>
    </row>
    <row r="717" spans="1:9" x14ac:dyDescent="0.3">
      <c r="A717" s="1" t="s">
        <v>1396</v>
      </c>
      <c r="B717" s="1" t="s">
        <v>5035</v>
      </c>
      <c r="C717" s="1" t="s">
        <v>5036</v>
      </c>
      <c r="D717" s="1"/>
      <c r="E717" s="1" t="s">
        <v>5037</v>
      </c>
      <c r="F717" s="1" t="s">
        <v>2215</v>
      </c>
      <c r="G717" s="1" t="s">
        <v>1936</v>
      </c>
      <c r="H717" s="1">
        <v>33686</v>
      </c>
      <c r="I717" t="s">
        <v>1946</v>
      </c>
    </row>
    <row r="718" spans="1:9" x14ac:dyDescent="0.3">
      <c r="A718" s="1" t="s">
        <v>5038</v>
      </c>
      <c r="B718" s="1" t="s">
        <v>5039</v>
      </c>
      <c r="C718" s="1" t="s">
        <v>5040</v>
      </c>
      <c r="D718" s="1" t="s">
        <v>5041</v>
      </c>
      <c r="E718" s="1" t="s">
        <v>5042</v>
      </c>
      <c r="F718" s="1" t="s">
        <v>2720</v>
      </c>
      <c r="G718" s="1" t="s">
        <v>1944</v>
      </c>
      <c r="H718" s="1" t="s">
        <v>2721</v>
      </c>
      <c r="I718" t="s">
        <v>1946</v>
      </c>
    </row>
    <row r="719" spans="1:9" x14ac:dyDescent="0.3">
      <c r="A719" s="1" t="s">
        <v>1399</v>
      </c>
      <c r="B719" s="1" t="s">
        <v>5043</v>
      </c>
      <c r="C719" s="1" t="s">
        <v>5044</v>
      </c>
      <c r="D719" s="1" t="s">
        <v>5045</v>
      </c>
      <c r="E719" s="1" t="s">
        <v>5046</v>
      </c>
      <c r="F719" s="1" t="s">
        <v>2012</v>
      </c>
      <c r="G719" s="1" t="s">
        <v>1936</v>
      </c>
      <c r="H719" s="1">
        <v>19104</v>
      </c>
      <c r="I719" t="s">
        <v>1946</v>
      </c>
    </row>
    <row r="720" spans="1:9" x14ac:dyDescent="0.3">
      <c r="A720" s="1" t="s">
        <v>1401</v>
      </c>
      <c r="B720" s="1" t="s">
        <v>5047</v>
      </c>
      <c r="C720" s="1" t="s">
        <v>5048</v>
      </c>
      <c r="D720" s="1" t="s">
        <v>5049</v>
      </c>
      <c r="E720" s="1" t="s">
        <v>5050</v>
      </c>
      <c r="F720" s="1" t="s">
        <v>4755</v>
      </c>
      <c r="G720" s="1" t="s">
        <v>1936</v>
      </c>
      <c r="H720" s="1">
        <v>76905</v>
      </c>
      <c r="I720" t="s">
        <v>1946</v>
      </c>
    </row>
    <row r="721" spans="1:9" x14ac:dyDescent="0.3">
      <c r="A721" s="1" t="s">
        <v>1403</v>
      </c>
      <c r="B721" s="1" t="s">
        <v>5051</v>
      </c>
      <c r="C721" s="1" t="s">
        <v>5052</v>
      </c>
      <c r="D721" s="1" t="s">
        <v>5053</v>
      </c>
      <c r="E721" s="1" t="s">
        <v>5054</v>
      </c>
      <c r="F721" s="1" t="s">
        <v>1981</v>
      </c>
      <c r="G721" s="1" t="s">
        <v>1936</v>
      </c>
      <c r="H721" s="1">
        <v>90035</v>
      </c>
      <c r="I721" t="s">
        <v>1937</v>
      </c>
    </row>
    <row r="722" spans="1:9" x14ac:dyDescent="0.3">
      <c r="A722" s="1" t="s">
        <v>1405</v>
      </c>
      <c r="B722" s="1" t="s">
        <v>5055</v>
      </c>
      <c r="C722" s="1" t="s">
        <v>5056</v>
      </c>
      <c r="D722" s="1" t="s">
        <v>5057</v>
      </c>
      <c r="E722" s="1" t="s">
        <v>5058</v>
      </c>
      <c r="F722" s="1" t="s">
        <v>2795</v>
      </c>
      <c r="G722" s="1" t="s">
        <v>1936</v>
      </c>
      <c r="H722" s="1">
        <v>48912</v>
      </c>
      <c r="I722" t="s">
        <v>1937</v>
      </c>
    </row>
    <row r="723" spans="1:9" x14ac:dyDescent="0.3">
      <c r="A723" s="1" t="s">
        <v>1407</v>
      </c>
      <c r="B723" s="1" t="s">
        <v>5059</v>
      </c>
      <c r="C723" s="1" t="s">
        <v>5060</v>
      </c>
      <c r="D723" s="1" t="s">
        <v>5061</v>
      </c>
      <c r="E723" s="1" t="s">
        <v>5062</v>
      </c>
      <c r="F723" s="1" t="s">
        <v>2708</v>
      </c>
      <c r="G723" s="1" t="s">
        <v>1936</v>
      </c>
      <c r="H723" s="1">
        <v>34615</v>
      </c>
      <c r="I723" t="s">
        <v>1937</v>
      </c>
    </row>
    <row r="724" spans="1:9" x14ac:dyDescent="0.3">
      <c r="A724" s="1" t="s">
        <v>1409</v>
      </c>
      <c r="B724" s="1" t="s">
        <v>5063</v>
      </c>
      <c r="C724" s="1"/>
      <c r="D724" s="1" t="s">
        <v>5064</v>
      </c>
      <c r="E724" s="1" t="s">
        <v>5065</v>
      </c>
      <c r="F724" s="1" t="s">
        <v>2753</v>
      </c>
      <c r="G724" s="1" t="s">
        <v>1936</v>
      </c>
      <c r="H724" s="1">
        <v>90605</v>
      </c>
      <c r="I724" t="s">
        <v>1946</v>
      </c>
    </row>
    <row r="725" spans="1:9" x14ac:dyDescent="0.3">
      <c r="A725" s="1" t="s">
        <v>1411</v>
      </c>
      <c r="B725" s="1" t="s">
        <v>5066</v>
      </c>
      <c r="C725" s="1" t="s">
        <v>5067</v>
      </c>
      <c r="D725" s="1" t="s">
        <v>5068</v>
      </c>
      <c r="E725" s="1" t="s">
        <v>5069</v>
      </c>
      <c r="F725" s="1" t="s">
        <v>2350</v>
      </c>
      <c r="G725" s="1" t="s">
        <v>1936</v>
      </c>
      <c r="H725" s="1">
        <v>93773</v>
      </c>
      <c r="I725" t="s">
        <v>1946</v>
      </c>
    </row>
    <row r="726" spans="1:9" x14ac:dyDescent="0.3">
      <c r="A726" s="1" t="s">
        <v>1413</v>
      </c>
      <c r="B726" s="1" t="s">
        <v>5070</v>
      </c>
      <c r="C726" s="1"/>
      <c r="D726" s="1" t="s">
        <v>5071</v>
      </c>
      <c r="E726" s="1" t="s">
        <v>5072</v>
      </c>
      <c r="F726" s="1" t="s">
        <v>2032</v>
      </c>
      <c r="G726" s="1" t="s">
        <v>1936</v>
      </c>
      <c r="H726" s="1">
        <v>10155</v>
      </c>
      <c r="I726" t="s">
        <v>1937</v>
      </c>
    </row>
    <row r="727" spans="1:9" x14ac:dyDescent="0.3">
      <c r="A727" s="1" t="s">
        <v>1415</v>
      </c>
      <c r="B727" s="1" t="s">
        <v>5073</v>
      </c>
      <c r="C727" s="1" t="s">
        <v>5074</v>
      </c>
      <c r="D727" s="1" t="s">
        <v>5075</v>
      </c>
      <c r="E727" s="1" t="s">
        <v>5076</v>
      </c>
      <c r="F727" s="1" t="s">
        <v>2335</v>
      </c>
      <c r="G727" s="1" t="s">
        <v>1936</v>
      </c>
      <c r="H727" s="1">
        <v>80935</v>
      </c>
      <c r="I727" t="s">
        <v>1946</v>
      </c>
    </row>
    <row r="728" spans="1:9" x14ac:dyDescent="0.3">
      <c r="A728" s="1" t="s">
        <v>1417</v>
      </c>
      <c r="B728" s="1" t="s">
        <v>5077</v>
      </c>
      <c r="C728" s="1"/>
      <c r="D728" s="1" t="s">
        <v>5078</v>
      </c>
      <c r="E728" s="1" t="s">
        <v>5079</v>
      </c>
      <c r="F728" s="1" t="s">
        <v>5080</v>
      </c>
      <c r="G728" s="1" t="s">
        <v>1936</v>
      </c>
      <c r="H728" s="1">
        <v>90831</v>
      </c>
      <c r="I728" t="s">
        <v>1946</v>
      </c>
    </row>
    <row r="729" spans="1:9" x14ac:dyDescent="0.3">
      <c r="A729" s="1" t="s">
        <v>1419</v>
      </c>
      <c r="B729" s="1" t="s">
        <v>5081</v>
      </c>
      <c r="C729" s="1" t="s">
        <v>5082</v>
      </c>
      <c r="D729" s="1" t="s">
        <v>5083</v>
      </c>
      <c r="E729" s="1" t="s">
        <v>5084</v>
      </c>
      <c r="F729" s="1" t="s">
        <v>5085</v>
      </c>
      <c r="G729" s="1" t="s">
        <v>1944</v>
      </c>
      <c r="H729" s="1" t="s">
        <v>5086</v>
      </c>
      <c r="I729" t="s">
        <v>1937</v>
      </c>
    </row>
    <row r="730" spans="1:9" x14ac:dyDescent="0.3">
      <c r="A730" s="1" t="s">
        <v>1421</v>
      </c>
      <c r="B730" s="1" t="s">
        <v>5087</v>
      </c>
      <c r="C730" s="1" t="s">
        <v>5088</v>
      </c>
      <c r="D730" s="1" t="s">
        <v>5089</v>
      </c>
      <c r="E730" s="1" t="s">
        <v>5090</v>
      </c>
      <c r="F730" s="1" t="s">
        <v>2365</v>
      </c>
      <c r="G730" s="1" t="s">
        <v>1936</v>
      </c>
      <c r="H730" s="1">
        <v>89510</v>
      </c>
      <c r="I730" t="s">
        <v>1937</v>
      </c>
    </row>
    <row r="731" spans="1:9" x14ac:dyDescent="0.3">
      <c r="A731" s="1" t="s">
        <v>1423</v>
      </c>
      <c r="B731" s="1" t="s">
        <v>5091</v>
      </c>
      <c r="C731" s="1" t="s">
        <v>5092</v>
      </c>
      <c r="D731" s="1" t="s">
        <v>5093</v>
      </c>
      <c r="E731" s="1" t="s">
        <v>5094</v>
      </c>
      <c r="F731" s="1" t="s">
        <v>2110</v>
      </c>
      <c r="G731" s="1" t="s">
        <v>2111</v>
      </c>
      <c r="H731" s="1" t="s">
        <v>2112</v>
      </c>
      <c r="I731" t="s">
        <v>1946</v>
      </c>
    </row>
    <row r="732" spans="1:9" x14ac:dyDescent="0.3">
      <c r="A732" s="1" t="s">
        <v>1425</v>
      </c>
      <c r="B732" s="1" t="s">
        <v>5095</v>
      </c>
      <c r="C732" s="1" t="s">
        <v>5096</v>
      </c>
      <c r="D732" s="1" t="s">
        <v>5097</v>
      </c>
      <c r="E732" s="1" t="s">
        <v>5098</v>
      </c>
      <c r="F732" s="1" t="s">
        <v>3365</v>
      </c>
      <c r="G732" s="1" t="s">
        <v>1936</v>
      </c>
      <c r="H732" s="1">
        <v>89155</v>
      </c>
      <c r="I732" t="s">
        <v>1946</v>
      </c>
    </row>
    <row r="733" spans="1:9" x14ac:dyDescent="0.3">
      <c r="A733" s="1" t="s">
        <v>1427</v>
      </c>
      <c r="B733" s="1" t="s">
        <v>5099</v>
      </c>
      <c r="C733" s="1"/>
      <c r="D733" s="1" t="s">
        <v>5100</v>
      </c>
      <c r="E733" s="1" t="s">
        <v>5101</v>
      </c>
      <c r="F733" s="1" t="s">
        <v>5102</v>
      </c>
      <c r="G733" s="1" t="s">
        <v>1936</v>
      </c>
      <c r="H733" s="1">
        <v>19805</v>
      </c>
      <c r="I733" t="s">
        <v>1937</v>
      </c>
    </row>
    <row r="734" spans="1:9" x14ac:dyDescent="0.3">
      <c r="A734" s="1" t="s">
        <v>1429</v>
      </c>
      <c r="B734" s="1" t="s">
        <v>5103</v>
      </c>
      <c r="C734" s="1" t="s">
        <v>5104</v>
      </c>
      <c r="D734" s="1" t="s">
        <v>5105</v>
      </c>
      <c r="E734" s="1" t="s">
        <v>5106</v>
      </c>
      <c r="F734" s="1" t="s">
        <v>2365</v>
      </c>
      <c r="G734" s="1" t="s">
        <v>1936</v>
      </c>
      <c r="H734" s="1">
        <v>89550</v>
      </c>
      <c r="I734" t="s">
        <v>1946</v>
      </c>
    </row>
    <row r="735" spans="1:9" x14ac:dyDescent="0.3">
      <c r="A735" s="1" t="s">
        <v>1431</v>
      </c>
      <c r="B735" s="1" t="s">
        <v>5107</v>
      </c>
      <c r="C735" s="1" t="s">
        <v>5108</v>
      </c>
      <c r="D735" s="1" t="s">
        <v>5109</v>
      </c>
      <c r="E735" s="1" t="s">
        <v>5110</v>
      </c>
      <c r="F735" s="1" t="s">
        <v>2434</v>
      </c>
      <c r="G735" s="1" t="s">
        <v>1936</v>
      </c>
      <c r="H735" s="1">
        <v>35487</v>
      </c>
      <c r="I735" t="s">
        <v>1937</v>
      </c>
    </row>
    <row r="736" spans="1:9" x14ac:dyDescent="0.3">
      <c r="A736" s="1" t="s">
        <v>1433</v>
      </c>
      <c r="B736" s="1" t="s">
        <v>5111</v>
      </c>
      <c r="C736" s="1"/>
      <c r="D736" s="1" t="s">
        <v>5112</v>
      </c>
      <c r="E736" s="1" t="s">
        <v>5113</v>
      </c>
      <c r="F736" s="1" t="s">
        <v>5114</v>
      </c>
      <c r="G736" s="1" t="s">
        <v>1936</v>
      </c>
      <c r="H736" s="1">
        <v>92645</v>
      </c>
      <c r="I736" t="s">
        <v>1946</v>
      </c>
    </row>
    <row r="737" spans="1:9" x14ac:dyDescent="0.3">
      <c r="A737" s="1" t="s">
        <v>1435</v>
      </c>
      <c r="B737" s="1" t="s">
        <v>5115</v>
      </c>
      <c r="C737" s="1" t="s">
        <v>5116</v>
      </c>
      <c r="D737" s="1"/>
      <c r="E737" s="1" t="s">
        <v>5117</v>
      </c>
      <c r="F737" s="1" t="s">
        <v>2983</v>
      </c>
      <c r="G737" s="1" t="s">
        <v>1936</v>
      </c>
      <c r="H737" s="1">
        <v>66225</v>
      </c>
      <c r="I737" t="s">
        <v>1946</v>
      </c>
    </row>
    <row r="738" spans="1:9" x14ac:dyDescent="0.3">
      <c r="A738" s="1" t="s">
        <v>1437</v>
      </c>
      <c r="B738" s="1" t="s">
        <v>5118</v>
      </c>
      <c r="C738" s="1" t="s">
        <v>5119</v>
      </c>
      <c r="D738" s="1" t="s">
        <v>5120</v>
      </c>
      <c r="E738" s="1" t="s">
        <v>5121</v>
      </c>
      <c r="F738" s="1" t="s">
        <v>2595</v>
      </c>
      <c r="G738" s="1" t="s">
        <v>1944</v>
      </c>
      <c r="H738" s="1" t="s">
        <v>2540</v>
      </c>
      <c r="I738" t="s">
        <v>1937</v>
      </c>
    </row>
    <row r="739" spans="1:9" x14ac:dyDescent="0.3">
      <c r="A739" s="1" t="s">
        <v>1439</v>
      </c>
      <c r="B739" s="1" t="s">
        <v>5122</v>
      </c>
      <c r="C739" s="1" t="s">
        <v>5123</v>
      </c>
      <c r="D739" s="1" t="s">
        <v>5124</v>
      </c>
      <c r="E739" s="1" t="s">
        <v>5125</v>
      </c>
      <c r="F739" s="1" t="s">
        <v>3032</v>
      </c>
      <c r="G739" s="1" t="s">
        <v>1936</v>
      </c>
      <c r="H739" s="1">
        <v>45228</v>
      </c>
      <c r="I739" t="s">
        <v>1946</v>
      </c>
    </row>
    <row r="740" spans="1:9" x14ac:dyDescent="0.3">
      <c r="A740" s="1" t="s">
        <v>1441</v>
      </c>
      <c r="B740" s="1" t="s">
        <v>5126</v>
      </c>
      <c r="C740" s="1" t="s">
        <v>5127</v>
      </c>
      <c r="D740" s="1" t="s">
        <v>5128</v>
      </c>
      <c r="E740" s="1" t="s">
        <v>5129</v>
      </c>
      <c r="F740" s="1" t="s">
        <v>2907</v>
      </c>
      <c r="G740" s="1" t="s">
        <v>2111</v>
      </c>
      <c r="H740" s="1" t="s">
        <v>2908</v>
      </c>
      <c r="I740" t="s">
        <v>1946</v>
      </c>
    </row>
    <row r="741" spans="1:9" x14ac:dyDescent="0.3">
      <c r="A741" s="1" t="s">
        <v>5130</v>
      </c>
      <c r="B741" s="1" t="s">
        <v>5131</v>
      </c>
      <c r="C741" s="1"/>
      <c r="D741" s="1" t="s">
        <v>5132</v>
      </c>
      <c r="E741" s="1" t="s">
        <v>5133</v>
      </c>
      <c r="F741" s="1" t="s">
        <v>2017</v>
      </c>
      <c r="G741" s="1" t="s">
        <v>1936</v>
      </c>
      <c r="H741" s="1">
        <v>97296</v>
      </c>
      <c r="I741" t="s">
        <v>1937</v>
      </c>
    </row>
    <row r="742" spans="1:9" x14ac:dyDescent="0.3">
      <c r="A742" s="1" t="s">
        <v>1444</v>
      </c>
      <c r="B742" s="1" t="s">
        <v>5134</v>
      </c>
      <c r="C742" s="1" t="s">
        <v>5135</v>
      </c>
      <c r="D742" s="1" t="s">
        <v>5136</v>
      </c>
      <c r="E742" s="1" t="s">
        <v>5137</v>
      </c>
      <c r="F742" s="1" t="s">
        <v>5006</v>
      </c>
      <c r="G742" s="1" t="s">
        <v>1944</v>
      </c>
      <c r="H742" s="1" t="s">
        <v>3908</v>
      </c>
      <c r="I742" t="s">
        <v>1946</v>
      </c>
    </row>
    <row r="743" spans="1:9" x14ac:dyDescent="0.3">
      <c r="A743" s="1" t="s">
        <v>1446</v>
      </c>
      <c r="B743" s="1" t="s">
        <v>5138</v>
      </c>
      <c r="C743" s="1" t="s">
        <v>5139</v>
      </c>
      <c r="D743" s="1" t="s">
        <v>5140</v>
      </c>
      <c r="E743" s="1" t="s">
        <v>5141</v>
      </c>
      <c r="F743" s="1" t="s">
        <v>4806</v>
      </c>
      <c r="G743" s="1" t="s">
        <v>1936</v>
      </c>
      <c r="H743" s="1">
        <v>94089</v>
      </c>
      <c r="I743" t="s">
        <v>1946</v>
      </c>
    </row>
    <row r="744" spans="1:9" x14ac:dyDescent="0.3">
      <c r="A744" s="1" t="s">
        <v>1448</v>
      </c>
      <c r="B744" s="1" t="s">
        <v>5142</v>
      </c>
      <c r="C744" s="1" t="s">
        <v>5143</v>
      </c>
      <c r="D744" s="1" t="s">
        <v>5144</v>
      </c>
      <c r="E744" s="1" t="s">
        <v>5145</v>
      </c>
      <c r="F744" s="1" t="s">
        <v>2840</v>
      </c>
      <c r="G744" s="1" t="s">
        <v>1936</v>
      </c>
      <c r="H744" s="1">
        <v>38188</v>
      </c>
      <c r="I744" t="s">
        <v>1946</v>
      </c>
    </row>
    <row r="745" spans="1:9" x14ac:dyDescent="0.3">
      <c r="A745" s="1" t="s">
        <v>1450</v>
      </c>
      <c r="B745" s="1" t="s">
        <v>5146</v>
      </c>
      <c r="C745" s="1" t="s">
        <v>5147</v>
      </c>
      <c r="D745" s="1" t="s">
        <v>5148</v>
      </c>
      <c r="E745" s="1" t="s">
        <v>5149</v>
      </c>
      <c r="F745" s="1" t="s">
        <v>4396</v>
      </c>
      <c r="G745" s="1" t="s">
        <v>1936</v>
      </c>
      <c r="H745" s="1">
        <v>32868</v>
      </c>
      <c r="I745" t="s">
        <v>1946</v>
      </c>
    </row>
    <row r="746" spans="1:9" x14ac:dyDescent="0.3">
      <c r="A746" s="1" t="s">
        <v>1452</v>
      </c>
      <c r="B746" s="1" t="s">
        <v>5150</v>
      </c>
      <c r="C746" s="1"/>
      <c r="D746" s="1" t="s">
        <v>5151</v>
      </c>
      <c r="E746" s="1" t="s">
        <v>5152</v>
      </c>
      <c r="F746" s="1" t="s">
        <v>2816</v>
      </c>
      <c r="G746" s="1" t="s">
        <v>1936</v>
      </c>
      <c r="H746" s="1">
        <v>48232</v>
      </c>
      <c r="I746" t="s">
        <v>1937</v>
      </c>
    </row>
    <row r="747" spans="1:9" x14ac:dyDescent="0.3">
      <c r="A747" s="1" t="s">
        <v>1454</v>
      </c>
      <c r="B747" s="1" t="s">
        <v>5153</v>
      </c>
      <c r="C747" s="1" t="s">
        <v>5154</v>
      </c>
      <c r="D747" s="1" t="s">
        <v>5155</v>
      </c>
      <c r="E747" s="1" t="s">
        <v>5156</v>
      </c>
      <c r="F747" s="1" t="s">
        <v>5157</v>
      </c>
      <c r="G747" s="1" t="s">
        <v>1944</v>
      </c>
      <c r="H747" s="1" t="s">
        <v>5158</v>
      </c>
      <c r="I747" t="s">
        <v>1946</v>
      </c>
    </row>
    <row r="748" spans="1:9" x14ac:dyDescent="0.3">
      <c r="A748" s="1" t="s">
        <v>1456</v>
      </c>
      <c r="B748" s="1" t="s">
        <v>5159</v>
      </c>
      <c r="C748" s="1" t="s">
        <v>5160</v>
      </c>
      <c r="D748" s="1" t="s">
        <v>5161</v>
      </c>
      <c r="E748" s="1" t="s">
        <v>5162</v>
      </c>
      <c r="F748" s="1" t="s">
        <v>5163</v>
      </c>
      <c r="G748" s="1" t="s">
        <v>1944</v>
      </c>
      <c r="H748" s="1" t="s">
        <v>2721</v>
      </c>
      <c r="I748" t="s">
        <v>1946</v>
      </c>
    </row>
    <row r="749" spans="1:9" x14ac:dyDescent="0.3">
      <c r="A749" s="1" t="s">
        <v>1458</v>
      </c>
      <c r="B749" s="1" t="s">
        <v>5164</v>
      </c>
      <c r="C749" s="1" t="s">
        <v>5165</v>
      </c>
      <c r="D749" s="1" t="s">
        <v>5166</v>
      </c>
      <c r="E749" s="1" t="s">
        <v>5167</v>
      </c>
      <c r="F749" s="1" t="s">
        <v>5168</v>
      </c>
      <c r="G749" s="1" t="s">
        <v>1944</v>
      </c>
      <c r="H749" s="1" t="s">
        <v>5169</v>
      </c>
      <c r="I749" t="s">
        <v>1937</v>
      </c>
    </row>
    <row r="750" spans="1:9" x14ac:dyDescent="0.3">
      <c r="A750" s="1" t="s">
        <v>1460</v>
      </c>
      <c r="B750" s="1" t="s">
        <v>5170</v>
      </c>
      <c r="C750" s="1" t="s">
        <v>5171</v>
      </c>
      <c r="D750" s="1" t="s">
        <v>5172</v>
      </c>
      <c r="E750" s="1" t="s">
        <v>5173</v>
      </c>
      <c r="F750" s="1" t="s">
        <v>1999</v>
      </c>
      <c r="G750" s="1" t="s">
        <v>1936</v>
      </c>
      <c r="H750" s="1">
        <v>23203</v>
      </c>
      <c r="I750" t="s">
        <v>1946</v>
      </c>
    </row>
    <row r="751" spans="1:9" x14ac:dyDescent="0.3">
      <c r="A751" s="1" t="s">
        <v>1462</v>
      </c>
      <c r="B751" s="1" t="s">
        <v>5174</v>
      </c>
      <c r="C751" s="1" t="s">
        <v>5175</v>
      </c>
      <c r="D751" s="1" t="s">
        <v>5176</v>
      </c>
      <c r="E751" s="1" t="s">
        <v>5177</v>
      </c>
      <c r="F751" s="1" t="s">
        <v>5178</v>
      </c>
      <c r="G751" s="1" t="s">
        <v>1944</v>
      </c>
      <c r="H751" s="1" t="s">
        <v>2531</v>
      </c>
      <c r="I751" t="s">
        <v>1937</v>
      </c>
    </row>
    <row r="752" spans="1:9" x14ac:dyDescent="0.3">
      <c r="A752" s="1" t="s">
        <v>1464</v>
      </c>
      <c r="B752" s="1" t="s">
        <v>5179</v>
      </c>
      <c r="C752" s="1"/>
      <c r="D752" s="1" t="s">
        <v>5180</v>
      </c>
      <c r="E752" s="1" t="s">
        <v>5181</v>
      </c>
      <c r="F752" s="1" t="s">
        <v>2261</v>
      </c>
      <c r="G752" s="1" t="s">
        <v>1936</v>
      </c>
      <c r="H752" s="1">
        <v>76178</v>
      </c>
      <c r="I752" t="s">
        <v>1937</v>
      </c>
    </row>
    <row r="753" spans="1:9" x14ac:dyDescent="0.3">
      <c r="A753" s="1" t="s">
        <v>1466</v>
      </c>
      <c r="B753" s="1" t="s">
        <v>5182</v>
      </c>
      <c r="C753" s="1" t="s">
        <v>5183</v>
      </c>
      <c r="D753" s="1" t="s">
        <v>5184</v>
      </c>
      <c r="E753" s="1" t="s">
        <v>5185</v>
      </c>
      <c r="F753" s="1" t="s">
        <v>2771</v>
      </c>
      <c r="G753" s="1" t="s">
        <v>1936</v>
      </c>
      <c r="H753" s="1">
        <v>11254</v>
      </c>
      <c r="I753" t="s">
        <v>1946</v>
      </c>
    </row>
    <row r="754" spans="1:9" x14ac:dyDescent="0.3">
      <c r="A754" s="1" t="s">
        <v>1468</v>
      </c>
      <c r="B754" s="1" t="s">
        <v>5186</v>
      </c>
      <c r="C754" s="1" t="s">
        <v>5187</v>
      </c>
      <c r="D754" s="1" t="s">
        <v>5188</v>
      </c>
      <c r="E754" s="1" t="s">
        <v>5189</v>
      </c>
      <c r="F754" s="1" t="s">
        <v>2261</v>
      </c>
      <c r="G754" s="1" t="s">
        <v>1936</v>
      </c>
      <c r="H754" s="1">
        <v>76198</v>
      </c>
      <c r="I754" t="s">
        <v>1937</v>
      </c>
    </row>
    <row r="755" spans="1:9" x14ac:dyDescent="0.3">
      <c r="A755" s="1" t="s">
        <v>1470</v>
      </c>
      <c r="B755" s="1" t="s">
        <v>5190</v>
      </c>
      <c r="C755" s="1" t="s">
        <v>5191</v>
      </c>
      <c r="D755" s="1" t="s">
        <v>5192</v>
      </c>
      <c r="E755" s="1" t="s">
        <v>5193</v>
      </c>
      <c r="F755" s="1" t="s">
        <v>3094</v>
      </c>
      <c r="G755" s="1" t="s">
        <v>1936</v>
      </c>
      <c r="H755" s="1">
        <v>85053</v>
      </c>
      <c r="I755" t="s">
        <v>1946</v>
      </c>
    </row>
    <row r="756" spans="1:9" x14ac:dyDescent="0.3">
      <c r="A756" s="1" t="s">
        <v>5194</v>
      </c>
      <c r="B756" s="1" t="s">
        <v>5195</v>
      </c>
      <c r="C756" s="1" t="s">
        <v>5196</v>
      </c>
      <c r="D756" s="1"/>
      <c r="E756" s="1" t="s">
        <v>5197</v>
      </c>
      <c r="F756" s="1" t="s">
        <v>2181</v>
      </c>
      <c r="G756" s="1" t="s">
        <v>1936</v>
      </c>
      <c r="H756" s="1">
        <v>20470</v>
      </c>
      <c r="I756" t="s">
        <v>1946</v>
      </c>
    </row>
    <row r="757" spans="1:9" x14ac:dyDescent="0.3">
      <c r="A757" s="1" t="s">
        <v>1473</v>
      </c>
      <c r="B757" s="1" t="s">
        <v>5198</v>
      </c>
      <c r="C757" s="1" t="s">
        <v>5199</v>
      </c>
      <c r="D757" s="1" t="s">
        <v>5200</v>
      </c>
      <c r="E757" s="1" t="s">
        <v>5201</v>
      </c>
      <c r="F757" s="1" t="s">
        <v>2320</v>
      </c>
      <c r="G757" s="1" t="s">
        <v>1936</v>
      </c>
      <c r="H757" s="1">
        <v>75287</v>
      </c>
      <c r="I757" t="s">
        <v>1946</v>
      </c>
    </row>
    <row r="758" spans="1:9" x14ac:dyDescent="0.3">
      <c r="A758" s="1" t="s">
        <v>1475</v>
      </c>
      <c r="B758" s="1" t="s">
        <v>5202</v>
      </c>
      <c r="C758" s="1" t="s">
        <v>5203</v>
      </c>
      <c r="D758" s="1" t="s">
        <v>5204</v>
      </c>
      <c r="E758" s="1" t="s">
        <v>5205</v>
      </c>
      <c r="F758" s="1" t="s">
        <v>3682</v>
      </c>
      <c r="G758" s="1" t="s">
        <v>1936</v>
      </c>
      <c r="H758" s="1">
        <v>28805</v>
      </c>
      <c r="I758" t="s">
        <v>1937</v>
      </c>
    </row>
    <row r="759" spans="1:9" x14ac:dyDescent="0.3">
      <c r="A759" s="1" t="s">
        <v>1477</v>
      </c>
      <c r="B759" s="1" t="s">
        <v>5206</v>
      </c>
      <c r="C759" s="1" t="s">
        <v>5207</v>
      </c>
      <c r="D759" s="1" t="s">
        <v>5208</v>
      </c>
      <c r="E759" s="1" t="s">
        <v>5209</v>
      </c>
      <c r="F759" s="1" t="s">
        <v>5210</v>
      </c>
      <c r="G759" s="1" t="s">
        <v>1936</v>
      </c>
      <c r="H759" s="1">
        <v>59112</v>
      </c>
      <c r="I759" t="s">
        <v>1937</v>
      </c>
    </row>
    <row r="760" spans="1:9" x14ac:dyDescent="0.3">
      <c r="A760" s="1" t="s">
        <v>1479</v>
      </c>
      <c r="B760" s="1" t="s">
        <v>5211</v>
      </c>
      <c r="C760" s="1" t="s">
        <v>5212</v>
      </c>
      <c r="D760" s="1"/>
      <c r="E760" s="1" t="s">
        <v>5213</v>
      </c>
      <c r="F760" s="1" t="s">
        <v>2008</v>
      </c>
      <c r="G760" s="1" t="s">
        <v>1936</v>
      </c>
      <c r="H760" s="1">
        <v>63126</v>
      </c>
      <c r="I760" t="s">
        <v>1946</v>
      </c>
    </row>
    <row r="761" spans="1:9" x14ac:dyDescent="0.3">
      <c r="A761" s="1" t="s">
        <v>1481</v>
      </c>
      <c r="B761" s="1" t="s">
        <v>5214</v>
      </c>
      <c r="C761" s="1" t="s">
        <v>5215</v>
      </c>
      <c r="D761" s="1" t="s">
        <v>5216</v>
      </c>
      <c r="E761" s="1" t="s">
        <v>5217</v>
      </c>
      <c r="F761" s="1" t="s">
        <v>5218</v>
      </c>
      <c r="G761" s="1" t="s">
        <v>1936</v>
      </c>
      <c r="H761" s="1">
        <v>64054</v>
      </c>
      <c r="I761" t="s">
        <v>1937</v>
      </c>
    </row>
    <row r="762" spans="1:9" x14ac:dyDescent="0.3">
      <c r="A762" s="1" t="s">
        <v>1483</v>
      </c>
      <c r="B762" s="1" t="s">
        <v>5219</v>
      </c>
      <c r="C762" s="1" t="s">
        <v>5220</v>
      </c>
      <c r="D762" s="1"/>
      <c r="E762" s="1" t="s">
        <v>5221</v>
      </c>
      <c r="F762" s="1" t="s">
        <v>2689</v>
      </c>
      <c r="G762" s="1" t="s">
        <v>1936</v>
      </c>
      <c r="H762" s="1">
        <v>27404</v>
      </c>
      <c r="I762" t="s">
        <v>1946</v>
      </c>
    </row>
    <row r="763" spans="1:9" x14ac:dyDescent="0.3">
      <c r="A763" s="1" t="s">
        <v>1485</v>
      </c>
      <c r="B763" s="1" t="s">
        <v>5222</v>
      </c>
      <c r="C763" s="1" t="s">
        <v>5223</v>
      </c>
      <c r="D763" s="1"/>
      <c r="E763" s="1" t="s">
        <v>5224</v>
      </c>
      <c r="F763" s="1" t="s">
        <v>5225</v>
      </c>
      <c r="G763" s="1" t="s">
        <v>1936</v>
      </c>
      <c r="H763" s="1">
        <v>71213</v>
      </c>
      <c r="I763" t="s">
        <v>1937</v>
      </c>
    </row>
    <row r="764" spans="1:9" x14ac:dyDescent="0.3">
      <c r="A764" s="1" t="s">
        <v>1487</v>
      </c>
      <c r="B764" s="1" t="s">
        <v>5226</v>
      </c>
      <c r="C764" s="1" t="s">
        <v>5227</v>
      </c>
      <c r="D764" s="1" t="s">
        <v>5228</v>
      </c>
      <c r="E764" s="1" t="s">
        <v>5229</v>
      </c>
      <c r="F764" s="1" t="s">
        <v>4417</v>
      </c>
      <c r="G764" s="1" t="s">
        <v>2111</v>
      </c>
      <c r="H764" s="1" t="s">
        <v>4418</v>
      </c>
      <c r="I764" t="s">
        <v>1946</v>
      </c>
    </row>
    <row r="765" spans="1:9" x14ac:dyDescent="0.3">
      <c r="A765" s="1" t="s">
        <v>1489</v>
      </c>
      <c r="B765" s="1" t="s">
        <v>5230</v>
      </c>
      <c r="C765" s="1"/>
      <c r="D765" s="1" t="s">
        <v>5231</v>
      </c>
      <c r="E765" s="1" t="s">
        <v>5232</v>
      </c>
      <c r="F765" s="1" t="s">
        <v>2261</v>
      </c>
      <c r="G765" s="1" t="s">
        <v>1936</v>
      </c>
      <c r="H765" s="1">
        <v>76129</v>
      </c>
      <c r="I765" t="s">
        <v>1946</v>
      </c>
    </row>
    <row r="766" spans="1:9" x14ac:dyDescent="0.3">
      <c r="A766" s="1" t="s">
        <v>1491</v>
      </c>
      <c r="B766" s="1" t="s">
        <v>5233</v>
      </c>
      <c r="C766" s="1" t="s">
        <v>5234</v>
      </c>
      <c r="D766" s="1" t="s">
        <v>5235</v>
      </c>
      <c r="E766" s="1" t="s">
        <v>5236</v>
      </c>
      <c r="F766" s="1" t="s">
        <v>2545</v>
      </c>
      <c r="G766" s="1" t="s">
        <v>1936</v>
      </c>
      <c r="H766" s="1">
        <v>58122</v>
      </c>
      <c r="I766" t="s">
        <v>1937</v>
      </c>
    </row>
    <row r="767" spans="1:9" x14ac:dyDescent="0.3">
      <c r="A767" s="1" t="s">
        <v>1493</v>
      </c>
      <c r="B767" s="1" t="s">
        <v>5237</v>
      </c>
      <c r="C767" s="1" t="s">
        <v>5238</v>
      </c>
      <c r="D767" s="1" t="s">
        <v>5239</v>
      </c>
      <c r="E767" s="1" t="s">
        <v>5240</v>
      </c>
      <c r="F767" s="1" t="s">
        <v>2786</v>
      </c>
      <c r="G767" s="1" t="s">
        <v>1936</v>
      </c>
      <c r="H767" s="1">
        <v>75044</v>
      </c>
      <c r="I767" t="s">
        <v>1937</v>
      </c>
    </row>
    <row r="768" spans="1:9" x14ac:dyDescent="0.3">
      <c r="A768" s="1" t="s">
        <v>5241</v>
      </c>
      <c r="B768" s="1" t="s">
        <v>5242</v>
      </c>
      <c r="C768" s="1" t="s">
        <v>5243</v>
      </c>
      <c r="D768" s="1" t="s">
        <v>5244</v>
      </c>
      <c r="E768" s="1" t="s">
        <v>5245</v>
      </c>
      <c r="F768" s="1" t="s">
        <v>2282</v>
      </c>
      <c r="G768" s="1" t="s">
        <v>1936</v>
      </c>
      <c r="H768" s="1">
        <v>43231</v>
      </c>
      <c r="I768" t="s">
        <v>1946</v>
      </c>
    </row>
    <row r="769" spans="1:9" x14ac:dyDescent="0.3">
      <c r="A769" s="1" t="s">
        <v>5246</v>
      </c>
      <c r="B769" s="1" t="s">
        <v>5247</v>
      </c>
      <c r="C769" s="1" t="s">
        <v>5248</v>
      </c>
      <c r="D769" s="1" t="s">
        <v>5249</v>
      </c>
      <c r="E769" s="1" t="s">
        <v>5250</v>
      </c>
      <c r="F769" s="1" t="s">
        <v>2382</v>
      </c>
      <c r="G769" s="1" t="s">
        <v>1936</v>
      </c>
      <c r="H769" s="1">
        <v>78737</v>
      </c>
      <c r="I769" t="s">
        <v>1946</v>
      </c>
    </row>
    <row r="770" spans="1:9" x14ac:dyDescent="0.3">
      <c r="A770" s="1" t="s">
        <v>5251</v>
      </c>
      <c r="B770" s="1" t="s">
        <v>5252</v>
      </c>
      <c r="C770" s="1"/>
      <c r="D770" s="1" t="s">
        <v>5253</v>
      </c>
      <c r="E770" s="1" t="s">
        <v>5254</v>
      </c>
      <c r="F770" s="1" t="s">
        <v>2739</v>
      </c>
      <c r="G770" s="1" t="s">
        <v>1936</v>
      </c>
      <c r="H770" s="1">
        <v>36104</v>
      </c>
      <c r="I770" t="s">
        <v>1937</v>
      </c>
    </row>
    <row r="771" spans="1:9" x14ac:dyDescent="0.3">
      <c r="A771" s="1" t="s">
        <v>1497</v>
      </c>
      <c r="B771" s="1" t="s">
        <v>5255</v>
      </c>
      <c r="C771" s="1" t="s">
        <v>5256</v>
      </c>
      <c r="D771" s="1" t="s">
        <v>5257</v>
      </c>
      <c r="E771" s="1" t="s">
        <v>5258</v>
      </c>
      <c r="F771" s="1" t="s">
        <v>2167</v>
      </c>
      <c r="G771" s="1" t="s">
        <v>2111</v>
      </c>
      <c r="H771" s="1" t="s">
        <v>3922</v>
      </c>
      <c r="I771" t="s">
        <v>1946</v>
      </c>
    </row>
    <row r="772" spans="1:9" x14ac:dyDescent="0.3">
      <c r="A772" s="1" t="s">
        <v>1499</v>
      </c>
      <c r="B772" s="1" t="s">
        <v>5259</v>
      </c>
      <c r="C772" s="1" t="s">
        <v>5260</v>
      </c>
      <c r="D772" s="1"/>
      <c r="E772" s="1" t="s">
        <v>5261</v>
      </c>
      <c r="F772" s="1" t="s">
        <v>1957</v>
      </c>
      <c r="G772" s="1" t="s">
        <v>1936</v>
      </c>
      <c r="H772" s="1">
        <v>22156</v>
      </c>
      <c r="I772" t="s">
        <v>1946</v>
      </c>
    </row>
    <row r="773" spans="1:9" x14ac:dyDescent="0.3">
      <c r="A773" s="1" t="s">
        <v>1501</v>
      </c>
      <c r="B773" s="1" t="s">
        <v>5262</v>
      </c>
      <c r="C773" s="1" t="s">
        <v>5263</v>
      </c>
      <c r="D773" s="1" t="s">
        <v>5264</v>
      </c>
      <c r="E773" s="1" t="s">
        <v>5265</v>
      </c>
      <c r="F773" s="1" t="s">
        <v>5266</v>
      </c>
      <c r="G773" s="1" t="s">
        <v>1936</v>
      </c>
      <c r="H773" s="1">
        <v>80126</v>
      </c>
      <c r="I773" t="s">
        <v>1946</v>
      </c>
    </row>
    <row r="774" spans="1:9" x14ac:dyDescent="0.3">
      <c r="A774" s="1" t="s">
        <v>1503</v>
      </c>
      <c r="B774" s="1" t="s">
        <v>5267</v>
      </c>
      <c r="C774" s="1"/>
      <c r="D774" s="1" t="s">
        <v>5268</v>
      </c>
      <c r="E774" s="1" t="s">
        <v>5269</v>
      </c>
      <c r="F774" s="1" t="s">
        <v>3311</v>
      </c>
      <c r="G774" s="1" t="s">
        <v>1936</v>
      </c>
      <c r="H774" s="1">
        <v>21275</v>
      </c>
      <c r="I774" t="s">
        <v>1946</v>
      </c>
    </row>
    <row r="775" spans="1:9" x14ac:dyDescent="0.3">
      <c r="A775" s="1" t="s">
        <v>1505</v>
      </c>
      <c r="B775" s="1" t="s">
        <v>5270</v>
      </c>
      <c r="C775" s="1" t="s">
        <v>5271</v>
      </c>
      <c r="D775" s="1" t="s">
        <v>5272</v>
      </c>
      <c r="E775" s="1" t="s">
        <v>5273</v>
      </c>
      <c r="F775" s="1" t="s">
        <v>2309</v>
      </c>
      <c r="G775" s="1" t="s">
        <v>1944</v>
      </c>
      <c r="H775" s="1" t="s">
        <v>2310</v>
      </c>
      <c r="I775" t="s">
        <v>1946</v>
      </c>
    </row>
    <row r="776" spans="1:9" x14ac:dyDescent="0.3">
      <c r="A776" s="1" t="s">
        <v>1507</v>
      </c>
      <c r="B776" s="1" t="s">
        <v>5274</v>
      </c>
      <c r="C776" s="1"/>
      <c r="D776" s="1" t="s">
        <v>5275</v>
      </c>
      <c r="E776" s="1" t="s">
        <v>5276</v>
      </c>
      <c r="F776" s="1" t="s">
        <v>2186</v>
      </c>
      <c r="G776" s="1" t="s">
        <v>1936</v>
      </c>
      <c r="H776" s="1">
        <v>33345</v>
      </c>
      <c r="I776" t="s">
        <v>1937</v>
      </c>
    </row>
    <row r="777" spans="1:9" x14ac:dyDescent="0.3">
      <c r="A777" s="1" t="s">
        <v>1509</v>
      </c>
      <c r="B777" s="1" t="s">
        <v>5277</v>
      </c>
      <c r="C777" s="1" t="s">
        <v>5278</v>
      </c>
      <c r="D777" s="1" t="s">
        <v>5279</v>
      </c>
      <c r="E777" s="1" t="s">
        <v>5280</v>
      </c>
      <c r="F777" s="1" t="s">
        <v>3780</v>
      </c>
      <c r="G777" s="1" t="s">
        <v>1936</v>
      </c>
      <c r="H777" s="1">
        <v>92191</v>
      </c>
      <c r="I777" t="s">
        <v>1937</v>
      </c>
    </row>
    <row r="778" spans="1:9" x14ac:dyDescent="0.3">
      <c r="A778" s="1" t="s">
        <v>1511</v>
      </c>
      <c r="B778" s="1" t="s">
        <v>5281</v>
      </c>
      <c r="C778" s="1" t="s">
        <v>5282</v>
      </c>
      <c r="D778" s="1" t="s">
        <v>5283</v>
      </c>
      <c r="E778" s="1" t="s">
        <v>5284</v>
      </c>
      <c r="F778" s="1" t="s">
        <v>2320</v>
      </c>
      <c r="G778" s="1" t="s">
        <v>1936</v>
      </c>
      <c r="H778" s="1">
        <v>75216</v>
      </c>
      <c r="I778" t="s">
        <v>1946</v>
      </c>
    </row>
    <row r="779" spans="1:9" x14ac:dyDescent="0.3">
      <c r="A779" s="1" t="s">
        <v>1513</v>
      </c>
      <c r="B779" s="1" t="s">
        <v>5285</v>
      </c>
      <c r="C779" s="1" t="s">
        <v>5286</v>
      </c>
      <c r="D779" s="1"/>
      <c r="E779" s="1" t="s">
        <v>5287</v>
      </c>
      <c r="F779" s="1" t="s">
        <v>3320</v>
      </c>
      <c r="G779" s="1" t="s">
        <v>1936</v>
      </c>
      <c r="H779" s="1">
        <v>60435</v>
      </c>
      <c r="I779" t="s">
        <v>1946</v>
      </c>
    </row>
    <row r="780" spans="1:9" x14ac:dyDescent="0.3">
      <c r="A780" s="1" t="s">
        <v>5288</v>
      </c>
      <c r="B780" s="1" t="s">
        <v>5289</v>
      </c>
      <c r="C780" s="1" t="s">
        <v>5290</v>
      </c>
      <c r="D780" s="1" t="s">
        <v>5291</v>
      </c>
      <c r="E780" s="1" t="s">
        <v>5292</v>
      </c>
      <c r="F780" s="1" t="s">
        <v>2043</v>
      </c>
      <c r="G780" s="1" t="s">
        <v>1936</v>
      </c>
      <c r="H780" s="1">
        <v>49510</v>
      </c>
      <c r="I780" t="s">
        <v>1937</v>
      </c>
    </row>
    <row r="781" spans="1:9" x14ac:dyDescent="0.3">
      <c r="A781" s="1" t="s">
        <v>1517</v>
      </c>
      <c r="B781" s="1" t="s">
        <v>5293</v>
      </c>
      <c r="C781" s="1" t="s">
        <v>5294</v>
      </c>
      <c r="D781" s="1" t="s">
        <v>5295</v>
      </c>
      <c r="E781" s="1" t="s">
        <v>5296</v>
      </c>
      <c r="F781" s="1" t="s">
        <v>2708</v>
      </c>
      <c r="G781" s="1" t="s">
        <v>1936</v>
      </c>
      <c r="H781" s="1">
        <v>34620</v>
      </c>
      <c r="I781" t="s">
        <v>1937</v>
      </c>
    </row>
    <row r="782" spans="1:9" x14ac:dyDescent="0.3">
      <c r="A782" s="1" t="s">
        <v>1519</v>
      </c>
      <c r="B782" s="1" t="s">
        <v>5297</v>
      </c>
      <c r="C782" s="1"/>
      <c r="D782" s="1" t="s">
        <v>5298</v>
      </c>
      <c r="E782" s="1" t="s">
        <v>5299</v>
      </c>
      <c r="F782" s="1" t="s">
        <v>2132</v>
      </c>
      <c r="G782" s="1" t="s">
        <v>1936</v>
      </c>
      <c r="H782" s="1">
        <v>55441</v>
      </c>
      <c r="I782" t="s">
        <v>1946</v>
      </c>
    </row>
    <row r="783" spans="1:9" x14ac:dyDescent="0.3">
      <c r="A783" s="1" t="s">
        <v>1521</v>
      </c>
      <c r="B783" s="1" t="s">
        <v>5300</v>
      </c>
      <c r="C783" s="1" t="s">
        <v>5301</v>
      </c>
      <c r="D783" s="1" t="s">
        <v>5302</v>
      </c>
      <c r="E783" s="1" t="s">
        <v>5303</v>
      </c>
      <c r="F783" s="1" t="s">
        <v>3677</v>
      </c>
      <c r="G783" s="1" t="s">
        <v>1936</v>
      </c>
      <c r="H783" s="1">
        <v>30045</v>
      </c>
      <c r="I783" t="s">
        <v>1946</v>
      </c>
    </row>
    <row r="784" spans="1:9" x14ac:dyDescent="0.3">
      <c r="A784" s="1" t="s">
        <v>1523</v>
      </c>
      <c r="B784" s="1" t="s">
        <v>5304</v>
      </c>
      <c r="C784" s="1" t="s">
        <v>5305</v>
      </c>
      <c r="D784" s="1" t="s">
        <v>5306</v>
      </c>
      <c r="E784" s="1" t="s">
        <v>5307</v>
      </c>
      <c r="F784" s="1" t="s">
        <v>5308</v>
      </c>
      <c r="G784" s="1" t="s">
        <v>1944</v>
      </c>
      <c r="H784" s="1" t="s">
        <v>5309</v>
      </c>
      <c r="I784" t="s">
        <v>1946</v>
      </c>
    </row>
    <row r="785" spans="1:9" x14ac:dyDescent="0.3">
      <c r="A785" s="1" t="s">
        <v>1525</v>
      </c>
      <c r="B785" s="1" t="s">
        <v>5310</v>
      </c>
      <c r="C785" s="1" t="s">
        <v>5311</v>
      </c>
      <c r="D785" s="1" t="s">
        <v>5312</v>
      </c>
      <c r="E785" s="1" t="s">
        <v>5313</v>
      </c>
      <c r="F785" s="1" t="s">
        <v>2215</v>
      </c>
      <c r="G785" s="1" t="s">
        <v>1936</v>
      </c>
      <c r="H785" s="1">
        <v>33673</v>
      </c>
      <c r="I785" t="s">
        <v>1937</v>
      </c>
    </row>
    <row r="786" spans="1:9" x14ac:dyDescent="0.3">
      <c r="A786" s="1" t="s">
        <v>1527</v>
      </c>
      <c r="B786" s="1" t="s">
        <v>5314</v>
      </c>
      <c r="C786" s="1" t="s">
        <v>5315</v>
      </c>
      <c r="D786" s="1"/>
      <c r="E786" s="1" t="s">
        <v>5316</v>
      </c>
      <c r="F786" s="1" t="s">
        <v>2501</v>
      </c>
      <c r="G786" s="1" t="s">
        <v>1936</v>
      </c>
      <c r="H786" s="1">
        <v>37240</v>
      </c>
      <c r="I786" t="s">
        <v>1946</v>
      </c>
    </row>
    <row r="787" spans="1:9" x14ac:dyDescent="0.3">
      <c r="A787" s="1" t="s">
        <v>1529</v>
      </c>
      <c r="B787" s="1" t="s">
        <v>5317</v>
      </c>
      <c r="C787" s="1" t="s">
        <v>5318</v>
      </c>
      <c r="D787" s="1" t="s">
        <v>5319</v>
      </c>
      <c r="E787" s="1" t="s">
        <v>5320</v>
      </c>
      <c r="F787" s="1" t="s">
        <v>3576</v>
      </c>
      <c r="G787" s="1" t="s">
        <v>1936</v>
      </c>
      <c r="H787" s="1">
        <v>33175</v>
      </c>
      <c r="I787" t="s">
        <v>1946</v>
      </c>
    </row>
    <row r="788" spans="1:9" x14ac:dyDescent="0.3">
      <c r="A788" s="1" t="s">
        <v>1515</v>
      </c>
      <c r="B788" s="1" t="s">
        <v>5321</v>
      </c>
      <c r="C788" s="1" t="s">
        <v>5322</v>
      </c>
      <c r="D788" s="1" t="s">
        <v>5323</v>
      </c>
      <c r="E788" s="1" t="s">
        <v>5324</v>
      </c>
      <c r="F788" s="1" t="s">
        <v>1971</v>
      </c>
      <c r="G788" s="1" t="s">
        <v>1936</v>
      </c>
      <c r="H788" s="1">
        <v>45426</v>
      </c>
      <c r="I788" t="s">
        <v>1937</v>
      </c>
    </row>
    <row r="789" spans="1:9" x14ac:dyDescent="0.3">
      <c r="A789" s="1" t="s">
        <v>1532</v>
      </c>
      <c r="B789" s="1" t="s">
        <v>5325</v>
      </c>
      <c r="C789" s="1"/>
      <c r="D789" s="1" t="s">
        <v>5326</v>
      </c>
      <c r="E789" s="1" t="s">
        <v>5327</v>
      </c>
      <c r="F789" s="1" t="s">
        <v>2247</v>
      </c>
      <c r="G789" s="1" t="s">
        <v>1936</v>
      </c>
      <c r="H789" s="1">
        <v>60686</v>
      </c>
      <c r="I789" t="s">
        <v>1937</v>
      </c>
    </row>
    <row r="790" spans="1:9" x14ac:dyDescent="0.3">
      <c r="A790" s="1" t="s">
        <v>1534</v>
      </c>
      <c r="B790" s="1" t="s">
        <v>5328</v>
      </c>
      <c r="C790" s="1" t="s">
        <v>5329</v>
      </c>
      <c r="D790" s="1" t="s">
        <v>5330</v>
      </c>
      <c r="E790" s="1" t="s">
        <v>5331</v>
      </c>
      <c r="F790" s="1" t="s">
        <v>5332</v>
      </c>
      <c r="G790" s="1" t="s">
        <v>1944</v>
      </c>
      <c r="H790" s="1" t="s">
        <v>5333</v>
      </c>
      <c r="I790" t="s">
        <v>1937</v>
      </c>
    </row>
    <row r="791" spans="1:9" x14ac:dyDescent="0.3">
      <c r="A791" s="1" t="s">
        <v>1536</v>
      </c>
      <c r="B791" s="1" t="s">
        <v>5334</v>
      </c>
      <c r="C791" s="1" t="s">
        <v>5335</v>
      </c>
      <c r="D791" s="1" t="s">
        <v>5336</v>
      </c>
      <c r="E791" s="1" t="s">
        <v>5337</v>
      </c>
      <c r="F791" s="1" t="s">
        <v>1999</v>
      </c>
      <c r="G791" s="1" t="s">
        <v>1936</v>
      </c>
      <c r="H791" s="1">
        <v>94807</v>
      </c>
      <c r="I791" t="s">
        <v>1946</v>
      </c>
    </row>
    <row r="792" spans="1:9" x14ac:dyDescent="0.3">
      <c r="A792" s="1" t="s">
        <v>1538</v>
      </c>
      <c r="B792" s="1" t="s">
        <v>5338</v>
      </c>
      <c r="C792" s="1" t="s">
        <v>5339</v>
      </c>
      <c r="D792" s="1" t="s">
        <v>5340</v>
      </c>
      <c r="E792" s="1" t="s">
        <v>5341</v>
      </c>
      <c r="F792" s="1" t="s">
        <v>5342</v>
      </c>
      <c r="G792" s="1" t="s">
        <v>1936</v>
      </c>
      <c r="H792" s="1">
        <v>98506</v>
      </c>
      <c r="I792" t="s">
        <v>1946</v>
      </c>
    </row>
    <row r="793" spans="1:9" x14ac:dyDescent="0.3">
      <c r="A793" s="1" t="s">
        <v>1540</v>
      </c>
      <c r="B793" s="1" t="s">
        <v>5343</v>
      </c>
      <c r="C793" s="1" t="s">
        <v>5344</v>
      </c>
      <c r="D793" s="1" t="s">
        <v>5345</v>
      </c>
      <c r="E793" s="1" t="s">
        <v>5346</v>
      </c>
      <c r="F793" s="1" t="s">
        <v>2663</v>
      </c>
      <c r="G793" s="1" t="s">
        <v>1936</v>
      </c>
      <c r="H793" s="1">
        <v>76011</v>
      </c>
      <c r="I793" t="s">
        <v>1937</v>
      </c>
    </row>
    <row r="794" spans="1:9" x14ac:dyDescent="0.3">
      <c r="A794" s="1" t="s">
        <v>1542</v>
      </c>
      <c r="B794" s="1" t="s">
        <v>5347</v>
      </c>
      <c r="C794" s="1" t="s">
        <v>5348</v>
      </c>
      <c r="D794" s="1" t="s">
        <v>5349</v>
      </c>
      <c r="E794" s="1" t="s">
        <v>5350</v>
      </c>
      <c r="F794" s="1" t="s">
        <v>5351</v>
      </c>
      <c r="G794" s="1" t="s">
        <v>2111</v>
      </c>
      <c r="H794" s="1" t="s">
        <v>5352</v>
      </c>
      <c r="I794" t="s">
        <v>1937</v>
      </c>
    </row>
    <row r="795" spans="1:9" x14ac:dyDescent="0.3">
      <c r="A795" s="1" t="s">
        <v>1544</v>
      </c>
      <c r="B795" s="1" t="s">
        <v>5353</v>
      </c>
      <c r="C795" s="1" t="s">
        <v>5354</v>
      </c>
      <c r="D795" s="1" t="s">
        <v>5355</v>
      </c>
      <c r="E795" s="1" t="s">
        <v>5356</v>
      </c>
      <c r="F795" s="1" t="s">
        <v>2638</v>
      </c>
      <c r="G795" s="1" t="s">
        <v>1936</v>
      </c>
      <c r="H795" s="1">
        <v>24009</v>
      </c>
      <c r="I795" t="s">
        <v>1946</v>
      </c>
    </row>
    <row r="796" spans="1:9" x14ac:dyDescent="0.3">
      <c r="A796" s="1" t="s">
        <v>1546</v>
      </c>
      <c r="B796" s="1" t="s">
        <v>5357</v>
      </c>
      <c r="C796" s="1" t="s">
        <v>5358</v>
      </c>
      <c r="D796" s="1" t="s">
        <v>5359</v>
      </c>
      <c r="E796" s="1" t="s">
        <v>5360</v>
      </c>
      <c r="F796" s="1" t="s">
        <v>5361</v>
      </c>
      <c r="G796" s="1" t="s">
        <v>1936</v>
      </c>
      <c r="H796" s="1">
        <v>11044</v>
      </c>
      <c r="I796" t="s">
        <v>1946</v>
      </c>
    </row>
    <row r="797" spans="1:9" x14ac:dyDescent="0.3">
      <c r="A797" s="1" t="s">
        <v>1548</v>
      </c>
      <c r="B797" s="1" t="s">
        <v>5362</v>
      </c>
      <c r="C797" s="1" t="s">
        <v>5363</v>
      </c>
      <c r="D797" s="1" t="s">
        <v>5364</v>
      </c>
      <c r="E797" s="1" t="s">
        <v>5365</v>
      </c>
      <c r="F797" s="1" t="s">
        <v>3584</v>
      </c>
      <c r="G797" s="1" t="s">
        <v>1936</v>
      </c>
      <c r="H797" s="1">
        <v>92825</v>
      </c>
      <c r="I797" t="s">
        <v>1946</v>
      </c>
    </row>
    <row r="798" spans="1:9" x14ac:dyDescent="0.3">
      <c r="A798" s="1" t="s">
        <v>1550</v>
      </c>
      <c r="B798" s="1" t="s">
        <v>5366</v>
      </c>
      <c r="C798" s="1"/>
      <c r="D798" s="1" t="s">
        <v>5367</v>
      </c>
      <c r="E798" s="1" t="s">
        <v>5368</v>
      </c>
      <c r="F798" s="1" t="s">
        <v>3315</v>
      </c>
      <c r="G798" s="1" t="s">
        <v>1936</v>
      </c>
      <c r="H798" s="1">
        <v>40596</v>
      </c>
      <c r="I798" t="s">
        <v>1946</v>
      </c>
    </row>
    <row r="799" spans="1:9" x14ac:dyDescent="0.3">
      <c r="A799" s="1" t="s">
        <v>1552</v>
      </c>
      <c r="B799" s="1" t="s">
        <v>5369</v>
      </c>
      <c r="C799" s="1" t="s">
        <v>5370</v>
      </c>
      <c r="D799" s="1" t="s">
        <v>5371</v>
      </c>
      <c r="E799" s="1" t="s">
        <v>5372</v>
      </c>
      <c r="F799" s="1" t="s">
        <v>2215</v>
      </c>
      <c r="G799" s="1" t="s">
        <v>1936</v>
      </c>
      <c r="H799" s="1">
        <v>33673</v>
      </c>
      <c r="I799" t="s">
        <v>1946</v>
      </c>
    </row>
    <row r="800" spans="1:9" x14ac:dyDescent="0.3">
      <c r="A800" s="1" t="s">
        <v>1554</v>
      </c>
      <c r="B800" s="1" t="s">
        <v>5373</v>
      </c>
      <c r="C800" s="1" t="s">
        <v>5374</v>
      </c>
      <c r="D800" s="1" t="s">
        <v>5375</v>
      </c>
      <c r="E800" s="1" t="s">
        <v>5376</v>
      </c>
      <c r="F800" s="1" t="s">
        <v>1990</v>
      </c>
      <c r="G800" s="1" t="s">
        <v>1936</v>
      </c>
      <c r="H800" s="1">
        <v>95138</v>
      </c>
      <c r="I800" t="s">
        <v>1937</v>
      </c>
    </row>
    <row r="801" spans="1:9" x14ac:dyDescent="0.3">
      <c r="A801" s="1" t="s">
        <v>1556</v>
      </c>
      <c r="B801" s="1" t="s">
        <v>5377</v>
      </c>
      <c r="C801" s="1"/>
      <c r="D801" s="1"/>
      <c r="E801" s="1" t="s">
        <v>5378</v>
      </c>
      <c r="F801" s="1" t="s">
        <v>2181</v>
      </c>
      <c r="G801" s="1" t="s">
        <v>1936</v>
      </c>
      <c r="H801" s="1">
        <v>20470</v>
      </c>
      <c r="I801" t="s">
        <v>1937</v>
      </c>
    </row>
    <row r="802" spans="1:9" x14ac:dyDescent="0.3">
      <c r="A802" s="1" t="s">
        <v>1558</v>
      </c>
      <c r="B802" s="1" t="s">
        <v>5379</v>
      </c>
      <c r="C802" s="1" t="s">
        <v>5380</v>
      </c>
      <c r="D802" s="1" t="s">
        <v>5381</v>
      </c>
      <c r="E802" s="1" t="s">
        <v>5382</v>
      </c>
      <c r="F802" s="1" t="s">
        <v>4411</v>
      </c>
      <c r="G802" s="1" t="s">
        <v>1944</v>
      </c>
      <c r="H802" s="1" t="s">
        <v>4412</v>
      </c>
      <c r="I802" t="s">
        <v>1946</v>
      </c>
    </row>
    <row r="803" spans="1:9" x14ac:dyDescent="0.3">
      <c r="A803" s="1" t="s">
        <v>1560</v>
      </c>
      <c r="B803" s="1" t="s">
        <v>5383</v>
      </c>
      <c r="C803" s="1" t="s">
        <v>5384</v>
      </c>
      <c r="D803" s="1" t="s">
        <v>5385</v>
      </c>
      <c r="E803" s="1" t="s">
        <v>5386</v>
      </c>
      <c r="F803" s="1" t="s">
        <v>5342</v>
      </c>
      <c r="G803" s="1" t="s">
        <v>1936</v>
      </c>
      <c r="H803" s="1">
        <v>98506</v>
      </c>
      <c r="I803" t="s">
        <v>1937</v>
      </c>
    </row>
    <row r="804" spans="1:9" x14ac:dyDescent="0.3">
      <c r="A804" s="1" t="s">
        <v>1562</v>
      </c>
      <c r="B804" s="1" t="s">
        <v>5387</v>
      </c>
      <c r="C804" s="1" t="s">
        <v>5388</v>
      </c>
      <c r="D804" s="1" t="s">
        <v>5389</v>
      </c>
      <c r="E804" s="1" t="s">
        <v>5390</v>
      </c>
      <c r="F804" s="1" t="s">
        <v>5391</v>
      </c>
      <c r="G804" s="1" t="s">
        <v>1936</v>
      </c>
      <c r="H804" s="1">
        <v>75185</v>
      </c>
      <c r="I804" t="s">
        <v>1946</v>
      </c>
    </row>
    <row r="805" spans="1:9" x14ac:dyDescent="0.3">
      <c r="A805" s="1" t="s">
        <v>1564</v>
      </c>
      <c r="B805" s="1" t="s">
        <v>5392</v>
      </c>
      <c r="C805" s="1" t="s">
        <v>5393</v>
      </c>
      <c r="D805" s="1"/>
      <c r="E805" s="1" t="s">
        <v>5394</v>
      </c>
      <c r="F805" s="1" t="s">
        <v>2994</v>
      </c>
      <c r="G805" s="1" t="s">
        <v>1936</v>
      </c>
      <c r="H805" s="1">
        <v>94207</v>
      </c>
      <c r="I805" t="s">
        <v>1946</v>
      </c>
    </row>
    <row r="806" spans="1:9" x14ac:dyDescent="0.3">
      <c r="A806" s="1" t="s">
        <v>1566</v>
      </c>
      <c r="B806" s="1" t="s">
        <v>5395</v>
      </c>
      <c r="C806" s="1"/>
      <c r="D806" s="1" t="s">
        <v>5396</v>
      </c>
      <c r="E806" s="1" t="s">
        <v>5397</v>
      </c>
      <c r="F806" s="1" t="s">
        <v>3159</v>
      </c>
      <c r="G806" s="1" t="s">
        <v>2111</v>
      </c>
      <c r="H806" s="1" t="s">
        <v>3160</v>
      </c>
      <c r="I806" t="s">
        <v>1946</v>
      </c>
    </row>
    <row r="807" spans="1:9" x14ac:dyDescent="0.3">
      <c r="A807" s="1" t="s">
        <v>1568</v>
      </c>
      <c r="B807" s="1" t="s">
        <v>5398</v>
      </c>
      <c r="C807" s="1"/>
      <c r="D807" s="1" t="s">
        <v>5399</v>
      </c>
      <c r="E807" s="1" t="s">
        <v>5400</v>
      </c>
      <c r="F807" s="1" t="s">
        <v>5401</v>
      </c>
      <c r="G807" s="1" t="s">
        <v>1936</v>
      </c>
      <c r="H807" s="1">
        <v>55590</v>
      </c>
      <c r="I807" t="s">
        <v>1946</v>
      </c>
    </row>
    <row r="808" spans="1:9" x14ac:dyDescent="0.3">
      <c r="A808" s="1" t="s">
        <v>1570</v>
      </c>
      <c r="B808" s="1" t="s">
        <v>5402</v>
      </c>
      <c r="C808" s="1"/>
      <c r="D808" s="1"/>
      <c r="E808" s="1" t="s">
        <v>5403</v>
      </c>
      <c r="F808" s="1" t="s">
        <v>2194</v>
      </c>
      <c r="G808" s="1" t="s">
        <v>2111</v>
      </c>
      <c r="H808" s="1" t="s">
        <v>2195</v>
      </c>
      <c r="I808" t="s">
        <v>1937</v>
      </c>
    </row>
    <row r="809" spans="1:9" x14ac:dyDescent="0.3">
      <c r="A809" s="1" t="s">
        <v>1572</v>
      </c>
      <c r="B809" s="1" t="s">
        <v>5404</v>
      </c>
      <c r="C809" s="1" t="s">
        <v>5405</v>
      </c>
      <c r="D809" s="1" t="s">
        <v>5406</v>
      </c>
      <c r="E809" s="1" t="s">
        <v>5407</v>
      </c>
      <c r="F809" s="1" t="s">
        <v>3758</v>
      </c>
      <c r="G809" s="1" t="s">
        <v>1944</v>
      </c>
      <c r="H809" s="1" t="s">
        <v>3759</v>
      </c>
      <c r="I809" t="s">
        <v>1946</v>
      </c>
    </row>
    <row r="810" spans="1:9" x14ac:dyDescent="0.3">
      <c r="A810" s="1" t="s">
        <v>5408</v>
      </c>
      <c r="B810" s="1" t="s">
        <v>5409</v>
      </c>
      <c r="C810" s="1" t="s">
        <v>5410</v>
      </c>
      <c r="D810" s="1" t="s">
        <v>5411</v>
      </c>
      <c r="E810" s="1" t="s">
        <v>5412</v>
      </c>
      <c r="F810" s="1" t="s">
        <v>2094</v>
      </c>
      <c r="G810" s="1" t="s">
        <v>1936</v>
      </c>
      <c r="H810" s="1">
        <v>11499</v>
      </c>
      <c r="I810" t="s">
        <v>1937</v>
      </c>
    </row>
    <row r="811" spans="1:9" x14ac:dyDescent="0.3">
      <c r="A811" s="1" t="s">
        <v>1576</v>
      </c>
      <c r="B811" s="1" t="s">
        <v>5413</v>
      </c>
      <c r="C811" s="1"/>
      <c r="D811" s="1" t="s">
        <v>5414</v>
      </c>
      <c r="E811" s="1" t="s">
        <v>5415</v>
      </c>
      <c r="F811" s="1" t="s">
        <v>2443</v>
      </c>
      <c r="G811" s="1" t="s">
        <v>1936</v>
      </c>
      <c r="H811" s="1">
        <v>79934</v>
      </c>
      <c r="I811" t="s">
        <v>1937</v>
      </c>
    </row>
    <row r="812" spans="1:9" x14ac:dyDescent="0.3">
      <c r="A812" s="1" t="s">
        <v>1578</v>
      </c>
      <c r="B812" s="1" t="s">
        <v>5416</v>
      </c>
      <c r="C812" s="1" t="s">
        <v>5417</v>
      </c>
      <c r="D812" s="1" t="s">
        <v>5418</v>
      </c>
      <c r="E812" s="1" t="s">
        <v>5419</v>
      </c>
      <c r="F812" s="1" t="s">
        <v>5420</v>
      </c>
      <c r="G812" s="1" t="s">
        <v>1936</v>
      </c>
      <c r="H812" s="1">
        <v>34643</v>
      </c>
      <c r="I812" t="s">
        <v>1946</v>
      </c>
    </row>
    <row r="813" spans="1:9" x14ac:dyDescent="0.3">
      <c r="A813" s="1" t="s">
        <v>1580</v>
      </c>
      <c r="B813" s="1" t="s">
        <v>5421</v>
      </c>
      <c r="C813" s="1" t="s">
        <v>5422</v>
      </c>
      <c r="D813" s="1" t="s">
        <v>5423</v>
      </c>
      <c r="E813" s="1" t="s">
        <v>5424</v>
      </c>
      <c r="F813" s="1" t="s">
        <v>5425</v>
      </c>
      <c r="G813" s="1" t="s">
        <v>1944</v>
      </c>
      <c r="H813" s="1" t="s">
        <v>2078</v>
      </c>
      <c r="I813" t="s">
        <v>1937</v>
      </c>
    </row>
    <row r="814" spans="1:9" x14ac:dyDescent="0.3">
      <c r="A814" s="1" t="s">
        <v>5426</v>
      </c>
      <c r="B814" s="1" t="s">
        <v>5427</v>
      </c>
      <c r="C814" s="1" t="s">
        <v>5428</v>
      </c>
      <c r="D814" s="1" t="s">
        <v>5429</v>
      </c>
      <c r="E814" s="1" t="s">
        <v>5430</v>
      </c>
      <c r="F814" s="1" t="s">
        <v>5431</v>
      </c>
      <c r="G814" s="1" t="s">
        <v>2111</v>
      </c>
      <c r="H814" s="1" t="s">
        <v>5432</v>
      </c>
      <c r="I814" t="s">
        <v>1937</v>
      </c>
    </row>
    <row r="815" spans="1:9" x14ac:dyDescent="0.3">
      <c r="A815" s="1" t="s">
        <v>1582</v>
      </c>
      <c r="B815" s="1" t="s">
        <v>5433</v>
      </c>
      <c r="C815" s="1" t="s">
        <v>5434</v>
      </c>
      <c r="D815" s="1" t="s">
        <v>5435</v>
      </c>
      <c r="E815" s="1" t="s">
        <v>5436</v>
      </c>
      <c r="F815" s="1" t="s">
        <v>2357</v>
      </c>
      <c r="G815" s="1" t="s">
        <v>1936</v>
      </c>
      <c r="H815" s="1">
        <v>73179</v>
      </c>
      <c r="I815" t="s">
        <v>1937</v>
      </c>
    </row>
    <row r="816" spans="1:9" x14ac:dyDescent="0.3">
      <c r="A816" s="1" t="s">
        <v>1584</v>
      </c>
      <c r="B816" s="1" t="s">
        <v>5437</v>
      </c>
      <c r="C816" s="1" t="s">
        <v>5438</v>
      </c>
      <c r="D816" s="1" t="s">
        <v>5439</v>
      </c>
      <c r="E816" s="1" t="s">
        <v>5440</v>
      </c>
      <c r="F816" s="1" t="s">
        <v>2181</v>
      </c>
      <c r="G816" s="1" t="s">
        <v>1936</v>
      </c>
      <c r="H816" s="1">
        <v>20051</v>
      </c>
      <c r="I816" t="s">
        <v>1946</v>
      </c>
    </row>
    <row r="817" spans="1:9" x14ac:dyDescent="0.3">
      <c r="A817" s="1" t="s">
        <v>1586</v>
      </c>
      <c r="B817" s="1" t="s">
        <v>5441</v>
      </c>
      <c r="C817" s="1" t="s">
        <v>5442</v>
      </c>
      <c r="D817" s="1" t="s">
        <v>5443</v>
      </c>
      <c r="E817" s="1" t="s">
        <v>5444</v>
      </c>
      <c r="F817" s="1" t="s">
        <v>3044</v>
      </c>
      <c r="G817" s="1" t="s">
        <v>1936</v>
      </c>
      <c r="H817" s="1">
        <v>30351</v>
      </c>
      <c r="I817" t="s">
        <v>1946</v>
      </c>
    </row>
    <row r="818" spans="1:9" x14ac:dyDescent="0.3">
      <c r="A818" s="1" t="s">
        <v>1588</v>
      </c>
      <c r="B818" s="1" t="s">
        <v>5445</v>
      </c>
      <c r="C818" s="1" t="s">
        <v>5446</v>
      </c>
      <c r="D818" s="1" t="s">
        <v>5447</v>
      </c>
      <c r="E818" s="1" t="s">
        <v>5448</v>
      </c>
      <c r="F818" s="1" t="s">
        <v>2699</v>
      </c>
      <c r="G818" s="1" t="s">
        <v>1944</v>
      </c>
      <c r="H818" s="1" t="s">
        <v>2700</v>
      </c>
      <c r="I818" t="s">
        <v>1946</v>
      </c>
    </row>
    <row r="819" spans="1:9" x14ac:dyDescent="0.3">
      <c r="A819" s="1" t="s">
        <v>1590</v>
      </c>
      <c r="B819" s="1" t="s">
        <v>5449</v>
      </c>
      <c r="C819" s="1" t="s">
        <v>5450</v>
      </c>
      <c r="D819" s="1"/>
      <c r="E819" s="1" t="s">
        <v>5451</v>
      </c>
      <c r="F819" s="1" t="s">
        <v>2345</v>
      </c>
      <c r="G819" s="1" t="s">
        <v>1936</v>
      </c>
      <c r="H819" s="1">
        <v>14276</v>
      </c>
      <c r="I819" t="s">
        <v>1946</v>
      </c>
    </row>
    <row r="820" spans="1:9" x14ac:dyDescent="0.3">
      <c r="A820" s="1" t="s">
        <v>1574</v>
      </c>
      <c r="B820" s="1" t="s">
        <v>5452</v>
      </c>
      <c r="C820" s="1"/>
      <c r="D820" s="1" t="s">
        <v>5453</v>
      </c>
      <c r="E820" s="1" t="s">
        <v>5454</v>
      </c>
      <c r="F820" s="1" t="s">
        <v>2022</v>
      </c>
      <c r="G820" s="1" t="s">
        <v>1936</v>
      </c>
      <c r="H820" s="1">
        <v>77260</v>
      </c>
      <c r="I820" t="s">
        <v>1946</v>
      </c>
    </row>
    <row r="821" spans="1:9" x14ac:dyDescent="0.3">
      <c r="A821" s="1" t="s">
        <v>1593</v>
      </c>
      <c r="B821" s="1" t="s">
        <v>5455</v>
      </c>
      <c r="C821" s="1" t="s">
        <v>5456</v>
      </c>
      <c r="D821" s="1" t="s">
        <v>5457</v>
      </c>
      <c r="E821" s="1" t="s">
        <v>5458</v>
      </c>
      <c r="F821" s="1" t="s">
        <v>2181</v>
      </c>
      <c r="G821" s="1" t="s">
        <v>1936</v>
      </c>
      <c r="H821" s="1">
        <v>20470</v>
      </c>
      <c r="I821" t="s">
        <v>1937</v>
      </c>
    </row>
    <row r="822" spans="1:9" x14ac:dyDescent="0.3">
      <c r="A822" s="1" t="s">
        <v>1595</v>
      </c>
      <c r="B822" s="1" t="s">
        <v>5459</v>
      </c>
      <c r="C822" s="1" t="s">
        <v>5460</v>
      </c>
      <c r="D822" s="1" t="s">
        <v>5461</v>
      </c>
      <c r="E822" s="1" t="s">
        <v>5462</v>
      </c>
      <c r="F822" s="1" t="s">
        <v>2382</v>
      </c>
      <c r="G822" s="1" t="s">
        <v>1936</v>
      </c>
      <c r="H822" s="1">
        <v>78764</v>
      </c>
      <c r="I822" t="s">
        <v>1937</v>
      </c>
    </row>
    <row r="823" spans="1:9" x14ac:dyDescent="0.3">
      <c r="A823" s="1" t="s">
        <v>1597</v>
      </c>
      <c r="B823" s="1" t="s">
        <v>5463</v>
      </c>
      <c r="C823" s="1" t="s">
        <v>5464</v>
      </c>
      <c r="D823" s="1" t="s">
        <v>5465</v>
      </c>
      <c r="E823" s="1" t="s">
        <v>5466</v>
      </c>
      <c r="F823" s="1" t="s">
        <v>2830</v>
      </c>
      <c r="G823" s="1" t="s">
        <v>1936</v>
      </c>
      <c r="H823" s="1">
        <v>85205</v>
      </c>
      <c r="I823" t="s">
        <v>1946</v>
      </c>
    </row>
    <row r="824" spans="1:9" x14ac:dyDescent="0.3">
      <c r="A824" s="1" t="s">
        <v>1599</v>
      </c>
      <c r="B824" s="1" t="s">
        <v>5467</v>
      </c>
      <c r="C824" s="1" t="s">
        <v>5468</v>
      </c>
      <c r="D824" s="1" t="s">
        <v>5469</v>
      </c>
      <c r="E824" s="1" t="s">
        <v>5470</v>
      </c>
      <c r="F824" s="1" t="s">
        <v>5471</v>
      </c>
      <c r="G824" s="1" t="s">
        <v>1936</v>
      </c>
      <c r="H824" s="1">
        <v>31416</v>
      </c>
      <c r="I824" t="s">
        <v>1946</v>
      </c>
    </row>
    <row r="825" spans="1:9" x14ac:dyDescent="0.3">
      <c r="A825" s="1" t="s">
        <v>1601</v>
      </c>
      <c r="B825" s="1" t="s">
        <v>5472</v>
      </c>
      <c r="C825" s="1" t="s">
        <v>5473</v>
      </c>
      <c r="D825" s="1" t="s">
        <v>5474</v>
      </c>
      <c r="E825" s="1" t="s">
        <v>5475</v>
      </c>
      <c r="F825" s="1" t="s">
        <v>5476</v>
      </c>
      <c r="G825" s="1" t="s">
        <v>1936</v>
      </c>
      <c r="H825" s="1">
        <v>87140</v>
      </c>
      <c r="I825" t="s">
        <v>1937</v>
      </c>
    </row>
    <row r="826" spans="1:9" x14ac:dyDescent="0.3">
      <c r="A826" s="1" t="s">
        <v>1603</v>
      </c>
      <c r="B826" s="1" t="s">
        <v>5477</v>
      </c>
      <c r="C826" s="1" t="s">
        <v>5478</v>
      </c>
      <c r="D826" s="1"/>
      <c r="E826" s="1" t="s">
        <v>5479</v>
      </c>
      <c r="F826" s="1" t="s">
        <v>2295</v>
      </c>
      <c r="G826" s="1" t="s">
        <v>1936</v>
      </c>
      <c r="H826" s="1">
        <v>28299</v>
      </c>
      <c r="I826" t="s">
        <v>1937</v>
      </c>
    </row>
    <row r="827" spans="1:9" x14ac:dyDescent="0.3">
      <c r="A827" s="1" t="s">
        <v>5480</v>
      </c>
      <c r="B827" s="1" t="s">
        <v>5481</v>
      </c>
      <c r="C827" s="1" t="s">
        <v>5482</v>
      </c>
      <c r="D827" s="1" t="s">
        <v>5483</v>
      </c>
      <c r="E827" s="1" t="s">
        <v>5484</v>
      </c>
      <c r="F827" s="1" t="s">
        <v>3780</v>
      </c>
      <c r="G827" s="1" t="s">
        <v>1936</v>
      </c>
      <c r="H827" s="1">
        <v>92191</v>
      </c>
      <c r="I827" t="s">
        <v>1937</v>
      </c>
    </row>
    <row r="828" spans="1:9" x14ac:dyDescent="0.3">
      <c r="A828" s="1" t="s">
        <v>1607</v>
      </c>
      <c r="B828" s="1" t="s">
        <v>5485</v>
      </c>
      <c r="C828" s="1" t="s">
        <v>5486</v>
      </c>
      <c r="D828" s="1" t="s">
        <v>5487</v>
      </c>
      <c r="E828" s="1" t="s">
        <v>5488</v>
      </c>
      <c r="F828" s="1" t="s">
        <v>2220</v>
      </c>
      <c r="G828" s="1" t="s">
        <v>1936</v>
      </c>
      <c r="H828" s="1">
        <v>32575</v>
      </c>
      <c r="I828" t="s">
        <v>1937</v>
      </c>
    </row>
    <row r="829" spans="1:9" x14ac:dyDescent="0.3">
      <c r="A829" s="1" t="s">
        <v>1609</v>
      </c>
      <c r="B829" s="1" t="s">
        <v>5489</v>
      </c>
      <c r="C829" s="1" t="s">
        <v>5490</v>
      </c>
      <c r="D829" s="1" t="s">
        <v>5491</v>
      </c>
      <c r="E829" s="1" t="s">
        <v>5492</v>
      </c>
      <c r="F829" s="1" t="s">
        <v>2181</v>
      </c>
      <c r="G829" s="1" t="s">
        <v>1936</v>
      </c>
      <c r="H829" s="1">
        <v>20470</v>
      </c>
      <c r="I829" t="s">
        <v>1946</v>
      </c>
    </row>
    <row r="830" spans="1:9" x14ac:dyDescent="0.3">
      <c r="A830" s="1" t="s">
        <v>1611</v>
      </c>
      <c r="B830" s="1" t="s">
        <v>5493</v>
      </c>
      <c r="C830" s="1" t="s">
        <v>5494</v>
      </c>
      <c r="D830" s="1" t="s">
        <v>5495</v>
      </c>
      <c r="E830" s="1" t="s">
        <v>5496</v>
      </c>
      <c r="F830" s="1" t="s">
        <v>5497</v>
      </c>
      <c r="G830" s="1" t="s">
        <v>1936</v>
      </c>
      <c r="H830" s="1">
        <v>34985</v>
      </c>
      <c r="I830" t="s">
        <v>1937</v>
      </c>
    </row>
    <row r="831" spans="1:9" x14ac:dyDescent="0.3">
      <c r="A831" s="1" t="s">
        <v>1613</v>
      </c>
      <c r="B831" s="1" t="s">
        <v>5498</v>
      </c>
      <c r="C831" s="1" t="s">
        <v>5499</v>
      </c>
      <c r="D831" s="1" t="s">
        <v>5500</v>
      </c>
      <c r="E831" s="1" t="s">
        <v>5501</v>
      </c>
      <c r="F831" s="1" t="s">
        <v>2476</v>
      </c>
      <c r="G831" s="1" t="s">
        <v>1936</v>
      </c>
      <c r="H831" s="1">
        <v>25705</v>
      </c>
      <c r="I831" t="s">
        <v>1946</v>
      </c>
    </row>
    <row r="832" spans="1:9" x14ac:dyDescent="0.3">
      <c r="A832" s="1" t="s">
        <v>1615</v>
      </c>
      <c r="B832" s="1" t="s">
        <v>5502</v>
      </c>
      <c r="C832" s="1" t="s">
        <v>5503</v>
      </c>
      <c r="D832" s="1" t="s">
        <v>5504</v>
      </c>
      <c r="E832" s="1" t="s">
        <v>5505</v>
      </c>
      <c r="F832" s="1" t="s">
        <v>2012</v>
      </c>
      <c r="G832" s="1" t="s">
        <v>1936</v>
      </c>
      <c r="H832" s="1">
        <v>19172</v>
      </c>
      <c r="I832" t="s">
        <v>1946</v>
      </c>
    </row>
    <row r="833" spans="1:9" x14ac:dyDescent="0.3">
      <c r="A833" s="1" t="s">
        <v>1605</v>
      </c>
      <c r="B833" s="1" t="s">
        <v>5506</v>
      </c>
      <c r="C833" s="1" t="s">
        <v>5507</v>
      </c>
      <c r="D833" s="1" t="s">
        <v>5508</v>
      </c>
      <c r="E833" s="1" t="s">
        <v>5509</v>
      </c>
      <c r="F833" s="1" t="s">
        <v>2357</v>
      </c>
      <c r="G833" s="1" t="s">
        <v>1936</v>
      </c>
      <c r="H833" s="1">
        <v>73167</v>
      </c>
      <c r="I833" t="s">
        <v>1937</v>
      </c>
    </row>
    <row r="834" spans="1:9" x14ac:dyDescent="0.3">
      <c r="A834" s="1" t="s">
        <v>1617</v>
      </c>
      <c r="B834" s="1" t="s">
        <v>5510</v>
      </c>
      <c r="C834" s="1" t="s">
        <v>5511</v>
      </c>
      <c r="D834" s="1" t="s">
        <v>5512</v>
      </c>
      <c r="E834" s="1" t="s">
        <v>5513</v>
      </c>
      <c r="F834" s="1" t="s">
        <v>2242</v>
      </c>
      <c r="G834" s="1" t="s">
        <v>1936</v>
      </c>
      <c r="H834" s="1">
        <v>34114</v>
      </c>
      <c r="I834" t="s">
        <v>1946</v>
      </c>
    </row>
    <row r="835" spans="1:9" x14ac:dyDescent="0.3">
      <c r="A835" s="1" t="s">
        <v>1619</v>
      </c>
      <c r="B835" s="1" t="s">
        <v>5514</v>
      </c>
      <c r="C835" s="1" t="s">
        <v>5515</v>
      </c>
      <c r="D835" s="1" t="s">
        <v>5516</v>
      </c>
      <c r="E835" s="1" t="s">
        <v>5517</v>
      </c>
      <c r="F835" s="1" t="s">
        <v>2261</v>
      </c>
      <c r="G835" s="1" t="s">
        <v>1936</v>
      </c>
      <c r="H835" s="1">
        <v>76105</v>
      </c>
      <c r="I835" t="s">
        <v>1937</v>
      </c>
    </row>
    <row r="836" spans="1:9" x14ac:dyDescent="0.3">
      <c r="A836" s="1" t="s">
        <v>1621</v>
      </c>
      <c r="B836" s="1" t="s">
        <v>5518</v>
      </c>
      <c r="C836" s="1" t="s">
        <v>5519</v>
      </c>
      <c r="D836" s="1" t="s">
        <v>5520</v>
      </c>
      <c r="E836" s="1" t="s">
        <v>5521</v>
      </c>
      <c r="F836" s="1" t="s">
        <v>5522</v>
      </c>
      <c r="G836" s="1" t="s">
        <v>1936</v>
      </c>
      <c r="H836" s="1">
        <v>68117</v>
      </c>
      <c r="I836" t="s">
        <v>1946</v>
      </c>
    </row>
    <row r="837" spans="1:9" x14ac:dyDescent="0.3">
      <c r="A837" s="1" t="s">
        <v>1623</v>
      </c>
      <c r="B837" s="1" t="s">
        <v>5523</v>
      </c>
      <c r="C837" s="1" t="s">
        <v>5524</v>
      </c>
      <c r="D837" s="1"/>
      <c r="E837" s="1" t="s">
        <v>5525</v>
      </c>
      <c r="F837" s="1" t="s">
        <v>2135</v>
      </c>
      <c r="G837" s="1" t="s">
        <v>1936</v>
      </c>
      <c r="H837" s="1">
        <v>85732</v>
      </c>
      <c r="I837" t="s">
        <v>1937</v>
      </c>
    </row>
    <row r="838" spans="1:9" x14ac:dyDescent="0.3">
      <c r="A838" s="1" t="s">
        <v>1625</v>
      </c>
      <c r="B838" s="1" t="s">
        <v>5526</v>
      </c>
      <c r="C838" s="1" t="s">
        <v>5527</v>
      </c>
      <c r="D838" s="1" t="s">
        <v>5528</v>
      </c>
      <c r="E838" s="1" t="s">
        <v>5529</v>
      </c>
      <c r="F838" s="1" t="s">
        <v>2743</v>
      </c>
      <c r="G838" s="1" t="s">
        <v>1936</v>
      </c>
      <c r="H838" s="1">
        <v>89436</v>
      </c>
      <c r="I838" t="s">
        <v>1946</v>
      </c>
    </row>
    <row r="839" spans="1:9" x14ac:dyDescent="0.3">
      <c r="A839" s="1" t="s">
        <v>5530</v>
      </c>
      <c r="B839" s="1" t="s">
        <v>5531</v>
      </c>
      <c r="C839" s="1" t="s">
        <v>5532</v>
      </c>
      <c r="D839" s="1" t="s">
        <v>5533</v>
      </c>
      <c r="E839" s="1" t="s">
        <v>5534</v>
      </c>
      <c r="F839" s="1" t="s">
        <v>4396</v>
      </c>
      <c r="G839" s="1" t="s">
        <v>1936</v>
      </c>
      <c r="H839" s="1">
        <v>32835</v>
      </c>
      <c r="I839" t="s">
        <v>1937</v>
      </c>
    </row>
    <row r="840" spans="1:9" x14ac:dyDescent="0.3">
      <c r="A840" s="1" t="s">
        <v>1628</v>
      </c>
      <c r="B840" s="1" t="s">
        <v>5535</v>
      </c>
      <c r="C840" s="1" t="s">
        <v>5536</v>
      </c>
      <c r="D840" s="1" t="s">
        <v>5537</v>
      </c>
      <c r="E840" s="1" t="s">
        <v>5538</v>
      </c>
      <c r="F840" s="1" t="s">
        <v>2181</v>
      </c>
      <c r="G840" s="1" t="s">
        <v>1936</v>
      </c>
      <c r="H840" s="1">
        <v>20067</v>
      </c>
      <c r="I840" t="s">
        <v>1946</v>
      </c>
    </row>
    <row r="841" spans="1:9" x14ac:dyDescent="0.3">
      <c r="A841" s="1" t="s">
        <v>1630</v>
      </c>
      <c r="B841" s="1" t="s">
        <v>5539</v>
      </c>
      <c r="C841" s="1" t="s">
        <v>5540</v>
      </c>
      <c r="D841" s="1" t="s">
        <v>5541</v>
      </c>
      <c r="E841" s="1" t="s">
        <v>5542</v>
      </c>
      <c r="F841" s="1" t="s">
        <v>5543</v>
      </c>
      <c r="G841" s="1" t="s">
        <v>1936</v>
      </c>
      <c r="H841" s="1">
        <v>93907</v>
      </c>
      <c r="I841" t="s">
        <v>1946</v>
      </c>
    </row>
    <row r="842" spans="1:9" x14ac:dyDescent="0.3">
      <c r="A842" s="1" t="s">
        <v>1632</v>
      </c>
      <c r="B842" s="1" t="s">
        <v>5544</v>
      </c>
      <c r="C842" s="1" t="s">
        <v>5545</v>
      </c>
      <c r="D842" s="1" t="s">
        <v>5546</v>
      </c>
      <c r="E842" s="1" t="s">
        <v>5547</v>
      </c>
      <c r="F842" s="1" t="s">
        <v>2186</v>
      </c>
      <c r="G842" s="1" t="s">
        <v>1936</v>
      </c>
      <c r="H842" s="1">
        <v>33345</v>
      </c>
      <c r="I842" t="s">
        <v>1937</v>
      </c>
    </row>
    <row r="843" spans="1:9" x14ac:dyDescent="0.3">
      <c r="A843" s="1" t="s">
        <v>1634</v>
      </c>
      <c r="B843" s="1" t="s">
        <v>5548</v>
      </c>
      <c r="C843" s="1" t="s">
        <v>5549</v>
      </c>
      <c r="D843" s="1"/>
      <c r="E843" s="1" t="s">
        <v>5550</v>
      </c>
      <c r="F843" s="1" t="s">
        <v>2443</v>
      </c>
      <c r="G843" s="1" t="s">
        <v>1936</v>
      </c>
      <c r="H843" s="1">
        <v>88553</v>
      </c>
      <c r="I843" t="s">
        <v>1946</v>
      </c>
    </row>
    <row r="844" spans="1:9" x14ac:dyDescent="0.3">
      <c r="A844" s="1" t="s">
        <v>5551</v>
      </c>
      <c r="B844" s="1" t="s">
        <v>5552</v>
      </c>
      <c r="C844" s="1" t="s">
        <v>5553</v>
      </c>
      <c r="D844" s="1"/>
      <c r="E844" s="1" t="s">
        <v>5554</v>
      </c>
      <c r="F844" s="1" t="s">
        <v>5555</v>
      </c>
      <c r="G844" s="1" t="s">
        <v>1936</v>
      </c>
      <c r="H844" s="1">
        <v>91210</v>
      </c>
      <c r="I844" t="s">
        <v>1937</v>
      </c>
    </row>
    <row r="845" spans="1:9" x14ac:dyDescent="0.3">
      <c r="A845" s="1" t="s">
        <v>1637</v>
      </c>
      <c r="B845" s="1" t="s">
        <v>5556</v>
      </c>
      <c r="C845" s="1" t="s">
        <v>5557</v>
      </c>
      <c r="D845" s="1" t="s">
        <v>5558</v>
      </c>
      <c r="E845" s="1" t="s">
        <v>5559</v>
      </c>
      <c r="F845" s="1" t="s">
        <v>2694</v>
      </c>
      <c r="G845" s="1" t="s">
        <v>1936</v>
      </c>
      <c r="H845" s="1">
        <v>22313</v>
      </c>
      <c r="I845" t="s">
        <v>1937</v>
      </c>
    </row>
    <row r="846" spans="1:9" x14ac:dyDescent="0.3">
      <c r="A846" s="1" t="s">
        <v>1639</v>
      </c>
      <c r="B846" s="1" t="s">
        <v>5560</v>
      </c>
      <c r="C846" s="1" t="s">
        <v>5561</v>
      </c>
      <c r="D846" s="1" t="s">
        <v>5562</v>
      </c>
      <c r="E846" s="1" t="s">
        <v>5563</v>
      </c>
      <c r="F846" s="1" t="s">
        <v>3311</v>
      </c>
      <c r="G846" s="1" t="s">
        <v>1936</v>
      </c>
      <c r="H846" s="1">
        <v>21290</v>
      </c>
      <c r="I846" t="s">
        <v>1937</v>
      </c>
    </row>
    <row r="847" spans="1:9" x14ac:dyDescent="0.3">
      <c r="A847" s="1" t="s">
        <v>1641</v>
      </c>
      <c r="B847" s="1" t="s">
        <v>5564</v>
      </c>
      <c r="C847" s="1" t="s">
        <v>5565</v>
      </c>
      <c r="D847" s="1"/>
      <c r="E847" s="1" t="s">
        <v>5566</v>
      </c>
      <c r="F847" s="1" t="s">
        <v>2550</v>
      </c>
      <c r="G847" s="1" t="s">
        <v>1936</v>
      </c>
      <c r="H847" s="1">
        <v>47732</v>
      </c>
      <c r="I847" t="s">
        <v>1946</v>
      </c>
    </row>
    <row r="848" spans="1:9" x14ac:dyDescent="0.3">
      <c r="A848" s="1" t="s">
        <v>1643</v>
      </c>
      <c r="B848" s="1" t="s">
        <v>5567</v>
      </c>
      <c r="C848" s="1"/>
      <c r="D848" s="1" t="s">
        <v>5568</v>
      </c>
      <c r="E848" s="1" t="s">
        <v>5569</v>
      </c>
      <c r="F848" s="1" t="s">
        <v>3677</v>
      </c>
      <c r="G848" s="1" t="s">
        <v>1936</v>
      </c>
      <c r="H848" s="1">
        <v>30045</v>
      </c>
      <c r="I848" t="s">
        <v>1937</v>
      </c>
    </row>
    <row r="849" spans="1:9" x14ac:dyDescent="0.3">
      <c r="A849" s="1" t="s">
        <v>1645</v>
      </c>
      <c r="B849" s="1" t="s">
        <v>5570</v>
      </c>
      <c r="C849" s="1" t="s">
        <v>5571</v>
      </c>
      <c r="D849" s="1"/>
      <c r="E849" s="1" t="s">
        <v>5572</v>
      </c>
      <c r="F849" s="1" t="s">
        <v>5573</v>
      </c>
      <c r="G849" s="1" t="s">
        <v>1936</v>
      </c>
      <c r="H849" s="1">
        <v>36670</v>
      </c>
      <c r="I849" t="s">
        <v>1937</v>
      </c>
    </row>
    <row r="850" spans="1:9" x14ac:dyDescent="0.3">
      <c r="A850" s="1" t="s">
        <v>1647</v>
      </c>
      <c r="B850" s="1" t="s">
        <v>5574</v>
      </c>
      <c r="C850" s="1"/>
      <c r="D850" s="1" t="s">
        <v>5575</v>
      </c>
      <c r="E850" s="1" t="s">
        <v>5576</v>
      </c>
      <c r="F850" s="1" t="s">
        <v>2315</v>
      </c>
      <c r="G850" s="1" t="s">
        <v>1936</v>
      </c>
      <c r="H850" s="1">
        <v>79705</v>
      </c>
      <c r="I850" t="s">
        <v>1946</v>
      </c>
    </row>
    <row r="851" spans="1:9" x14ac:dyDescent="0.3">
      <c r="A851" s="1" t="s">
        <v>1649</v>
      </c>
      <c r="B851" s="1" t="s">
        <v>5577</v>
      </c>
      <c r="C851" s="1" t="s">
        <v>5578</v>
      </c>
      <c r="D851" s="1" t="s">
        <v>5579</v>
      </c>
      <c r="E851" s="1" t="s">
        <v>5580</v>
      </c>
      <c r="F851" s="1" t="s">
        <v>5581</v>
      </c>
      <c r="G851" s="1" t="s">
        <v>1936</v>
      </c>
      <c r="H851" s="1">
        <v>33023</v>
      </c>
      <c r="I851" t="s">
        <v>1937</v>
      </c>
    </row>
    <row r="852" spans="1:9" x14ac:dyDescent="0.3">
      <c r="A852" s="1" t="s">
        <v>5582</v>
      </c>
      <c r="B852" s="1" t="s">
        <v>5583</v>
      </c>
      <c r="C852" s="1" t="s">
        <v>5584</v>
      </c>
      <c r="D852" s="1" t="s">
        <v>5585</v>
      </c>
      <c r="E852" s="1" t="s">
        <v>5586</v>
      </c>
      <c r="F852" s="1" t="s">
        <v>3505</v>
      </c>
      <c r="G852" s="1" t="s">
        <v>1936</v>
      </c>
      <c r="H852" s="1">
        <v>66611</v>
      </c>
      <c r="I852" t="s">
        <v>1937</v>
      </c>
    </row>
    <row r="853" spans="1:9" x14ac:dyDescent="0.3">
      <c r="A853" s="1" t="s">
        <v>1651</v>
      </c>
      <c r="B853" s="1" t="s">
        <v>5587</v>
      </c>
      <c r="C853" s="1" t="s">
        <v>5588</v>
      </c>
      <c r="D853" s="1" t="s">
        <v>5589</v>
      </c>
      <c r="E853" s="1" t="s">
        <v>5590</v>
      </c>
      <c r="F853" s="1" t="s">
        <v>3750</v>
      </c>
      <c r="G853" s="1" t="s">
        <v>1936</v>
      </c>
      <c r="H853" s="1">
        <v>95973</v>
      </c>
      <c r="I853" t="s">
        <v>1937</v>
      </c>
    </row>
    <row r="854" spans="1:9" x14ac:dyDescent="0.3">
      <c r="A854" s="1" t="s">
        <v>1653</v>
      </c>
      <c r="B854" s="1" t="s">
        <v>5591</v>
      </c>
      <c r="C854" s="1" t="s">
        <v>5592</v>
      </c>
      <c r="D854" s="1"/>
      <c r="E854" s="1" t="s">
        <v>5593</v>
      </c>
      <c r="F854" s="1" t="s">
        <v>2382</v>
      </c>
      <c r="G854" s="1" t="s">
        <v>1936</v>
      </c>
      <c r="H854" s="1">
        <v>78737</v>
      </c>
      <c r="I854" t="s">
        <v>1937</v>
      </c>
    </row>
    <row r="855" spans="1:9" x14ac:dyDescent="0.3">
      <c r="A855" s="1" t="s">
        <v>1655</v>
      </c>
      <c r="B855" s="1" t="s">
        <v>5594</v>
      </c>
      <c r="C855" s="1" t="s">
        <v>5595</v>
      </c>
      <c r="D855" s="1"/>
      <c r="E855" s="1" t="s">
        <v>5596</v>
      </c>
      <c r="F855" s="1" t="s">
        <v>2443</v>
      </c>
      <c r="G855" s="1" t="s">
        <v>1936</v>
      </c>
      <c r="H855" s="1">
        <v>88546</v>
      </c>
      <c r="I855" t="s">
        <v>1946</v>
      </c>
    </row>
    <row r="856" spans="1:9" x14ac:dyDescent="0.3">
      <c r="A856" s="1" t="s">
        <v>1657</v>
      </c>
      <c r="B856" s="1" t="s">
        <v>5597</v>
      </c>
      <c r="C856" s="1" t="s">
        <v>5598</v>
      </c>
      <c r="D856" s="1" t="s">
        <v>5599</v>
      </c>
      <c r="E856" s="1" t="s">
        <v>5600</v>
      </c>
      <c r="F856" s="1" t="s">
        <v>2117</v>
      </c>
      <c r="G856" s="1" t="s">
        <v>1936</v>
      </c>
      <c r="H856" s="1">
        <v>25326</v>
      </c>
      <c r="I856" t="s">
        <v>1937</v>
      </c>
    </row>
    <row r="857" spans="1:9" x14ac:dyDescent="0.3">
      <c r="A857" s="1" t="s">
        <v>1659</v>
      </c>
      <c r="B857" s="1" t="s">
        <v>5601</v>
      </c>
      <c r="C857" s="1" t="s">
        <v>5602</v>
      </c>
      <c r="D857" s="1" t="s">
        <v>5603</v>
      </c>
      <c r="E857" s="1" t="s">
        <v>5604</v>
      </c>
      <c r="F857" s="1" t="s">
        <v>4881</v>
      </c>
      <c r="G857" s="1" t="s">
        <v>1936</v>
      </c>
      <c r="H857" s="1">
        <v>18105</v>
      </c>
      <c r="I857" t="s">
        <v>1946</v>
      </c>
    </row>
    <row r="858" spans="1:9" x14ac:dyDescent="0.3">
      <c r="A858" s="1" t="s">
        <v>5605</v>
      </c>
      <c r="B858" s="1" t="s">
        <v>5606</v>
      </c>
      <c r="C858" s="1" t="s">
        <v>5607</v>
      </c>
      <c r="D858" s="1" t="s">
        <v>5608</v>
      </c>
      <c r="E858" s="1" t="s">
        <v>5609</v>
      </c>
      <c r="F858" s="1" t="s">
        <v>4480</v>
      </c>
      <c r="G858" s="1" t="s">
        <v>2111</v>
      </c>
      <c r="H858" s="1" t="s">
        <v>5610</v>
      </c>
      <c r="I858" t="s">
        <v>1937</v>
      </c>
    </row>
    <row r="859" spans="1:9" x14ac:dyDescent="0.3">
      <c r="A859" s="1" t="s">
        <v>1662</v>
      </c>
      <c r="B859" s="1" t="s">
        <v>5611</v>
      </c>
      <c r="C859" s="1" t="s">
        <v>5612</v>
      </c>
      <c r="D859" s="1" t="s">
        <v>5613</v>
      </c>
      <c r="E859" s="1" t="s">
        <v>5614</v>
      </c>
      <c r="F859" s="1" t="s">
        <v>5420</v>
      </c>
      <c r="G859" s="1" t="s">
        <v>1936</v>
      </c>
      <c r="H859" s="1">
        <v>34643</v>
      </c>
      <c r="I859" t="s">
        <v>1946</v>
      </c>
    </row>
    <row r="860" spans="1:9" x14ac:dyDescent="0.3">
      <c r="A860" s="1" t="s">
        <v>1664</v>
      </c>
      <c r="B860" s="1" t="s">
        <v>5615</v>
      </c>
      <c r="C860" s="1" t="s">
        <v>5616</v>
      </c>
      <c r="D860" s="1" t="s">
        <v>5617</v>
      </c>
      <c r="E860" s="1" t="s">
        <v>5618</v>
      </c>
      <c r="F860" s="1" t="s">
        <v>2545</v>
      </c>
      <c r="G860" s="1" t="s">
        <v>1936</v>
      </c>
      <c r="H860" s="1">
        <v>58122</v>
      </c>
      <c r="I860" t="s">
        <v>1946</v>
      </c>
    </row>
    <row r="861" spans="1:9" x14ac:dyDescent="0.3">
      <c r="A861" s="1" t="s">
        <v>1666</v>
      </c>
      <c r="B861" s="1" t="s">
        <v>5619</v>
      </c>
      <c r="C861" s="1" t="s">
        <v>5620</v>
      </c>
      <c r="D861" s="1" t="s">
        <v>5621</v>
      </c>
      <c r="E861" s="1" t="s">
        <v>5622</v>
      </c>
      <c r="F861" s="1" t="s">
        <v>5023</v>
      </c>
      <c r="G861" s="1" t="s">
        <v>1936</v>
      </c>
      <c r="H861" s="1">
        <v>72905</v>
      </c>
      <c r="I861" t="s">
        <v>1946</v>
      </c>
    </row>
    <row r="862" spans="1:9" x14ac:dyDescent="0.3">
      <c r="A862" s="1" t="s">
        <v>1668</v>
      </c>
      <c r="B862" s="1" t="s">
        <v>5623</v>
      </c>
      <c r="C862" s="1"/>
      <c r="D862" s="1" t="s">
        <v>5624</v>
      </c>
      <c r="E862" s="1" t="s">
        <v>5625</v>
      </c>
      <c r="F862" s="1" t="s">
        <v>4232</v>
      </c>
      <c r="G862" s="1" t="s">
        <v>1936</v>
      </c>
      <c r="H862" s="1">
        <v>33811</v>
      </c>
      <c r="I862" t="s">
        <v>1946</v>
      </c>
    </row>
    <row r="863" spans="1:9" x14ac:dyDescent="0.3">
      <c r="A863" s="1" t="s">
        <v>1670</v>
      </c>
      <c r="B863" s="1" t="s">
        <v>5626</v>
      </c>
      <c r="C863" s="1" t="s">
        <v>5627</v>
      </c>
      <c r="D863" s="1" t="s">
        <v>5628</v>
      </c>
      <c r="E863" s="1" t="s">
        <v>5629</v>
      </c>
      <c r="F863" s="1" t="s">
        <v>3407</v>
      </c>
      <c r="G863" s="1" t="s">
        <v>1936</v>
      </c>
      <c r="H863" s="1">
        <v>37924</v>
      </c>
      <c r="I863" t="s">
        <v>1937</v>
      </c>
    </row>
    <row r="864" spans="1:9" x14ac:dyDescent="0.3">
      <c r="A864" s="1" t="s">
        <v>1672</v>
      </c>
      <c r="B864" s="1" t="s">
        <v>5630</v>
      </c>
      <c r="C864" s="1" t="s">
        <v>5631</v>
      </c>
      <c r="D864" s="1" t="s">
        <v>5632</v>
      </c>
      <c r="E864" s="1" t="s">
        <v>5633</v>
      </c>
      <c r="F864" s="1" t="s">
        <v>1981</v>
      </c>
      <c r="G864" s="1" t="s">
        <v>1936</v>
      </c>
      <c r="H864" s="1">
        <v>90030</v>
      </c>
      <c r="I864" t="s">
        <v>1937</v>
      </c>
    </row>
    <row r="865" spans="1:9" x14ac:dyDescent="0.3">
      <c r="A865" s="1" t="s">
        <v>1674</v>
      </c>
      <c r="B865" s="1" t="s">
        <v>5634</v>
      </c>
      <c r="C865" s="1" t="s">
        <v>5635</v>
      </c>
      <c r="D865" s="1" t="s">
        <v>5636</v>
      </c>
      <c r="E865" s="1" t="s">
        <v>5637</v>
      </c>
      <c r="F865" s="1" t="s">
        <v>3576</v>
      </c>
      <c r="G865" s="1" t="s">
        <v>1936</v>
      </c>
      <c r="H865" s="1">
        <v>33169</v>
      </c>
      <c r="I865" t="s">
        <v>1937</v>
      </c>
    </row>
    <row r="866" spans="1:9" x14ac:dyDescent="0.3">
      <c r="A866" s="1" t="s">
        <v>1676</v>
      </c>
      <c r="B866" s="1" t="s">
        <v>5638</v>
      </c>
      <c r="C866" s="1" t="s">
        <v>5639</v>
      </c>
      <c r="D866" s="1" t="s">
        <v>5640</v>
      </c>
      <c r="E866" s="1" t="s">
        <v>5641</v>
      </c>
      <c r="F866" s="1" t="s">
        <v>5157</v>
      </c>
      <c r="G866" s="1" t="s">
        <v>1944</v>
      </c>
      <c r="H866" s="1" t="s">
        <v>5158</v>
      </c>
      <c r="I866" t="s">
        <v>1946</v>
      </c>
    </row>
    <row r="867" spans="1:9" x14ac:dyDescent="0.3">
      <c r="A867" s="1" t="s">
        <v>5642</v>
      </c>
      <c r="B867" s="1" t="s">
        <v>5643</v>
      </c>
      <c r="C867" s="1"/>
      <c r="D867" s="1" t="s">
        <v>5644</v>
      </c>
      <c r="E867" s="1" t="s">
        <v>5645</v>
      </c>
      <c r="F867" s="1" t="s">
        <v>2247</v>
      </c>
      <c r="G867" s="1" t="s">
        <v>1936</v>
      </c>
      <c r="H867" s="1">
        <v>60604</v>
      </c>
      <c r="I867" t="s">
        <v>1937</v>
      </c>
    </row>
    <row r="868" spans="1:9" x14ac:dyDescent="0.3">
      <c r="A868" s="1" t="s">
        <v>1680</v>
      </c>
      <c r="B868" s="1" t="s">
        <v>5646</v>
      </c>
      <c r="C868" s="1" t="s">
        <v>5647</v>
      </c>
      <c r="D868" s="1" t="s">
        <v>5648</v>
      </c>
      <c r="E868" s="1" t="s">
        <v>5649</v>
      </c>
      <c r="F868" s="1" t="s">
        <v>5650</v>
      </c>
      <c r="G868" s="1" t="s">
        <v>1944</v>
      </c>
      <c r="H868" s="1" t="s">
        <v>2392</v>
      </c>
      <c r="I868" t="s">
        <v>1946</v>
      </c>
    </row>
    <row r="869" spans="1:9" x14ac:dyDescent="0.3">
      <c r="A869" s="1" t="s">
        <v>1682</v>
      </c>
      <c r="B869" s="1" t="s">
        <v>5651</v>
      </c>
      <c r="C869" s="1" t="s">
        <v>5652</v>
      </c>
      <c r="D869" s="1"/>
      <c r="E869" s="1" t="s">
        <v>5653</v>
      </c>
      <c r="F869" s="1" t="s">
        <v>5654</v>
      </c>
      <c r="G869" s="1" t="s">
        <v>1944</v>
      </c>
      <c r="H869" s="1" t="s">
        <v>5655</v>
      </c>
      <c r="I869" t="s">
        <v>1937</v>
      </c>
    </row>
    <row r="870" spans="1:9" x14ac:dyDescent="0.3">
      <c r="A870" s="1" t="s">
        <v>1684</v>
      </c>
      <c r="B870" s="1" t="s">
        <v>5656</v>
      </c>
      <c r="C870" s="1" t="s">
        <v>5657</v>
      </c>
      <c r="D870" s="1" t="s">
        <v>5658</v>
      </c>
      <c r="E870" s="1" t="s">
        <v>5659</v>
      </c>
      <c r="F870" s="1" t="s">
        <v>2856</v>
      </c>
      <c r="G870" s="1" t="s">
        <v>1936</v>
      </c>
      <c r="H870" s="1">
        <v>33064</v>
      </c>
      <c r="I870" t="s">
        <v>1937</v>
      </c>
    </row>
    <row r="871" spans="1:9" x14ac:dyDescent="0.3">
      <c r="A871" s="1" t="s">
        <v>1686</v>
      </c>
      <c r="B871" s="1" t="s">
        <v>5660</v>
      </c>
      <c r="C871" s="1"/>
      <c r="D871" s="1" t="s">
        <v>5661</v>
      </c>
      <c r="E871" s="1" t="s">
        <v>5662</v>
      </c>
      <c r="F871" s="1" t="s">
        <v>2994</v>
      </c>
      <c r="G871" s="1" t="s">
        <v>1936</v>
      </c>
      <c r="H871" s="1">
        <v>94297</v>
      </c>
      <c r="I871" t="s">
        <v>1937</v>
      </c>
    </row>
    <row r="872" spans="1:9" x14ac:dyDescent="0.3">
      <c r="A872" s="1" t="s">
        <v>1688</v>
      </c>
      <c r="B872" s="1" t="s">
        <v>5663</v>
      </c>
      <c r="C872" s="1" t="s">
        <v>5664</v>
      </c>
      <c r="D872" s="1" t="s">
        <v>5665</v>
      </c>
      <c r="E872" s="1" t="s">
        <v>5666</v>
      </c>
      <c r="F872" s="1" t="s">
        <v>2077</v>
      </c>
      <c r="G872" s="1" t="s">
        <v>1944</v>
      </c>
      <c r="H872" s="1" t="s">
        <v>2078</v>
      </c>
      <c r="I872" t="s">
        <v>1937</v>
      </c>
    </row>
    <row r="873" spans="1:9" x14ac:dyDescent="0.3">
      <c r="A873" s="1" t="s">
        <v>1690</v>
      </c>
      <c r="B873" s="1" t="s">
        <v>5667</v>
      </c>
      <c r="C873" s="1" t="s">
        <v>5668</v>
      </c>
      <c r="D873" s="1" t="s">
        <v>5669</v>
      </c>
      <c r="E873" s="1" t="s">
        <v>5670</v>
      </c>
      <c r="F873" s="1" t="s">
        <v>5671</v>
      </c>
      <c r="G873" s="1" t="s">
        <v>2111</v>
      </c>
      <c r="H873" s="1" t="s">
        <v>5672</v>
      </c>
      <c r="I873" t="s">
        <v>1937</v>
      </c>
    </row>
    <row r="874" spans="1:9" x14ac:dyDescent="0.3">
      <c r="A874" s="1" t="s">
        <v>1692</v>
      </c>
      <c r="B874" s="1" t="s">
        <v>5673</v>
      </c>
      <c r="C874" s="1" t="s">
        <v>5674</v>
      </c>
      <c r="D874" s="1" t="s">
        <v>5675</v>
      </c>
      <c r="E874" s="1" t="s">
        <v>5676</v>
      </c>
      <c r="F874" s="1" t="s">
        <v>3682</v>
      </c>
      <c r="G874" s="1" t="s">
        <v>1936</v>
      </c>
      <c r="H874" s="1">
        <v>28805</v>
      </c>
      <c r="I874" t="s">
        <v>1946</v>
      </c>
    </row>
    <row r="875" spans="1:9" x14ac:dyDescent="0.3">
      <c r="A875" s="1" t="s">
        <v>1678</v>
      </c>
      <c r="B875" s="1" t="s">
        <v>5677</v>
      </c>
      <c r="C875" s="1" t="s">
        <v>5678</v>
      </c>
      <c r="D875" s="1" t="s">
        <v>5679</v>
      </c>
      <c r="E875" s="1" t="s">
        <v>5680</v>
      </c>
      <c r="F875" s="1" t="s">
        <v>2117</v>
      </c>
      <c r="G875" s="1" t="s">
        <v>1936</v>
      </c>
      <c r="H875" s="1">
        <v>25362</v>
      </c>
      <c r="I875" t="s">
        <v>1937</v>
      </c>
    </row>
    <row r="876" spans="1:9" x14ac:dyDescent="0.3">
      <c r="A876" s="1" t="s">
        <v>1695</v>
      </c>
      <c r="B876" s="1" t="s">
        <v>5681</v>
      </c>
      <c r="C876" s="1" t="s">
        <v>5682</v>
      </c>
      <c r="D876" s="1" t="s">
        <v>5683</v>
      </c>
      <c r="E876" s="1" t="s">
        <v>5684</v>
      </c>
      <c r="F876" s="1" t="s">
        <v>2022</v>
      </c>
      <c r="G876" s="1" t="s">
        <v>1936</v>
      </c>
      <c r="H876" s="1">
        <v>77281</v>
      </c>
      <c r="I876" t="s">
        <v>1946</v>
      </c>
    </row>
    <row r="877" spans="1:9" x14ac:dyDescent="0.3">
      <c r="A877" s="1" t="s">
        <v>1697</v>
      </c>
      <c r="B877" s="1" t="s">
        <v>5685</v>
      </c>
      <c r="C877" s="1" t="s">
        <v>5686</v>
      </c>
      <c r="D877" s="1" t="s">
        <v>5687</v>
      </c>
      <c r="E877" s="1" t="s">
        <v>5688</v>
      </c>
      <c r="F877" s="1" t="s">
        <v>2406</v>
      </c>
      <c r="G877" s="1" t="s">
        <v>1944</v>
      </c>
      <c r="H877" s="1" t="s">
        <v>2407</v>
      </c>
      <c r="I877" t="s">
        <v>1946</v>
      </c>
    </row>
    <row r="878" spans="1:9" x14ac:dyDescent="0.3">
      <c r="A878" s="1" t="s">
        <v>5689</v>
      </c>
      <c r="B878" s="1" t="s">
        <v>5690</v>
      </c>
      <c r="C878" s="1" t="s">
        <v>5691</v>
      </c>
      <c r="D878" s="1" t="s">
        <v>5692</v>
      </c>
      <c r="E878" s="1" t="s">
        <v>5693</v>
      </c>
      <c r="F878" s="1" t="s">
        <v>2181</v>
      </c>
      <c r="G878" s="1" t="s">
        <v>1936</v>
      </c>
      <c r="H878" s="1">
        <v>20575</v>
      </c>
      <c r="I878" t="s">
        <v>1937</v>
      </c>
    </row>
    <row r="879" spans="1:9" x14ac:dyDescent="0.3">
      <c r="A879" s="1" t="s">
        <v>1699</v>
      </c>
      <c r="B879" s="1" t="s">
        <v>5694</v>
      </c>
      <c r="C879" s="1" t="s">
        <v>5695</v>
      </c>
      <c r="D879" s="1" t="s">
        <v>5696</v>
      </c>
      <c r="E879" s="1" t="s">
        <v>5697</v>
      </c>
      <c r="F879" s="1" t="s">
        <v>2251</v>
      </c>
      <c r="G879" s="1" t="s">
        <v>1936</v>
      </c>
      <c r="H879" s="1">
        <v>7195</v>
      </c>
      <c r="I879" t="s">
        <v>1946</v>
      </c>
    </row>
    <row r="880" spans="1:9" x14ac:dyDescent="0.3">
      <c r="A880" s="1" t="s">
        <v>1701</v>
      </c>
      <c r="B880" s="1" t="s">
        <v>5698</v>
      </c>
      <c r="C880" s="1"/>
      <c r="D880" s="1" t="s">
        <v>5699</v>
      </c>
      <c r="E880" s="1" t="s">
        <v>5700</v>
      </c>
      <c r="F880" s="1" t="s">
        <v>3487</v>
      </c>
      <c r="G880" s="1" t="s">
        <v>1936</v>
      </c>
      <c r="H880" s="1">
        <v>98195</v>
      </c>
      <c r="I880" t="s">
        <v>1937</v>
      </c>
    </row>
    <row r="881" spans="1:9" x14ac:dyDescent="0.3">
      <c r="A881" s="1" t="s">
        <v>1703</v>
      </c>
      <c r="B881" s="1" t="s">
        <v>5701</v>
      </c>
      <c r="C881" s="1"/>
      <c r="D881" s="1" t="s">
        <v>5702</v>
      </c>
      <c r="E881" s="1" t="s">
        <v>5703</v>
      </c>
      <c r="F881" s="1" t="s">
        <v>2058</v>
      </c>
      <c r="G881" s="1" t="s">
        <v>1936</v>
      </c>
      <c r="H881" s="1">
        <v>80150</v>
      </c>
      <c r="I881" t="s">
        <v>1946</v>
      </c>
    </row>
    <row r="882" spans="1:9" x14ac:dyDescent="0.3">
      <c r="A882" s="1" t="s">
        <v>1705</v>
      </c>
      <c r="B882" s="1" t="s">
        <v>5704</v>
      </c>
      <c r="C882" s="1" t="s">
        <v>5705</v>
      </c>
      <c r="D882" s="1" t="s">
        <v>5706</v>
      </c>
      <c r="E882" s="1" t="s">
        <v>5707</v>
      </c>
      <c r="F882" s="1" t="s">
        <v>5708</v>
      </c>
      <c r="G882" s="1" t="s">
        <v>1936</v>
      </c>
      <c r="H882" s="1">
        <v>61105</v>
      </c>
      <c r="I882" t="s">
        <v>1946</v>
      </c>
    </row>
    <row r="883" spans="1:9" x14ac:dyDescent="0.3">
      <c r="A883" s="1" t="s">
        <v>1707</v>
      </c>
      <c r="B883" s="1" t="s">
        <v>5709</v>
      </c>
      <c r="C883" s="1"/>
      <c r="D883" s="1" t="s">
        <v>5710</v>
      </c>
      <c r="E883" s="1" t="s">
        <v>5711</v>
      </c>
      <c r="F883" s="1" t="s">
        <v>5210</v>
      </c>
      <c r="G883" s="1" t="s">
        <v>1936</v>
      </c>
      <c r="H883" s="1">
        <v>59112</v>
      </c>
      <c r="I883" t="s">
        <v>1937</v>
      </c>
    </row>
    <row r="884" spans="1:9" x14ac:dyDescent="0.3">
      <c r="A884" s="1" t="s">
        <v>5712</v>
      </c>
      <c r="B884" s="1" t="s">
        <v>5713</v>
      </c>
      <c r="C884" s="1" t="s">
        <v>5714</v>
      </c>
      <c r="D884" s="1" t="s">
        <v>5715</v>
      </c>
      <c r="E884" s="1" t="s">
        <v>5716</v>
      </c>
      <c r="F884" s="1" t="s">
        <v>3044</v>
      </c>
      <c r="G884" s="1" t="s">
        <v>1936</v>
      </c>
      <c r="H884" s="1">
        <v>31165</v>
      </c>
      <c r="I884" t="s">
        <v>1946</v>
      </c>
    </row>
    <row r="885" spans="1:9" x14ac:dyDescent="0.3">
      <c r="A885" s="1" t="s">
        <v>1711</v>
      </c>
      <c r="B885" s="1" t="s">
        <v>5717</v>
      </c>
      <c r="C885" s="1" t="s">
        <v>5718</v>
      </c>
      <c r="D885" s="1" t="s">
        <v>5719</v>
      </c>
      <c r="E885" s="1" t="s">
        <v>5720</v>
      </c>
      <c r="F885" s="1" t="s">
        <v>2811</v>
      </c>
      <c r="G885" s="1" t="s">
        <v>1936</v>
      </c>
      <c r="H885" s="1">
        <v>74108</v>
      </c>
      <c r="I885" t="s">
        <v>1937</v>
      </c>
    </row>
    <row r="886" spans="1:9" x14ac:dyDescent="0.3">
      <c r="A886" s="1" t="s">
        <v>1713</v>
      </c>
      <c r="B886" s="1" t="s">
        <v>5721</v>
      </c>
      <c r="C886" s="1" t="s">
        <v>5722</v>
      </c>
      <c r="D886" s="1" t="s">
        <v>5723</v>
      </c>
      <c r="E886" s="1" t="s">
        <v>5724</v>
      </c>
      <c r="F886" s="1" t="s">
        <v>2350</v>
      </c>
      <c r="G886" s="1" t="s">
        <v>1936</v>
      </c>
      <c r="H886" s="1">
        <v>93704</v>
      </c>
      <c r="I886" t="s">
        <v>1937</v>
      </c>
    </row>
    <row r="887" spans="1:9" x14ac:dyDescent="0.3">
      <c r="A887" s="1" t="s">
        <v>1715</v>
      </c>
      <c r="B887" s="1" t="s">
        <v>5725</v>
      </c>
      <c r="C887" s="1" t="s">
        <v>5726</v>
      </c>
      <c r="D887" s="1" t="s">
        <v>5727</v>
      </c>
      <c r="E887" s="1" t="s">
        <v>5728</v>
      </c>
      <c r="F887" s="1" t="s">
        <v>5729</v>
      </c>
      <c r="G887" s="1" t="s">
        <v>1944</v>
      </c>
      <c r="H887" s="1" t="s">
        <v>2305</v>
      </c>
      <c r="I887" t="s">
        <v>1946</v>
      </c>
    </row>
    <row r="888" spans="1:9" x14ac:dyDescent="0.3">
      <c r="A888" s="1" t="s">
        <v>1717</v>
      </c>
      <c r="B888" s="1" t="s">
        <v>5730</v>
      </c>
      <c r="C888" s="1" t="s">
        <v>5731</v>
      </c>
      <c r="D888" s="1" t="s">
        <v>5732</v>
      </c>
      <c r="E888" s="1" t="s">
        <v>5733</v>
      </c>
      <c r="F888" s="1" t="s">
        <v>3085</v>
      </c>
      <c r="G888" s="1" t="s">
        <v>1936</v>
      </c>
      <c r="H888" s="1">
        <v>94154</v>
      </c>
      <c r="I888" t="s">
        <v>1946</v>
      </c>
    </row>
    <row r="889" spans="1:9" x14ac:dyDescent="0.3">
      <c r="A889" s="1" t="s">
        <v>1719</v>
      </c>
      <c r="B889" s="1" t="s">
        <v>5734</v>
      </c>
      <c r="C889" s="1" t="s">
        <v>5735</v>
      </c>
      <c r="D889" s="1" t="s">
        <v>5736</v>
      </c>
      <c r="E889" s="1" t="s">
        <v>5737</v>
      </c>
      <c r="F889" s="1" t="s">
        <v>5573</v>
      </c>
      <c r="G889" s="1" t="s">
        <v>1936</v>
      </c>
      <c r="H889" s="1">
        <v>36689</v>
      </c>
      <c r="I889" t="s">
        <v>1946</v>
      </c>
    </row>
    <row r="890" spans="1:9" x14ac:dyDescent="0.3">
      <c r="A890" s="1" t="s">
        <v>1721</v>
      </c>
      <c r="B890" s="1" t="s">
        <v>5738</v>
      </c>
      <c r="C890" s="1" t="s">
        <v>5739</v>
      </c>
      <c r="D890" s="1" t="s">
        <v>5740</v>
      </c>
      <c r="E890" s="1" t="s">
        <v>5741</v>
      </c>
      <c r="F890" s="1" t="s">
        <v>3085</v>
      </c>
      <c r="G890" s="1" t="s">
        <v>1936</v>
      </c>
      <c r="H890" s="1">
        <v>94110</v>
      </c>
      <c r="I890" t="s">
        <v>1937</v>
      </c>
    </row>
    <row r="891" spans="1:9" x14ac:dyDescent="0.3">
      <c r="A891" s="1" t="s">
        <v>1723</v>
      </c>
      <c r="B891" s="1" t="s">
        <v>5742</v>
      </c>
      <c r="C891" s="1" t="s">
        <v>5743</v>
      </c>
      <c r="D891" s="1" t="s">
        <v>5744</v>
      </c>
      <c r="E891" s="1" t="s">
        <v>5745</v>
      </c>
      <c r="F891" s="1" t="s">
        <v>2094</v>
      </c>
      <c r="G891" s="1" t="s">
        <v>1936</v>
      </c>
      <c r="H891" s="1">
        <v>11470</v>
      </c>
      <c r="I891" t="s">
        <v>1937</v>
      </c>
    </row>
    <row r="892" spans="1:9" x14ac:dyDescent="0.3">
      <c r="A892" s="1" t="s">
        <v>1709</v>
      </c>
      <c r="B892" s="1" t="s">
        <v>5746</v>
      </c>
      <c r="C892" s="1" t="s">
        <v>5747</v>
      </c>
      <c r="D892" s="1" t="s">
        <v>5748</v>
      </c>
      <c r="E892" s="1" t="s">
        <v>5749</v>
      </c>
      <c r="F892" s="1" t="s">
        <v>2127</v>
      </c>
      <c r="G892" s="1" t="s">
        <v>1936</v>
      </c>
      <c r="H892" s="1">
        <v>80243</v>
      </c>
      <c r="I892" t="s">
        <v>1937</v>
      </c>
    </row>
    <row r="893" spans="1:9" x14ac:dyDescent="0.3">
      <c r="A893" s="1" t="s">
        <v>1726</v>
      </c>
      <c r="B893" s="1" t="s">
        <v>5750</v>
      </c>
      <c r="C893" s="1" t="s">
        <v>5751</v>
      </c>
      <c r="D893" s="1" t="s">
        <v>5752</v>
      </c>
      <c r="E893" s="1" t="s">
        <v>5753</v>
      </c>
      <c r="F893" s="1" t="s">
        <v>3780</v>
      </c>
      <c r="G893" s="1" t="s">
        <v>1936</v>
      </c>
      <c r="H893" s="1">
        <v>92165</v>
      </c>
      <c r="I893" t="s">
        <v>1937</v>
      </c>
    </row>
    <row r="894" spans="1:9" x14ac:dyDescent="0.3">
      <c r="A894" s="1" t="s">
        <v>1728</v>
      </c>
      <c r="B894" s="1" t="s">
        <v>5754</v>
      </c>
      <c r="C894" s="1" t="s">
        <v>5755</v>
      </c>
      <c r="D894" s="1" t="s">
        <v>5756</v>
      </c>
      <c r="E894" s="1" t="s">
        <v>5757</v>
      </c>
      <c r="F894" s="1" t="s">
        <v>3722</v>
      </c>
      <c r="G894" s="1" t="s">
        <v>2111</v>
      </c>
      <c r="H894" s="1" t="s">
        <v>3723</v>
      </c>
      <c r="I894" t="s">
        <v>1946</v>
      </c>
    </row>
    <row r="895" spans="1:9" x14ac:dyDescent="0.3">
      <c r="A895" s="1" t="s">
        <v>1730</v>
      </c>
      <c r="B895" s="1" t="s">
        <v>5758</v>
      </c>
      <c r="C895" s="1" t="s">
        <v>5759</v>
      </c>
      <c r="D895" s="1"/>
      <c r="E895" s="1" t="s">
        <v>5760</v>
      </c>
      <c r="F895" s="1" t="s">
        <v>4590</v>
      </c>
      <c r="G895" s="1" t="s">
        <v>1936</v>
      </c>
      <c r="H895" s="1">
        <v>15250</v>
      </c>
      <c r="I895" t="s">
        <v>1937</v>
      </c>
    </row>
    <row r="896" spans="1:9" x14ac:dyDescent="0.3">
      <c r="A896" s="1" t="s">
        <v>1732</v>
      </c>
      <c r="B896" s="1" t="s">
        <v>5761</v>
      </c>
      <c r="C896" s="1"/>
      <c r="D896" s="1" t="s">
        <v>5762</v>
      </c>
      <c r="E896" s="1" t="s">
        <v>5763</v>
      </c>
      <c r="F896" s="1" t="s">
        <v>5764</v>
      </c>
      <c r="G896" s="1" t="s">
        <v>1944</v>
      </c>
      <c r="H896" s="1" t="s">
        <v>2669</v>
      </c>
      <c r="I896" t="s">
        <v>1937</v>
      </c>
    </row>
    <row r="897" spans="1:9" x14ac:dyDescent="0.3">
      <c r="A897" s="1" t="s">
        <v>1734</v>
      </c>
      <c r="B897" s="1" t="s">
        <v>5765</v>
      </c>
      <c r="C897" s="1"/>
      <c r="D897" s="1" t="s">
        <v>5766</v>
      </c>
      <c r="E897" s="1" t="s">
        <v>5767</v>
      </c>
      <c r="F897" s="1" t="s">
        <v>2032</v>
      </c>
      <c r="G897" s="1" t="s">
        <v>1936</v>
      </c>
      <c r="H897" s="1">
        <v>10004</v>
      </c>
      <c r="I897" t="s">
        <v>1946</v>
      </c>
    </row>
    <row r="898" spans="1:9" x14ac:dyDescent="0.3">
      <c r="A898" s="1" t="s">
        <v>1736</v>
      </c>
      <c r="B898" s="1" t="s">
        <v>5768</v>
      </c>
      <c r="C898" s="1" t="s">
        <v>5769</v>
      </c>
      <c r="D898" s="1" t="s">
        <v>5770</v>
      </c>
      <c r="E898" s="1" t="s">
        <v>5771</v>
      </c>
      <c r="F898" s="1" t="s">
        <v>3487</v>
      </c>
      <c r="G898" s="1" t="s">
        <v>1936</v>
      </c>
      <c r="H898" s="1">
        <v>98148</v>
      </c>
      <c r="I898" t="s">
        <v>1937</v>
      </c>
    </row>
    <row r="899" spans="1:9" x14ac:dyDescent="0.3">
      <c r="A899" s="1" t="s">
        <v>1738</v>
      </c>
      <c r="B899" s="1" t="s">
        <v>5772</v>
      </c>
      <c r="C899" s="1" t="s">
        <v>5773</v>
      </c>
      <c r="D899" s="1" t="s">
        <v>5774</v>
      </c>
      <c r="E899" s="1" t="s">
        <v>5775</v>
      </c>
      <c r="F899" s="1" t="s">
        <v>2167</v>
      </c>
      <c r="G899" s="1" t="s">
        <v>2111</v>
      </c>
      <c r="H899" s="1" t="s">
        <v>2481</v>
      </c>
      <c r="I899" t="s">
        <v>1946</v>
      </c>
    </row>
    <row r="900" spans="1:9" x14ac:dyDescent="0.3">
      <c r="A900" s="1" t="s">
        <v>1740</v>
      </c>
      <c r="B900" s="1" t="s">
        <v>5776</v>
      </c>
      <c r="C900" s="1"/>
      <c r="D900" s="1" t="s">
        <v>5777</v>
      </c>
      <c r="E900" s="1" t="s">
        <v>5778</v>
      </c>
      <c r="F900" s="1" t="s">
        <v>5779</v>
      </c>
      <c r="G900" s="1" t="s">
        <v>1936</v>
      </c>
      <c r="H900" s="1">
        <v>49018</v>
      </c>
      <c r="I900" t="s">
        <v>1946</v>
      </c>
    </row>
    <row r="901" spans="1:9" x14ac:dyDescent="0.3">
      <c r="A901" s="1" t="s">
        <v>5780</v>
      </c>
      <c r="B901" s="1" t="s">
        <v>5781</v>
      </c>
      <c r="C901" s="1" t="s">
        <v>5782</v>
      </c>
      <c r="D901" s="1"/>
      <c r="E901" s="1" t="s">
        <v>5783</v>
      </c>
      <c r="F901" s="1" t="s">
        <v>2419</v>
      </c>
      <c r="G901" s="1" t="s">
        <v>1944</v>
      </c>
      <c r="H901" s="1" t="s">
        <v>2420</v>
      </c>
      <c r="I901" t="s">
        <v>1937</v>
      </c>
    </row>
    <row r="902" spans="1:9" x14ac:dyDescent="0.3">
      <c r="A902" s="1" t="s">
        <v>1743</v>
      </c>
      <c r="B902" s="1" t="s">
        <v>5784</v>
      </c>
      <c r="C902" s="1"/>
      <c r="D902" s="1" t="s">
        <v>5785</v>
      </c>
      <c r="E902" s="1" t="s">
        <v>5786</v>
      </c>
      <c r="F902" s="1" t="s">
        <v>5787</v>
      </c>
      <c r="G902" s="1" t="s">
        <v>1944</v>
      </c>
      <c r="H902" s="1" t="s">
        <v>2531</v>
      </c>
      <c r="I902" t="s">
        <v>1946</v>
      </c>
    </row>
    <row r="903" spans="1:9" x14ac:dyDescent="0.3">
      <c r="A903" s="1" t="s">
        <v>1745</v>
      </c>
      <c r="B903" s="1" t="s">
        <v>5788</v>
      </c>
      <c r="C903" s="1" t="s">
        <v>5789</v>
      </c>
      <c r="D903" s="1" t="s">
        <v>5790</v>
      </c>
      <c r="E903" s="1" t="s">
        <v>5791</v>
      </c>
      <c r="F903" s="1" t="s">
        <v>2022</v>
      </c>
      <c r="G903" s="1" t="s">
        <v>1936</v>
      </c>
      <c r="H903" s="1">
        <v>77070</v>
      </c>
      <c r="I903" t="s">
        <v>1937</v>
      </c>
    </row>
    <row r="904" spans="1:9" x14ac:dyDescent="0.3">
      <c r="A904" s="1" t="s">
        <v>1747</v>
      </c>
      <c r="B904" s="1" t="s">
        <v>5792</v>
      </c>
      <c r="C904" s="1" t="s">
        <v>5793</v>
      </c>
      <c r="D904" s="1" t="s">
        <v>5794</v>
      </c>
      <c r="E904" s="1" t="s">
        <v>5795</v>
      </c>
      <c r="F904" s="1" t="s">
        <v>3032</v>
      </c>
      <c r="G904" s="1" t="s">
        <v>1936</v>
      </c>
      <c r="H904" s="1">
        <v>45249</v>
      </c>
      <c r="I904" t="s">
        <v>1946</v>
      </c>
    </row>
    <row r="905" spans="1:9" x14ac:dyDescent="0.3">
      <c r="A905" s="1" t="s">
        <v>1749</v>
      </c>
      <c r="B905" s="1" t="s">
        <v>5796</v>
      </c>
      <c r="C905" s="1" t="s">
        <v>5797</v>
      </c>
      <c r="D905" s="1" t="s">
        <v>5798</v>
      </c>
      <c r="E905" s="1" t="s">
        <v>5799</v>
      </c>
      <c r="F905" s="1" t="s">
        <v>2350</v>
      </c>
      <c r="G905" s="1" t="s">
        <v>1936</v>
      </c>
      <c r="H905" s="1">
        <v>93704</v>
      </c>
      <c r="I905" t="s">
        <v>1946</v>
      </c>
    </row>
    <row r="906" spans="1:9" x14ac:dyDescent="0.3">
      <c r="A906" s="1" t="s">
        <v>1751</v>
      </c>
      <c r="B906" s="1" t="s">
        <v>5800</v>
      </c>
      <c r="C906" s="1" t="s">
        <v>5801</v>
      </c>
      <c r="D906" s="1" t="s">
        <v>5802</v>
      </c>
      <c r="E906" s="1" t="s">
        <v>5803</v>
      </c>
      <c r="F906" s="1" t="s">
        <v>2228</v>
      </c>
      <c r="G906" s="1" t="s">
        <v>1936</v>
      </c>
      <c r="H906" s="1">
        <v>55123</v>
      </c>
      <c r="I906" t="s">
        <v>1946</v>
      </c>
    </row>
    <row r="907" spans="1:9" x14ac:dyDescent="0.3">
      <c r="A907" s="1" t="s">
        <v>1753</v>
      </c>
      <c r="B907" s="1" t="s">
        <v>5804</v>
      </c>
      <c r="C907" s="1"/>
      <c r="D907" s="1" t="s">
        <v>5805</v>
      </c>
      <c r="E907" s="1" t="s">
        <v>5806</v>
      </c>
      <c r="F907" s="1" t="s">
        <v>2443</v>
      </c>
      <c r="G907" s="1" t="s">
        <v>1936</v>
      </c>
      <c r="H907" s="1">
        <v>88519</v>
      </c>
      <c r="I907" t="s">
        <v>1937</v>
      </c>
    </row>
    <row r="908" spans="1:9" x14ac:dyDescent="0.3">
      <c r="A908" s="1" t="s">
        <v>1755</v>
      </c>
      <c r="B908" s="1" t="s">
        <v>5807</v>
      </c>
      <c r="C908" s="1" t="s">
        <v>5808</v>
      </c>
      <c r="D908" s="1" t="s">
        <v>5809</v>
      </c>
      <c r="E908" s="1" t="s">
        <v>5810</v>
      </c>
      <c r="F908" s="1" t="s">
        <v>2642</v>
      </c>
      <c r="G908" s="1" t="s">
        <v>1936</v>
      </c>
      <c r="H908" s="1">
        <v>50981</v>
      </c>
      <c r="I908" t="s">
        <v>1937</v>
      </c>
    </row>
    <row r="909" spans="1:9" x14ac:dyDescent="0.3">
      <c r="A909" s="1" t="s">
        <v>1757</v>
      </c>
      <c r="B909" s="1" t="s">
        <v>5811</v>
      </c>
      <c r="C909" s="1" t="s">
        <v>5812</v>
      </c>
      <c r="D909" s="1" t="s">
        <v>5813</v>
      </c>
      <c r="E909" s="1" t="s">
        <v>5814</v>
      </c>
      <c r="F909" s="1" t="s">
        <v>2017</v>
      </c>
      <c r="G909" s="1" t="s">
        <v>1936</v>
      </c>
      <c r="H909" s="1">
        <v>97240</v>
      </c>
      <c r="I909" t="s">
        <v>1946</v>
      </c>
    </row>
    <row r="910" spans="1:9" x14ac:dyDescent="0.3">
      <c r="A910" s="1" t="s">
        <v>1759</v>
      </c>
      <c r="B910" s="1" t="s">
        <v>5815</v>
      </c>
      <c r="C910" s="1" t="s">
        <v>5816</v>
      </c>
      <c r="D910" s="1" t="s">
        <v>5817</v>
      </c>
      <c r="E910" s="1" t="s">
        <v>5818</v>
      </c>
      <c r="F910" s="1" t="s">
        <v>2022</v>
      </c>
      <c r="G910" s="1" t="s">
        <v>1936</v>
      </c>
      <c r="H910" s="1">
        <v>77070</v>
      </c>
      <c r="I910" t="s">
        <v>1946</v>
      </c>
    </row>
    <row r="911" spans="1:9" x14ac:dyDescent="0.3">
      <c r="A911" s="1" t="s">
        <v>1761</v>
      </c>
      <c r="B911" s="1" t="s">
        <v>5819</v>
      </c>
      <c r="C911" s="1"/>
      <c r="D911" s="1" t="s">
        <v>5820</v>
      </c>
      <c r="E911" s="1" t="s">
        <v>5821</v>
      </c>
      <c r="F911" s="1" t="s">
        <v>4476</v>
      </c>
      <c r="G911" s="1" t="s">
        <v>1936</v>
      </c>
      <c r="H911" s="1">
        <v>27705</v>
      </c>
      <c r="I911" t="s">
        <v>1946</v>
      </c>
    </row>
    <row r="912" spans="1:9" x14ac:dyDescent="0.3">
      <c r="A912" s="1" t="s">
        <v>1763</v>
      </c>
      <c r="B912" s="1" t="s">
        <v>5822</v>
      </c>
      <c r="C912" s="1" t="s">
        <v>5823</v>
      </c>
      <c r="D912" s="1" t="s">
        <v>5824</v>
      </c>
      <c r="E912" s="1" t="s">
        <v>5825</v>
      </c>
      <c r="F912" s="1" t="s">
        <v>2153</v>
      </c>
      <c r="G912" s="1" t="s">
        <v>1936</v>
      </c>
      <c r="H912" s="1">
        <v>2298</v>
      </c>
      <c r="I912" t="s">
        <v>1946</v>
      </c>
    </row>
    <row r="913" spans="1:9" x14ac:dyDescent="0.3">
      <c r="A913" s="1" t="s">
        <v>1765</v>
      </c>
      <c r="B913" s="1" t="s">
        <v>5826</v>
      </c>
      <c r="C913" s="1" t="s">
        <v>5827</v>
      </c>
      <c r="D913" s="1" t="s">
        <v>5828</v>
      </c>
      <c r="E913" s="1" t="s">
        <v>5829</v>
      </c>
      <c r="F913" s="1" t="s">
        <v>2181</v>
      </c>
      <c r="G913" s="1" t="s">
        <v>1936</v>
      </c>
      <c r="H913" s="1">
        <v>20226</v>
      </c>
      <c r="I913" t="s">
        <v>1937</v>
      </c>
    </row>
    <row r="914" spans="1:9" x14ac:dyDescent="0.3">
      <c r="A914" s="1" t="s">
        <v>1767</v>
      </c>
      <c r="B914" s="1" t="s">
        <v>5830</v>
      </c>
      <c r="C914" s="1"/>
      <c r="D914" s="1" t="s">
        <v>5831</v>
      </c>
      <c r="E914" s="1" t="s">
        <v>5832</v>
      </c>
      <c r="F914" s="1" t="s">
        <v>2876</v>
      </c>
      <c r="G914" s="1" t="s">
        <v>1936</v>
      </c>
      <c r="H914" s="1">
        <v>12205</v>
      </c>
      <c r="I914" t="s">
        <v>1937</v>
      </c>
    </row>
    <row r="915" spans="1:9" x14ac:dyDescent="0.3">
      <c r="A915" s="1" t="s">
        <v>1769</v>
      </c>
      <c r="B915" s="1" t="s">
        <v>5833</v>
      </c>
      <c r="C915" s="1" t="s">
        <v>5834</v>
      </c>
      <c r="D915" s="1" t="s">
        <v>5835</v>
      </c>
      <c r="E915" s="1" t="s">
        <v>5836</v>
      </c>
      <c r="F915" s="1" t="s">
        <v>2135</v>
      </c>
      <c r="G915" s="1" t="s">
        <v>1936</v>
      </c>
      <c r="H915" s="1">
        <v>85732</v>
      </c>
      <c r="I915" t="s">
        <v>1946</v>
      </c>
    </row>
    <row r="916" spans="1:9" x14ac:dyDescent="0.3">
      <c r="A916" s="1" t="s">
        <v>1771</v>
      </c>
      <c r="B916" s="1" t="s">
        <v>5837</v>
      </c>
      <c r="C916" s="1" t="s">
        <v>5838</v>
      </c>
      <c r="D916" s="1" t="s">
        <v>5839</v>
      </c>
      <c r="E916" s="1" t="s">
        <v>5840</v>
      </c>
      <c r="F916" s="1" t="s">
        <v>2739</v>
      </c>
      <c r="G916" s="1" t="s">
        <v>1936</v>
      </c>
      <c r="H916" s="1">
        <v>36195</v>
      </c>
      <c r="I916" t="s">
        <v>1946</v>
      </c>
    </row>
    <row r="917" spans="1:9" x14ac:dyDescent="0.3">
      <c r="A917" s="1" t="s">
        <v>1773</v>
      </c>
      <c r="B917" s="1" t="s">
        <v>5841</v>
      </c>
      <c r="C917" s="1" t="s">
        <v>5842</v>
      </c>
      <c r="D917" s="1" t="s">
        <v>5843</v>
      </c>
      <c r="E917" s="1" t="s">
        <v>5844</v>
      </c>
      <c r="F917" s="1" t="s">
        <v>5845</v>
      </c>
      <c r="G917" s="1" t="s">
        <v>1936</v>
      </c>
      <c r="H917" s="1">
        <v>99709</v>
      </c>
      <c r="I917" t="s">
        <v>1937</v>
      </c>
    </row>
    <row r="918" spans="1:9" x14ac:dyDescent="0.3">
      <c r="A918" s="1" t="s">
        <v>1775</v>
      </c>
      <c r="B918" s="1" t="s">
        <v>5846</v>
      </c>
      <c r="C918" s="1"/>
      <c r="D918" s="1"/>
      <c r="E918" s="1" t="s">
        <v>5847</v>
      </c>
      <c r="F918" s="1" t="s">
        <v>3913</v>
      </c>
      <c r="G918" s="1" t="s">
        <v>1944</v>
      </c>
      <c r="H918" s="1" t="s">
        <v>3914</v>
      </c>
      <c r="I918" t="s">
        <v>1937</v>
      </c>
    </row>
    <row r="919" spans="1:9" x14ac:dyDescent="0.3">
      <c r="A919" s="1" t="s">
        <v>1777</v>
      </c>
      <c r="B919" s="1" t="s">
        <v>5848</v>
      </c>
      <c r="C919" s="1" t="s">
        <v>5849</v>
      </c>
      <c r="D919" s="1" t="s">
        <v>5850</v>
      </c>
      <c r="E919" s="1" t="s">
        <v>5851</v>
      </c>
      <c r="F919" s="1" t="s">
        <v>3233</v>
      </c>
      <c r="G919" s="1" t="s">
        <v>2111</v>
      </c>
      <c r="H919" s="1" t="s">
        <v>5852</v>
      </c>
      <c r="I919" t="s">
        <v>1946</v>
      </c>
    </row>
    <row r="920" spans="1:9" x14ac:dyDescent="0.3">
      <c r="A920" s="1" t="s">
        <v>5853</v>
      </c>
      <c r="B920" s="1" t="s">
        <v>5854</v>
      </c>
      <c r="C920" s="1" t="s">
        <v>5855</v>
      </c>
      <c r="D920" s="1" t="s">
        <v>5856</v>
      </c>
      <c r="E920" s="1" t="s">
        <v>5857</v>
      </c>
      <c r="F920" s="1" t="s">
        <v>2708</v>
      </c>
      <c r="G920" s="1" t="s">
        <v>1936</v>
      </c>
      <c r="H920" s="1">
        <v>34615</v>
      </c>
      <c r="I920" t="s">
        <v>1946</v>
      </c>
    </row>
    <row r="921" spans="1:9" x14ac:dyDescent="0.3">
      <c r="A921" s="1" t="s">
        <v>1779</v>
      </c>
      <c r="B921" s="1" t="s">
        <v>5858</v>
      </c>
      <c r="C921" s="1" t="s">
        <v>5859</v>
      </c>
      <c r="D921" s="1" t="s">
        <v>5860</v>
      </c>
      <c r="E921" s="1" t="s">
        <v>5861</v>
      </c>
      <c r="F921" s="1" t="s">
        <v>3315</v>
      </c>
      <c r="G921" s="1" t="s">
        <v>1936</v>
      </c>
      <c r="H921" s="1">
        <v>40515</v>
      </c>
      <c r="I921" t="s">
        <v>1937</v>
      </c>
    </row>
    <row r="922" spans="1:9" x14ac:dyDescent="0.3">
      <c r="A922" s="1" t="s">
        <v>1781</v>
      </c>
      <c r="B922" s="1" t="s">
        <v>5862</v>
      </c>
      <c r="C922" s="1" t="s">
        <v>5863</v>
      </c>
      <c r="D922" s="1" t="s">
        <v>5864</v>
      </c>
      <c r="E922" s="1" t="s">
        <v>5865</v>
      </c>
      <c r="F922" s="1" t="s">
        <v>2043</v>
      </c>
      <c r="G922" s="1" t="s">
        <v>1936</v>
      </c>
      <c r="H922" s="1">
        <v>49560</v>
      </c>
      <c r="I922" t="s">
        <v>1946</v>
      </c>
    </row>
    <row r="923" spans="1:9" x14ac:dyDescent="0.3">
      <c r="A923" s="1" t="s">
        <v>1783</v>
      </c>
      <c r="B923" s="1" t="s">
        <v>5866</v>
      </c>
      <c r="C923" s="1" t="s">
        <v>5867</v>
      </c>
      <c r="D923" s="1" t="s">
        <v>5868</v>
      </c>
      <c r="E923" s="1" t="s">
        <v>5869</v>
      </c>
      <c r="F923" s="1" t="s">
        <v>2642</v>
      </c>
      <c r="G923" s="1" t="s">
        <v>1936</v>
      </c>
      <c r="H923" s="1">
        <v>50369</v>
      </c>
      <c r="I923" t="s">
        <v>1946</v>
      </c>
    </row>
    <row r="924" spans="1:9" x14ac:dyDescent="0.3">
      <c r="A924" s="1" t="s">
        <v>1785</v>
      </c>
      <c r="B924" s="1" t="s">
        <v>5870</v>
      </c>
      <c r="C924" s="1"/>
      <c r="D924" s="1"/>
      <c r="E924" s="1" t="s">
        <v>5871</v>
      </c>
      <c r="F924" s="1" t="s">
        <v>5102</v>
      </c>
      <c r="G924" s="1" t="s">
        <v>1936</v>
      </c>
      <c r="H924" s="1">
        <v>19810</v>
      </c>
      <c r="I924" t="s">
        <v>1937</v>
      </c>
    </row>
    <row r="925" spans="1:9" x14ac:dyDescent="0.3">
      <c r="A925" s="1" t="s">
        <v>1787</v>
      </c>
      <c r="B925" s="1" t="s">
        <v>5872</v>
      </c>
      <c r="C925" s="1" t="s">
        <v>5873</v>
      </c>
      <c r="D925" s="1" t="s">
        <v>5874</v>
      </c>
      <c r="E925" s="1" t="s">
        <v>5875</v>
      </c>
      <c r="F925" s="1" t="s">
        <v>2382</v>
      </c>
      <c r="G925" s="1" t="s">
        <v>1936</v>
      </c>
      <c r="H925" s="1">
        <v>78726</v>
      </c>
      <c r="I925" t="s">
        <v>1946</v>
      </c>
    </row>
    <row r="926" spans="1:9" x14ac:dyDescent="0.3">
      <c r="A926" s="1" t="s">
        <v>1789</v>
      </c>
      <c r="B926" s="1" t="s">
        <v>5876</v>
      </c>
      <c r="C926" s="1" t="s">
        <v>5877</v>
      </c>
      <c r="D926" s="1"/>
      <c r="E926" s="1" t="s">
        <v>5878</v>
      </c>
      <c r="F926" s="1" t="s">
        <v>4396</v>
      </c>
      <c r="G926" s="1" t="s">
        <v>1936</v>
      </c>
      <c r="H926" s="1">
        <v>32835</v>
      </c>
      <c r="I926" t="s">
        <v>1946</v>
      </c>
    </row>
    <row r="927" spans="1:9" x14ac:dyDescent="0.3">
      <c r="A927" s="1" t="s">
        <v>5879</v>
      </c>
      <c r="B927" s="1" t="s">
        <v>5880</v>
      </c>
      <c r="C927" s="1"/>
      <c r="D927" s="1" t="s">
        <v>5881</v>
      </c>
      <c r="E927" s="1" t="s">
        <v>5882</v>
      </c>
      <c r="F927" s="1" t="s">
        <v>2942</v>
      </c>
      <c r="G927" s="1" t="s">
        <v>1936</v>
      </c>
      <c r="H927" s="1">
        <v>91199</v>
      </c>
      <c r="I927" t="s">
        <v>1937</v>
      </c>
    </row>
    <row r="928" spans="1:9" x14ac:dyDescent="0.3">
      <c r="A928" s="1" t="s">
        <v>1792</v>
      </c>
      <c r="B928" s="1" t="s">
        <v>5883</v>
      </c>
      <c r="C928" s="1" t="s">
        <v>5884</v>
      </c>
      <c r="D928" s="1" t="s">
        <v>5885</v>
      </c>
      <c r="E928" s="1" t="s">
        <v>5886</v>
      </c>
      <c r="F928" s="1" t="s">
        <v>2181</v>
      </c>
      <c r="G928" s="1" t="s">
        <v>1936</v>
      </c>
      <c r="H928" s="1">
        <v>20238</v>
      </c>
      <c r="I928" t="s">
        <v>1937</v>
      </c>
    </row>
    <row r="929" spans="1:9" x14ac:dyDescent="0.3">
      <c r="A929" s="1" t="s">
        <v>1794</v>
      </c>
      <c r="B929" s="1" t="s">
        <v>5887</v>
      </c>
      <c r="C929" s="1" t="s">
        <v>5888</v>
      </c>
      <c r="D929" s="1" t="s">
        <v>5889</v>
      </c>
      <c r="E929" s="1" t="s">
        <v>5890</v>
      </c>
      <c r="F929" s="1" t="s">
        <v>2017</v>
      </c>
      <c r="G929" s="1" t="s">
        <v>1936</v>
      </c>
      <c r="H929" s="1">
        <v>97271</v>
      </c>
      <c r="I929" t="s">
        <v>1946</v>
      </c>
    </row>
    <row r="930" spans="1:9" x14ac:dyDescent="0.3">
      <c r="A930" s="1" t="s">
        <v>1796</v>
      </c>
      <c r="B930" s="1" t="s">
        <v>5891</v>
      </c>
      <c r="C930" s="1" t="s">
        <v>5892</v>
      </c>
      <c r="D930" s="1"/>
      <c r="E930" s="1" t="s">
        <v>5893</v>
      </c>
      <c r="F930" s="1" t="s">
        <v>2032</v>
      </c>
      <c r="G930" s="1" t="s">
        <v>1936</v>
      </c>
      <c r="H930" s="1">
        <v>10004</v>
      </c>
      <c r="I930" t="s">
        <v>1937</v>
      </c>
    </row>
    <row r="931" spans="1:9" x14ac:dyDescent="0.3">
      <c r="A931" s="1" t="s">
        <v>1798</v>
      </c>
      <c r="B931" s="1" t="s">
        <v>5894</v>
      </c>
      <c r="C931" s="1" t="s">
        <v>5895</v>
      </c>
      <c r="D931" s="1" t="s">
        <v>5896</v>
      </c>
      <c r="E931" s="1" t="s">
        <v>5897</v>
      </c>
      <c r="F931" s="1" t="s">
        <v>2181</v>
      </c>
      <c r="G931" s="1" t="s">
        <v>1936</v>
      </c>
      <c r="H931" s="1">
        <v>20404</v>
      </c>
      <c r="I931" t="s">
        <v>1937</v>
      </c>
    </row>
    <row r="932" spans="1:9" x14ac:dyDescent="0.3">
      <c r="A932" s="1" t="s">
        <v>1800</v>
      </c>
      <c r="B932" s="1" t="s">
        <v>5898</v>
      </c>
      <c r="C932" s="1" t="s">
        <v>5899</v>
      </c>
      <c r="D932" s="1"/>
      <c r="E932" s="1" t="s">
        <v>5900</v>
      </c>
      <c r="F932" s="1" t="s">
        <v>2181</v>
      </c>
      <c r="G932" s="1" t="s">
        <v>1936</v>
      </c>
      <c r="H932" s="1">
        <v>20067</v>
      </c>
      <c r="I932" t="s">
        <v>1937</v>
      </c>
    </row>
    <row r="933" spans="1:9" x14ac:dyDescent="0.3">
      <c r="A933" s="1" t="s">
        <v>1802</v>
      </c>
      <c r="B933" s="1" t="s">
        <v>5901</v>
      </c>
      <c r="C933" s="1"/>
      <c r="D933" s="1"/>
      <c r="E933" s="1" t="s">
        <v>5902</v>
      </c>
      <c r="F933" s="1" t="s">
        <v>4881</v>
      </c>
      <c r="G933" s="1" t="s">
        <v>1936</v>
      </c>
      <c r="H933" s="1">
        <v>18105</v>
      </c>
      <c r="I933" t="s">
        <v>1937</v>
      </c>
    </row>
    <row r="934" spans="1:9" x14ac:dyDescent="0.3">
      <c r="A934" s="1" t="s">
        <v>1804</v>
      </c>
      <c r="B934" s="1" t="s">
        <v>5903</v>
      </c>
      <c r="C934" s="1" t="s">
        <v>5904</v>
      </c>
      <c r="D934" s="1" t="s">
        <v>5905</v>
      </c>
      <c r="E934" s="1" t="s">
        <v>5906</v>
      </c>
      <c r="F934" s="1" t="s">
        <v>3576</v>
      </c>
      <c r="G934" s="1" t="s">
        <v>1936</v>
      </c>
      <c r="H934" s="1">
        <v>33169</v>
      </c>
      <c r="I934" t="s">
        <v>1946</v>
      </c>
    </row>
    <row r="935" spans="1:9" x14ac:dyDescent="0.3">
      <c r="A935" s="1" t="s">
        <v>1806</v>
      </c>
      <c r="B935" s="1" t="s">
        <v>5907</v>
      </c>
      <c r="C935" s="1"/>
      <c r="D935" s="1" t="s">
        <v>5908</v>
      </c>
      <c r="E935" s="1" t="s">
        <v>5909</v>
      </c>
      <c r="F935" s="1" t="s">
        <v>2357</v>
      </c>
      <c r="G935" s="1" t="s">
        <v>1936</v>
      </c>
      <c r="H935" s="1">
        <v>73129</v>
      </c>
      <c r="I935" t="s">
        <v>1937</v>
      </c>
    </row>
    <row r="936" spans="1:9" x14ac:dyDescent="0.3">
      <c r="A936" s="1" t="s">
        <v>1808</v>
      </c>
      <c r="B936" s="1" t="s">
        <v>5910</v>
      </c>
      <c r="C936" s="1" t="s">
        <v>5911</v>
      </c>
      <c r="D936" s="1" t="s">
        <v>5912</v>
      </c>
      <c r="E936" s="1" t="s">
        <v>5913</v>
      </c>
      <c r="F936" s="1" t="s">
        <v>5708</v>
      </c>
      <c r="G936" s="1" t="s">
        <v>1936</v>
      </c>
      <c r="H936" s="1">
        <v>61105</v>
      </c>
      <c r="I936" t="s">
        <v>1946</v>
      </c>
    </row>
    <row r="937" spans="1:9" x14ac:dyDescent="0.3">
      <c r="A937" s="1" t="s">
        <v>1810</v>
      </c>
      <c r="B937" s="1" t="s">
        <v>5914</v>
      </c>
      <c r="C937" s="1" t="s">
        <v>5915</v>
      </c>
      <c r="D937" s="1" t="s">
        <v>5916</v>
      </c>
      <c r="E937" s="1" t="s">
        <v>5917</v>
      </c>
      <c r="F937" s="1" t="s">
        <v>2739</v>
      </c>
      <c r="G937" s="1" t="s">
        <v>1936</v>
      </c>
      <c r="H937" s="1">
        <v>36177</v>
      </c>
      <c r="I937" t="s">
        <v>1937</v>
      </c>
    </row>
    <row r="938" spans="1:9" x14ac:dyDescent="0.3">
      <c r="A938" s="1" t="s">
        <v>1812</v>
      </c>
      <c r="B938" s="1" t="s">
        <v>5918</v>
      </c>
      <c r="C938" s="1" t="s">
        <v>5919</v>
      </c>
      <c r="D938" s="1" t="s">
        <v>5920</v>
      </c>
      <c r="E938" s="1" t="s">
        <v>5921</v>
      </c>
      <c r="F938" s="1" t="s">
        <v>2942</v>
      </c>
      <c r="G938" s="1" t="s">
        <v>1936</v>
      </c>
      <c r="H938" s="1">
        <v>91117</v>
      </c>
      <c r="I938" t="s">
        <v>1937</v>
      </c>
    </row>
    <row r="939" spans="1:9" x14ac:dyDescent="0.3">
      <c r="A939" s="1" t="s">
        <v>5922</v>
      </c>
      <c r="B939" s="1" t="s">
        <v>5923</v>
      </c>
      <c r="C939" s="1" t="s">
        <v>5924</v>
      </c>
      <c r="D939" s="1" t="s">
        <v>5925</v>
      </c>
      <c r="E939" s="1" t="s">
        <v>5926</v>
      </c>
      <c r="F939" s="1" t="s">
        <v>2247</v>
      </c>
      <c r="G939" s="1" t="s">
        <v>1936</v>
      </c>
      <c r="H939" s="1">
        <v>60624</v>
      </c>
      <c r="I939" t="s">
        <v>1946</v>
      </c>
    </row>
    <row r="940" spans="1:9" x14ac:dyDescent="0.3">
      <c r="A940" s="1" t="s">
        <v>1814</v>
      </c>
      <c r="B940" s="1" t="s">
        <v>5927</v>
      </c>
      <c r="C940" s="1" t="s">
        <v>5928</v>
      </c>
      <c r="D940" s="1" t="s">
        <v>5929</v>
      </c>
      <c r="E940" s="1" t="s">
        <v>5930</v>
      </c>
      <c r="F940" s="1" t="s">
        <v>2022</v>
      </c>
      <c r="G940" s="1" t="s">
        <v>1936</v>
      </c>
      <c r="H940" s="1">
        <v>77293</v>
      </c>
      <c r="I940" t="s">
        <v>1937</v>
      </c>
    </row>
    <row r="941" spans="1:9" x14ac:dyDescent="0.3">
      <c r="A941" s="1" t="s">
        <v>1816</v>
      </c>
      <c r="B941" s="1" t="s">
        <v>5931</v>
      </c>
      <c r="C941" s="1" t="s">
        <v>5932</v>
      </c>
      <c r="D941" s="1" t="s">
        <v>5933</v>
      </c>
      <c r="E941" s="1" t="s">
        <v>5934</v>
      </c>
      <c r="F941" s="1" t="s">
        <v>5935</v>
      </c>
      <c r="G941" s="1" t="s">
        <v>1936</v>
      </c>
      <c r="H941" s="1">
        <v>49444</v>
      </c>
      <c r="I941" t="s">
        <v>1946</v>
      </c>
    </row>
    <row r="942" spans="1:9" x14ac:dyDescent="0.3">
      <c r="A942" s="1" t="s">
        <v>1818</v>
      </c>
      <c r="B942" s="1" t="s">
        <v>5936</v>
      </c>
      <c r="C942" s="1" t="s">
        <v>5937</v>
      </c>
      <c r="D942" s="1" t="s">
        <v>5938</v>
      </c>
      <c r="E942" s="1" t="s">
        <v>5939</v>
      </c>
      <c r="F942" s="1" t="s">
        <v>2181</v>
      </c>
      <c r="G942" s="1" t="s">
        <v>1936</v>
      </c>
      <c r="H942" s="1">
        <v>20380</v>
      </c>
      <c r="I942" t="s">
        <v>1937</v>
      </c>
    </row>
    <row r="943" spans="1:9" x14ac:dyDescent="0.3">
      <c r="A943" s="1" t="s">
        <v>1820</v>
      </c>
      <c r="B943" s="1" t="s">
        <v>5940</v>
      </c>
      <c r="C943" s="1" t="s">
        <v>5941</v>
      </c>
      <c r="D943" s="1" t="s">
        <v>5942</v>
      </c>
      <c r="E943" s="1" t="s">
        <v>5943</v>
      </c>
      <c r="F943" s="1" t="s">
        <v>5944</v>
      </c>
      <c r="G943" s="1" t="s">
        <v>1944</v>
      </c>
      <c r="H943" s="1" t="s">
        <v>5945</v>
      </c>
      <c r="I943" t="s">
        <v>1937</v>
      </c>
    </row>
    <row r="944" spans="1:9" x14ac:dyDescent="0.3">
      <c r="A944" s="1" t="s">
        <v>1822</v>
      </c>
      <c r="B944" s="1" t="s">
        <v>5946</v>
      </c>
      <c r="C944" s="1" t="s">
        <v>5947</v>
      </c>
      <c r="D944" s="1" t="s">
        <v>5948</v>
      </c>
      <c r="E944" s="1" t="s">
        <v>5949</v>
      </c>
      <c r="F944" s="1" t="s">
        <v>2748</v>
      </c>
      <c r="G944" s="1" t="s">
        <v>1936</v>
      </c>
      <c r="H944" s="1">
        <v>31205</v>
      </c>
      <c r="I944" t="s">
        <v>1946</v>
      </c>
    </row>
    <row r="945" spans="1:9" x14ac:dyDescent="0.3">
      <c r="A945" s="1" t="s">
        <v>1824</v>
      </c>
      <c r="B945" s="1" t="s">
        <v>5950</v>
      </c>
      <c r="C945" s="1" t="s">
        <v>5951</v>
      </c>
      <c r="D945" s="1" t="s">
        <v>5952</v>
      </c>
      <c r="E945" s="1" t="s">
        <v>5953</v>
      </c>
      <c r="F945" s="1" t="s">
        <v>3519</v>
      </c>
      <c r="G945" s="1" t="s">
        <v>1936</v>
      </c>
      <c r="H945" s="1">
        <v>71105</v>
      </c>
      <c r="I945" t="s">
        <v>1946</v>
      </c>
    </row>
    <row r="946" spans="1:9" x14ac:dyDescent="0.3">
      <c r="A946" s="1" t="s">
        <v>1826</v>
      </c>
      <c r="B946" s="1" t="s">
        <v>5954</v>
      </c>
      <c r="C946" s="1" t="s">
        <v>5955</v>
      </c>
      <c r="D946" s="1" t="s">
        <v>5956</v>
      </c>
      <c r="E946" s="1" t="s">
        <v>5957</v>
      </c>
      <c r="F946" s="1" t="s">
        <v>3143</v>
      </c>
      <c r="G946" s="1" t="s">
        <v>1936</v>
      </c>
      <c r="H946" s="1">
        <v>98405</v>
      </c>
      <c r="I946" t="s">
        <v>1946</v>
      </c>
    </row>
    <row r="947" spans="1:9" x14ac:dyDescent="0.3">
      <c r="A947" s="1" t="s">
        <v>1828</v>
      </c>
      <c r="B947" s="1" t="s">
        <v>5958</v>
      </c>
      <c r="C947" s="1"/>
      <c r="D947" s="1" t="s">
        <v>5959</v>
      </c>
      <c r="E947" s="1" t="s">
        <v>5960</v>
      </c>
      <c r="F947" s="1" t="s">
        <v>2443</v>
      </c>
      <c r="G947" s="1" t="s">
        <v>1936</v>
      </c>
      <c r="H947" s="1">
        <v>79934</v>
      </c>
      <c r="I947" t="s">
        <v>1946</v>
      </c>
    </row>
    <row r="948" spans="1:9" x14ac:dyDescent="0.3">
      <c r="A948" s="1" t="s">
        <v>1830</v>
      </c>
      <c r="B948" s="1" t="s">
        <v>5961</v>
      </c>
      <c r="C948" s="1"/>
      <c r="D948" s="1" t="s">
        <v>5962</v>
      </c>
      <c r="E948" s="1" t="s">
        <v>5963</v>
      </c>
      <c r="F948" s="1" t="s">
        <v>2167</v>
      </c>
      <c r="G948" s="1" t="s">
        <v>1936</v>
      </c>
      <c r="H948" s="1">
        <v>35263</v>
      </c>
      <c r="I948" t="s">
        <v>1946</v>
      </c>
    </row>
    <row r="949" spans="1:9" x14ac:dyDescent="0.3">
      <c r="A949" s="1" t="s">
        <v>1832</v>
      </c>
      <c r="B949" s="1" t="s">
        <v>5964</v>
      </c>
      <c r="C949" s="1" t="s">
        <v>5965</v>
      </c>
      <c r="D949" s="1"/>
      <c r="E949" s="1" t="s">
        <v>5966</v>
      </c>
      <c r="F949" s="1" t="s">
        <v>2602</v>
      </c>
      <c r="G949" s="1" t="s">
        <v>1944</v>
      </c>
      <c r="H949" s="1" t="s">
        <v>2305</v>
      </c>
      <c r="I949" t="s">
        <v>1946</v>
      </c>
    </row>
    <row r="950" spans="1:9" x14ac:dyDescent="0.3">
      <c r="A950" s="1" t="s">
        <v>1834</v>
      </c>
      <c r="B950" s="1" t="s">
        <v>5967</v>
      </c>
      <c r="C950" s="1" t="s">
        <v>5968</v>
      </c>
      <c r="D950" s="1" t="s">
        <v>5969</v>
      </c>
      <c r="E950" s="1" t="s">
        <v>5970</v>
      </c>
      <c r="F950" s="1" t="s">
        <v>4480</v>
      </c>
      <c r="G950" s="1" t="s">
        <v>2111</v>
      </c>
      <c r="H950" s="1" t="s">
        <v>5971</v>
      </c>
      <c r="I950" t="s">
        <v>1937</v>
      </c>
    </row>
    <row r="951" spans="1:9" x14ac:dyDescent="0.3">
      <c r="A951" s="1" t="s">
        <v>1836</v>
      </c>
      <c r="B951" s="1" t="s">
        <v>5972</v>
      </c>
      <c r="C951" s="1" t="s">
        <v>5973</v>
      </c>
      <c r="D951" s="1" t="s">
        <v>5974</v>
      </c>
      <c r="E951" s="1" t="s">
        <v>5975</v>
      </c>
      <c r="F951" s="1" t="s">
        <v>5976</v>
      </c>
      <c r="G951" s="1" t="s">
        <v>1944</v>
      </c>
      <c r="H951" s="1" t="s">
        <v>5977</v>
      </c>
      <c r="I951" t="s">
        <v>1946</v>
      </c>
    </row>
    <row r="952" spans="1:9" x14ac:dyDescent="0.3">
      <c r="A952" s="1" t="s">
        <v>1838</v>
      </c>
      <c r="B952" s="1" t="s">
        <v>5978</v>
      </c>
      <c r="C952" s="1"/>
      <c r="D952" s="1" t="s">
        <v>5979</v>
      </c>
      <c r="E952" s="1" t="s">
        <v>5980</v>
      </c>
      <c r="F952" s="1" t="s">
        <v>5102</v>
      </c>
      <c r="G952" s="1" t="s">
        <v>1936</v>
      </c>
      <c r="H952" s="1">
        <v>19810</v>
      </c>
      <c r="I952" t="s">
        <v>1937</v>
      </c>
    </row>
    <row r="953" spans="1:9" x14ac:dyDescent="0.3">
      <c r="A953" s="1" t="s">
        <v>1840</v>
      </c>
      <c r="B953" s="1" t="s">
        <v>5981</v>
      </c>
      <c r="C953" s="1" t="s">
        <v>5982</v>
      </c>
      <c r="D953" s="1" t="s">
        <v>5983</v>
      </c>
      <c r="E953" s="1" t="s">
        <v>5984</v>
      </c>
      <c r="F953" s="1" t="s">
        <v>3657</v>
      </c>
      <c r="G953" s="1" t="s">
        <v>1936</v>
      </c>
      <c r="H953" s="1">
        <v>17121</v>
      </c>
      <c r="I953" t="s">
        <v>1946</v>
      </c>
    </row>
    <row r="954" spans="1:9" x14ac:dyDescent="0.3">
      <c r="A954" s="1" t="s">
        <v>1842</v>
      </c>
      <c r="B954" s="1" t="s">
        <v>5985</v>
      </c>
      <c r="C954" s="1" t="s">
        <v>5986</v>
      </c>
      <c r="D954" s="1" t="s">
        <v>5987</v>
      </c>
      <c r="E954" s="1" t="s">
        <v>5988</v>
      </c>
      <c r="F954" s="1" t="s">
        <v>5944</v>
      </c>
      <c r="G954" s="1" t="s">
        <v>1944</v>
      </c>
      <c r="H954" s="1" t="s">
        <v>5945</v>
      </c>
      <c r="I954" t="s">
        <v>1937</v>
      </c>
    </row>
    <row r="955" spans="1:9" x14ac:dyDescent="0.3">
      <c r="A955" s="1" t="s">
        <v>5989</v>
      </c>
      <c r="B955" s="1" t="s">
        <v>5990</v>
      </c>
      <c r="C955" s="1" t="s">
        <v>5991</v>
      </c>
      <c r="D955" s="1" t="s">
        <v>5992</v>
      </c>
      <c r="E955" s="1" t="s">
        <v>5993</v>
      </c>
      <c r="F955" s="1" t="s">
        <v>2443</v>
      </c>
      <c r="G955" s="1" t="s">
        <v>1936</v>
      </c>
      <c r="H955" s="1">
        <v>79940</v>
      </c>
      <c r="I955" t="s">
        <v>1937</v>
      </c>
    </row>
    <row r="956" spans="1:9" x14ac:dyDescent="0.3">
      <c r="A956" s="1" t="s">
        <v>5994</v>
      </c>
      <c r="B956" s="1" t="s">
        <v>5995</v>
      </c>
      <c r="C956" s="1" t="s">
        <v>5996</v>
      </c>
      <c r="D956" s="1" t="s">
        <v>5997</v>
      </c>
      <c r="E956" s="1" t="s">
        <v>5998</v>
      </c>
      <c r="F956" s="1" t="s">
        <v>2008</v>
      </c>
      <c r="G956" s="1" t="s">
        <v>1936</v>
      </c>
      <c r="H956" s="1">
        <v>63136</v>
      </c>
      <c r="I956" t="s">
        <v>1937</v>
      </c>
    </row>
    <row r="957" spans="1:9" x14ac:dyDescent="0.3">
      <c r="A957" s="1" t="s">
        <v>5999</v>
      </c>
      <c r="B957" s="1" t="s">
        <v>6000</v>
      </c>
      <c r="C957" s="1" t="s">
        <v>6001</v>
      </c>
      <c r="D957" s="1" t="s">
        <v>6002</v>
      </c>
      <c r="E957" s="1" t="s">
        <v>6003</v>
      </c>
      <c r="F957" s="1" t="s">
        <v>5023</v>
      </c>
      <c r="G957" s="1" t="s">
        <v>1936</v>
      </c>
      <c r="H957" s="1">
        <v>72905</v>
      </c>
      <c r="I957" t="s">
        <v>1937</v>
      </c>
    </row>
    <row r="958" spans="1:9" x14ac:dyDescent="0.3">
      <c r="A958" s="1" t="s">
        <v>6004</v>
      </c>
      <c r="B958" s="1" t="s">
        <v>6005</v>
      </c>
      <c r="C958" s="1" t="s">
        <v>6006</v>
      </c>
      <c r="D958" s="1" t="s">
        <v>6007</v>
      </c>
      <c r="E958" s="1" t="s">
        <v>6008</v>
      </c>
      <c r="F958" s="1" t="s">
        <v>2501</v>
      </c>
      <c r="G958" s="1" t="s">
        <v>1936</v>
      </c>
      <c r="H958" s="1">
        <v>37245</v>
      </c>
      <c r="I958" t="s">
        <v>1946</v>
      </c>
    </row>
    <row r="959" spans="1:9" x14ac:dyDescent="0.3">
      <c r="A959" s="1" t="s">
        <v>6009</v>
      </c>
      <c r="B959" s="1" t="s">
        <v>6010</v>
      </c>
      <c r="C959" s="1" t="s">
        <v>6011</v>
      </c>
      <c r="D959" s="1" t="s">
        <v>6012</v>
      </c>
      <c r="E959" s="1" t="s">
        <v>6013</v>
      </c>
      <c r="F959" s="1" t="s">
        <v>2181</v>
      </c>
      <c r="G959" s="1" t="s">
        <v>1936</v>
      </c>
      <c r="H959" s="1">
        <v>20088</v>
      </c>
      <c r="I959" t="s">
        <v>1937</v>
      </c>
    </row>
    <row r="960" spans="1:9" x14ac:dyDescent="0.3">
      <c r="A960" s="1" t="s">
        <v>6014</v>
      </c>
      <c r="B960" s="1" t="s">
        <v>6015</v>
      </c>
      <c r="C960" s="1" t="s">
        <v>6016</v>
      </c>
      <c r="D960" s="1"/>
      <c r="E960" s="1" t="s">
        <v>6017</v>
      </c>
      <c r="F960" s="1" t="s">
        <v>6018</v>
      </c>
      <c r="G960" s="1" t="s">
        <v>1936</v>
      </c>
      <c r="H960" s="1">
        <v>90305</v>
      </c>
      <c r="I960" t="s">
        <v>1937</v>
      </c>
    </row>
    <row r="961" spans="1:9" x14ac:dyDescent="0.3">
      <c r="A961" s="1" t="s">
        <v>1847</v>
      </c>
      <c r="B961" s="1" t="s">
        <v>6019</v>
      </c>
      <c r="C961" s="1" t="s">
        <v>6020</v>
      </c>
      <c r="D961" s="1"/>
      <c r="E961" s="1" t="s">
        <v>6021</v>
      </c>
      <c r="F961" s="1" t="s">
        <v>2122</v>
      </c>
      <c r="G961" s="1" t="s">
        <v>1936</v>
      </c>
      <c r="H961" s="1">
        <v>72215</v>
      </c>
      <c r="I961" t="s">
        <v>1937</v>
      </c>
    </row>
    <row r="962" spans="1:9" x14ac:dyDescent="0.3">
      <c r="A962" s="1" t="s">
        <v>1849</v>
      </c>
      <c r="B962" s="1" t="s">
        <v>6022</v>
      </c>
      <c r="C962" s="1" t="s">
        <v>6023</v>
      </c>
      <c r="D962" s="1" t="s">
        <v>6024</v>
      </c>
      <c r="E962" s="1" t="s">
        <v>6025</v>
      </c>
      <c r="F962" s="1" t="s">
        <v>3698</v>
      </c>
      <c r="G962" s="1" t="s">
        <v>1936</v>
      </c>
      <c r="H962" s="1">
        <v>21747</v>
      </c>
      <c r="I962" t="s">
        <v>1937</v>
      </c>
    </row>
    <row r="963" spans="1:9" x14ac:dyDescent="0.3">
      <c r="A963" s="1" t="s">
        <v>1851</v>
      </c>
      <c r="B963" s="1" t="s">
        <v>6026</v>
      </c>
      <c r="C963" s="1"/>
      <c r="D963" s="1" t="s">
        <v>6027</v>
      </c>
      <c r="E963" s="1" t="s">
        <v>6028</v>
      </c>
      <c r="F963" s="1" t="s">
        <v>2876</v>
      </c>
      <c r="G963" s="1" t="s">
        <v>1936</v>
      </c>
      <c r="H963" s="1">
        <v>12205</v>
      </c>
      <c r="I963" t="s">
        <v>1937</v>
      </c>
    </row>
    <row r="964" spans="1:9" x14ac:dyDescent="0.3">
      <c r="A964" s="1" t="s">
        <v>1853</v>
      </c>
      <c r="B964" s="1" t="s">
        <v>6029</v>
      </c>
      <c r="C964" s="1" t="s">
        <v>6030</v>
      </c>
      <c r="D964" s="1" t="s">
        <v>6031</v>
      </c>
      <c r="E964" s="1" t="s">
        <v>6032</v>
      </c>
      <c r="F964" s="1" t="s">
        <v>6033</v>
      </c>
      <c r="G964" s="1" t="s">
        <v>1944</v>
      </c>
      <c r="H964" s="1" t="s">
        <v>3189</v>
      </c>
      <c r="I964" t="s">
        <v>1937</v>
      </c>
    </row>
    <row r="965" spans="1:9" x14ac:dyDescent="0.3">
      <c r="A965" s="1" t="s">
        <v>1855</v>
      </c>
      <c r="B965" s="1" t="s">
        <v>6034</v>
      </c>
      <c r="C965" s="1" t="s">
        <v>6035</v>
      </c>
      <c r="D965" s="1" t="s">
        <v>6036</v>
      </c>
      <c r="E965" s="1" t="s">
        <v>6037</v>
      </c>
      <c r="F965" s="1" t="s">
        <v>3315</v>
      </c>
      <c r="G965" s="1" t="s">
        <v>1936</v>
      </c>
      <c r="H965" s="1">
        <v>40510</v>
      </c>
      <c r="I965" t="s">
        <v>1937</v>
      </c>
    </row>
    <row r="966" spans="1:9" x14ac:dyDescent="0.3">
      <c r="A966" s="1" t="s">
        <v>1857</v>
      </c>
      <c r="B966" s="1" t="s">
        <v>6038</v>
      </c>
      <c r="C966" s="1" t="s">
        <v>6039</v>
      </c>
      <c r="D966" s="1" t="s">
        <v>6040</v>
      </c>
      <c r="E966" s="1" t="s">
        <v>6041</v>
      </c>
      <c r="F966" s="1" t="s">
        <v>3780</v>
      </c>
      <c r="G966" s="1" t="s">
        <v>1936</v>
      </c>
      <c r="H966" s="1">
        <v>92165</v>
      </c>
      <c r="I966" t="s">
        <v>1946</v>
      </c>
    </row>
    <row r="967" spans="1:9" x14ac:dyDescent="0.3">
      <c r="A967" s="1" t="s">
        <v>1859</v>
      </c>
      <c r="B967" s="1" t="s">
        <v>6042</v>
      </c>
      <c r="C967" s="1" t="s">
        <v>6043</v>
      </c>
      <c r="D967" s="1"/>
      <c r="E967" s="1" t="s">
        <v>6044</v>
      </c>
      <c r="F967" s="1" t="s">
        <v>1981</v>
      </c>
      <c r="G967" s="1" t="s">
        <v>1936</v>
      </c>
      <c r="H967" s="1">
        <v>90040</v>
      </c>
      <c r="I967" t="s">
        <v>1937</v>
      </c>
    </row>
    <row r="968" spans="1:9" x14ac:dyDescent="0.3">
      <c r="A968" s="1" t="s">
        <v>1861</v>
      </c>
      <c r="B968" s="1" t="s">
        <v>6045</v>
      </c>
      <c r="C968" s="1" t="s">
        <v>6046</v>
      </c>
      <c r="D968" s="1" t="s">
        <v>6047</v>
      </c>
      <c r="E968" s="1" t="s">
        <v>6048</v>
      </c>
      <c r="F968" s="1" t="s">
        <v>2771</v>
      </c>
      <c r="G968" s="1" t="s">
        <v>1936</v>
      </c>
      <c r="H968" s="1">
        <v>11210</v>
      </c>
      <c r="I968" t="s">
        <v>1937</v>
      </c>
    </row>
    <row r="969" spans="1:9" x14ac:dyDescent="0.3">
      <c r="A969" s="1" t="s">
        <v>1863</v>
      </c>
      <c r="B969" s="1" t="s">
        <v>6049</v>
      </c>
      <c r="C969" s="1" t="s">
        <v>6050</v>
      </c>
      <c r="D969" s="1" t="s">
        <v>6051</v>
      </c>
      <c r="E969" s="1" t="s">
        <v>6052</v>
      </c>
      <c r="F969" s="1" t="s">
        <v>6053</v>
      </c>
      <c r="G969" s="1" t="s">
        <v>1944</v>
      </c>
      <c r="H969" s="1" t="s">
        <v>2078</v>
      </c>
      <c r="I969" t="s">
        <v>1937</v>
      </c>
    </row>
    <row r="970" spans="1:9" x14ac:dyDescent="0.3">
      <c r="A970" s="1" t="s">
        <v>1865</v>
      </c>
      <c r="B970" s="1" t="s">
        <v>6054</v>
      </c>
      <c r="C970" s="1" t="s">
        <v>6055</v>
      </c>
      <c r="D970" s="1" t="s">
        <v>6056</v>
      </c>
      <c r="E970" s="1" t="s">
        <v>6057</v>
      </c>
      <c r="F970" s="1" t="s">
        <v>6058</v>
      </c>
      <c r="G970" s="1" t="s">
        <v>1936</v>
      </c>
      <c r="H970" s="1">
        <v>32627</v>
      </c>
      <c r="I970" t="s">
        <v>1946</v>
      </c>
    </row>
    <row r="971" spans="1:9" x14ac:dyDescent="0.3">
      <c r="A971" s="1" t="s">
        <v>1867</v>
      </c>
      <c r="B971" s="1" t="s">
        <v>6059</v>
      </c>
      <c r="C971" s="1" t="s">
        <v>6060</v>
      </c>
      <c r="D971" s="1" t="s">
        <v>6061</v>
      </c>
      <c r="E971" s="1" t="s">
        <v>6062</v>
      </c>
      <c r="F971" s="1" t="s">
        <v>2708</v>
      </c>
      <c r="G971" s="1" t="s">
        <v>1936</v>
      </c>
      <c r="H971" s="1">
        <v>34620</v>
      </c>
      <c r="I971" t="s">
        <v>1937</v>
      </c>
    </row>
    <row r="972" spans="1:9" x14ac:dyDescent="0.3">
      <c r="A972" s="1" t="s">
        <v>1869</v>
      </c>
      <c r="B972" s="1" t="s">
        <v>6063</v>
      </c>
      <c r="C972" s="1"/>
      <c r="D972" s="1" t="s">
        <v>6064</v>
      </c>
      <c r="E972" s="1" t="s">
        <v>6065</v>
      </c>
      <c r="F972" s="1" t="s">
        <v>4407</v>
      </c>
      <c r="G972" s="1" t="s">
        <v>1936</v>
      </c>
      <c r="H972" s="1">
        <v>79165</v>
      </c>
      <c r="I972" t="s">
        <v>1946</v>
      </c>
    </row>
    <row r="973" spans="1:9" x14ac:dyDescent="0.3">
      <c r="A973" s="1" t="s">
        <v>1871</v>
      </c>
      <c r="B973" s="1" t="s">
        <v>6066</v>
      </c>
      <c r="C973" s="1" t="s">
        <v>6067</v>
      </c>
      <c r="D973" s="1" t="s">
        <v>6068</v>
      </c>
      <c r="E973" s="1" t="s">
        <v>6069</v>
      </c>
      <c r="F973" s="1" t="s">
        <v>2261</v>
      </c>
      <c r="G973" s="1" t="s">
        <v>1936</v>
      </c>
      <c r="H973" s="1">
        <v>76121</v>
      </c>
      <c r="I973" t="s">
        <v>1946</v>
      </c>
    </row>
    <row r="974" spans="1:9" x14ac:dyDescent="0.3">
      <c r="A974" s="1" t="s">
        <v>1873</v>
      </c>
      <c r="B974" s="1" t="s">
        <v>6070</v>
      </c>
      <c r="C974" s="1"/>
      <c r="D974" s="1" t="s">
        <v>6071</v>
      </c>
      <c r="E974" s="1" t="s">
        <v>6072</v>
      </c>
      <c r="F974" s="1" t="s">
        <v>5085</v>
      </c>
      <c r="G974" s="1" t="s">
        <v>1944</v>
      </c>
      <c r="H974" s="1" t="s">
        <v>5086</v>
      </c>
      <c r="I974" t="s">
        <v>1937</v>
      </c>
    </row>
    <row r="975" spans="1:9" x14ac:dyDescent="0.3">
      <c r="A975" s="1" t="s">
        <v>1875</v>
      </c>
      <c r="B975" s="1" t="s">
        <v>6073</v>
      </c>
      <c r="C975" s="1" t="s">
        <v>6074</v>
      </c>
      <c r="D975" s="1" t="s">
        <v>6075</v>
      </c>
      <c r="E975" s="1" t="s">
        <v>6076</v>
      </c>
      <c r="F975" s="1" t="s">
        <v>2220</v>
      </c>
      <c r="G975" s="1" t="s">
        <v>1936</v>
      </c>
      <c r="H975" s="1">
        <v>32575</v>
      </c>
      <c r="I975" t="s">
        <v>1946</v>
      </c>
    </row>
    <row r="976" spans="1:9" x14ac:dyDescent="0.3">
      <c r="A976" s="1" t="s">
        <v>1877</v>
      </c>
      <c r="B976" s="1" t="s">
        <v>6077</v>
      </c>
      <c r="C976" s="1" t="s">
        <v>6078</v>
      </c>
      <c r="D976" s="1" t="s">
        <v>6079</v>
      </c>
      <c r="E976" s="1" t="s">
        <v>6080</v>
      </c>
      <c r="F976" s="1" t="s">
        <v>3143</v>
      </c>
      <c r="G976" s="1" t="s">
        <v>1936</v>
      </c>
      <c r="H976" s="1">
        <v>98405</v>
      </c>
      <c r="I976" t="s">
        <v>1937</v>
      </c>
    </row>
    <row r="977" spans="1:9" x14ac:dyDescent="0.3">
      <c r="A977" s="1" t="s">
        <v>1879</v>
      </c>
      <c r="B977" s="1" t="s">
        <v>6081</v>
      </c>
      <c r="C977" s="1" t="s">
        <v>6082</v>
      </c>
      <c r="D977" s="1" t="s">
        <v>6083</v>
      </c>
      <c r="E977" s="1" t="s">
        <v>6084</v>
      </c>
      <c r="F977" s="1" t="s">
        <v>6085</v>
      </c>
      <c r="G977" s="1" t="s">
        <v>1944</v>
      </c>
      <c r="H977" s="1" t="s">
        <v>3178</v>
      </c>
      <c r="I977" t="s">
        <v>1937</v>
      </c>
    </row>
    <row r="978" spans="1:9" x14ac:dyDescent="0.3">
      <c r="A978" s="1" t="s">
        <v>1881</v>
      </c>
      <c r="B978" s="1" t="s">
        <v>6086</v>
      </c>
      <c r="C978" s="1" t="s">
        <v>6087</v>
      </c>
      <c r="D978" s="1" t="s">
        <v>6088</v>
      </c>
      <c r="E978" s="1" t="s">
        <v>6089</v>
      </c>
      <c r="F978" s="1" t="s">
        <v>2233</v>
      </c>
      <c r="G978" s="1" t="s">
        <v>1936</v>
      </c>
      <c r="H978" s="1">
        <v>46896</v>
      </c>
      <c r="I978" t="s">
        <v>1937</v>
      </c>
    </row>
    <row r="979" spans="1:9" x14ac:dyDescent="0.3">
      <c r="A979" s="1" t="s">
        <v>1883</v>
      </c>
      <c r="B979" s="1" t="s">
        <v>6090</v>
      </c>
      <c r="C979" s="1" t="s">
        <v>6091</v>
      </c>
      <c r="D979" s="1" t="s">
        <v>6092</v>
      </c>
      <c r="E979" s="1" t="s">
        <v>6093</v>
      </c>
      <c r="F979" s="1" t="s">
        <v>4407</v>
      </c>
      <c r="G979" s="1" t="s">
        <v>1936</v>
      </c>
      <c r="H979" s="1">
        <v>79105</v>
      </c>
      <c r="I979" t="s">
        <v>1946</v>
      </c>
    </row>
    <row r="980" spans="1:9" x14ac:dyDescent="0.3">
      <c r="A980" s="1" t="s">
        <v>6094</v>
      </c>
      <c r="B980" s="1" t="s">
        <v>6095</v>
      </c>
      <c r="C980" s="1" t="s">
        <v>6096</v>
      </c>
      <c r="D980" s="1" t="s">
        <v>6097</v>
      </c>
      <c r="E980" s="1" t="s">
        <v>6098</v>
      </c>
      <c r="F980" s="1" t="s">
        <v>2181</v>
      </c>
      <c r="G980" s="1" t="s">
        <v>1936</v>
      </c>
      <c r="H980" s="1">
        <v>20436</v>
      </c>
      <c r="I980" t="s">
        <v>1937</v>
      </c>
    </row>
    <row r="981" spans="1:9" x14ac:dyDescent="0.3">
      <c r="A981" s="1" t="s">
        <v>1886</v>
      </c>
      <c r="B981" s="1" t="s">
        <v>6099</v>
      </c>
      <c r="C981" s="1"/>
      <c r="D981" s="1" t="s">
        <v>6100</v>
      </c>
      <c r="E981" s="1" t="s">
        <v>6101</v>
      </c>
      <c r="F981" s="1" t="s">
        <v>6102</v>
      </c>
      <c r="G981" s="1" t="s">
        <v>1936</v>
      </c>
      <c r="H981" s="1">
        <v>20910</v>
      </c>
      <c r="I981" t="s">
        <v>1946</v>
      </c>
    </row>
    <row r="982" spans="1:9" x14ac:dyDescent="0.3">
      <c r="A982" s="1" t="s">
        <v>1888</v>
      </c>
      <c r="B982" s="1" t="s">
        <v>6103</v>
      </c>
      <c r="C982" s="1"/>
      <c r="D982" s="1" t="s">
        <v>6104</v>
      </c>
      <c r="E982" s="1" t="s">
        <v>6105</v>
      </c>
      <c r="F982" s="1" t="s">
        <v>3818</v>
      </c>
      <c r="G982" s="1" t="s">
        <v>1936</v>
      </c>
      <c r="H982" s="1">
        <v>53726</v>
      </c>
      <c r="I982" t="s">
        <v>1937</v>
      </c>
    </row>
    <row r="983" spans="1:9" x14ac:dyDescent="0.3">
      <c r="A983" s="1" t="s">
        <v>1890</v>
      </c>
      <c r="B983" s="1" t="s">
        <v>6106</v>
      </c>
      <c r="C983" s="1" t="s">
        <v>6107</v>
      </c>
      <c r="D983" s="1" t="s">
        <v>6108</v>
      </c>
      <c r="E983" s="1" t="s">
        <v>6109</v>
      </c>
      <c r="F983" s="1" t="s">
        <v>6110</v>
      </c>
      <c r="G983" s="1" t="s">
        <v>1936</v>
      </c>
      <c r="H983" s="1">
        <v>77305</v>
      </c>
      <c r="I983" t="s">
        <v>1937</v>
      </c>
    </row>
    <row r="984" spans="1:9" x14ac:dyDescent="0.3">
      <c r="A984" s="1" t="s">
        <v>1892</v>
      </c>
      <c r="B984" s="1" t="s">
        <v>6111</v>
      </c>
      <c r="C984" s="1" t="s">
        <v>6112</v>
      </c>
      <c r="D984" s="1" t="s">
        <v>6113</v>
      </c>
      <c r="E984" s="1" t="s">
        <v>6114</v>
      </c>
      <c r="F984" s="1" t="s">
        <v>3174</v>
      </c>
      <c r="G984" s="1" t="s">
        <v>1936</v>
      </c>
      <c r="H984" s="1">
        <v>76205</v>
      </c>
      <c r="I984" t="s">
        <v>1937</v>
      </c>
    </row>
    <row r="985" spans="1:9" x14ac:dyDescent="0.3">
      <c r="A985" s="1" t="s">
        <v>1894</v>
      </c>
      <c r="B985" s="1" t="s">
        <v>6115</v>
      </c>
      <c r="C985" s="1" t="s">
        <v>6116</v>
      </c>
      <c r="D985" s="1" t="s">
        <v>6117</v>
      </c>
      <c r="E985" s="1" t="s">
        <v>6118</v>
      </c>
      <c r="F985" s="1" t="s">
        <v>2282</v>
      </c>
      <c r="G985" s="1" t="s">
        <v>1936</v>
      </c>
      <c r="H985" s="1">
        <v>43231</v>
      </c>
      <c r="I985" t="s">
        <v>1937</v>
      </c>
    </row>
    <row r="986" spans="1:9" x14ac:dyDescent="0.3">
      <c r="A986" s="1" t="s">
        <v>1896</v>
      </c>
      <c r="B986" s="1" t="s">
        <v>6119</v>
      </c>
      <c r="C986" s="1" t="s">
        <v>6120</v>
      </c>
      <c r="D986" s="1"/>
      <c r="E986" s="1" t="s">
        <v>6121</v>
      </c>
      <c r="F986" s="1" t="s">
        <v>6122</v>
      </c>
      <c r="G986" s="1" t="s">
        <v>1944</v>
      </c>
      <c r="H986" s="1" t="s">
        <v>3258</v>
      </c>
      <c r="I986" t="s">
        <v>1937</v>
      </c>
    </row>
    <row r="987" spans="1:9" x14ac:dyDescent="0.3">
      <c r="A987" s="1" t="s">
        <v>1898</v>
      </c>
      <c r="B987" s="1" t="s">
        <v>6123</v>
      </c>
      <c r="C987" s="1" t="s">
        <v>6124</v>
      </c>
      <c r="D987" s="1" t="s">
        <v>6125</v>
      </c>
      <c r="E987" s="1" t="s">
        <v>6126</v>
      </c>
      <c r="F987" s="1" t="s">
        <v>2088</v>
      </c>
      <c r="G987" s="1" t="s">
        <v>1936</v>
      </c>
      <c r="H987" s="1">
        <v>80045</v>
      </c>
      <c r="I987" t="s">
        <v>1946</v>
      </c>
    </row>
    <row r="988" spans="1:9" x14ac:dyDescent="0.3">
      <c r="A988" s="1" t="s">
        <v>1900</v>
      </c>
      <c r="B988" s="1" t="s">
        <v>6127</v>
      </c>
      <c r="C988" s="1" t="s">
        <v>6128</v>
      </c>
      <c r="D988" s="1" t="s">
        <v>6129</v>
      </c>
      <c r="E988" s="1" t="s">
        <v>6130</v>
      </c>
      <c r="F988" s="1" t="s">
        <v>6131</v>
      </c>
      <c r="G988" s="1" t="s">
        <v>1936</v>
      </c>
      <c r="H988" s="1">
        <v>32128</v>
      </c>
      <c r="I988" t="s">
        <v>1946</v>
      </c>
    </row>
    <row r="989" spans="1:9" x14ac:dyDescent="0.3">
      <c r="A989" s="1" t="s">
        <v>1902</v>
      </c>
      <c r="B989" s="1" t="s">
        <v>6132</v>
      </c>
      <c r="C989" s="1" t="s">
        <v>6133</v>
      </c>
      <c r="D989" s="1" t="s">
        <v>6134</v>
      </c>
      <c r="E989" s="1" t="s">
        <v>6135</v>
      </c>
      <c r="F989" s="1" t="s">
        <v>4079</v>
      </c>
      <c r="G989" s="1" t="s">
        <v>2111</v>
      </c>
      <c r="H989" s="1" t="s">
        <v>2388</v>
      </c>
      <c r="I989" t="s">
        <v>1937</v>
      </c>
    </row>
    <row r="990" spans="1:9" x14ac:dyDescent="0.3">
      <c r="A990" s="1" t="s">
        <v>1904</v>
      </c>
      <c r="B990" s="1" t="s">
        <v>6136</v>
      </c>
      <c r="C990" s="1"/>
      <c r="D990" s="1" t="s">
        <v>6137</v>
      </c>
      <c r="E990" s="1" t="s">
        <v>6138</v>
      </c>
      <c r="F990" s="1" t="s">
        <v>6139</v>
      </c>
      <c r="G990" s="1" t="s">
        <v>2111</v>
      </c>
      <c r="H990" s="1" t="s">
        <v>6140</v>
      </c>
      <c r="I990" t="s">
        <v>1937</v>
      </c>
    </row>
    <row r="991" spans="1:9" x14ac:dyDescent="0.3">
      <c r="A991" s="1" t="s">
        <v>1906</v>
      </c>
      <c r="B991" s="1" t="s">
        <v>6141</v>
      </c>
      <c r="C991" s="1"/>
      <c r="D991" s="1" t="s">
        <v>6142</v>
      </c>
      <c r="E991" s="1" t="s">
        <v>6143</v>
      </c>
      <c r="F991" s="1" t="s">
        <v>2008</v>
      </c>
      <c r="G991" s="1" t="s">
        <v>1936</v>
      </c>
      <c r="H991" s="1">
        <v>63131</v>
      </c>
      <c r="I991" t="s">
        <v>1937</v>
      </c>
    </row>
    <row r="992" spans="1:9" x14ac:dyDescent="0.3">
      <c r="A992" s="1" t="s">
        <v>6144</v>
      </c>
      <c r="B992" s="1" t="s">
        <v>6145</v>
      </c>
      <c r="C992" s="1" t="s">
        <v>6146</v>
      </c>
      <c r="D992" s="1" t="s">
        <v>6147</v>
      </c>
      <c r="E992" s="1" t="s">
        <v>6148</v>
      </c>
      <c r="F992" s="1" t="s">
        <v>6149</v>
      </c>
      <c r="G992" s="1" t="s">
        <v>1936</v>
      </c>
      <c r="H992" s="1">
        <v>92056</v>
      </c>
      <c r="I992" t="s">
        <v>1946</v>
      </c>
    </row>
    <row r="993" spans="1:9" x14ac:dyDescent="0.3">
      <c r="A993" s="1" t="s">
        <v>6150</v>
      </c>
      <c r="B993" s="1" t="s">
        <v>6151</v>
      </c>
      <c r="C993" s="1"/>
      <c r="D993" s="1" t="s">
        <v>6152</v>
      </c>
      <c r="E993" s="1" t="s">
        <v>6153</v>
      </c>
      <c r="F993" s="1" t="s">
        <v>2673</v>
      </c>
      <c r="G993" s="1" t="s">
        <v>1936</v>
      </c>
      <c r="H993" s="1">
        <v>37416</v>
      </c>
      <c r="I993" t="s">
        <v>1937</v>
      </c>
    </row>
    <row r="994" spans="1:9" x14ac:dyDescent="0.3">
      <c r="A994" s="1" t="s">
        <v>1910</v>
      </c>
      <c r="B994" s="1" t="s">
        <v>6154</v>
      </c>
      <c r="C994" s="1"/>
      <c r="D994" s="1" t="s">
        <v>6155</v>
      </c>
      <c r="E994" s="1" t="s">
        <v>6156</v>
      </c>
      <c r="F994" s="1" t="s">
        <v>3962</v>
      </c>
      <c r="G994" s="1" t="s">
        <v>1944</v>
      </c>
      <c r="H994" s="1" t="s">
        <v>2766</v>
      </c>
      <c r="I994" t="s">
        <v>1946</v>
      </c>
    </row>
    <row r="995" spans="1:9" x14ac:dyDescent="0.3">
      <c r="A995" s="1" t="s">
        <v>1912</v>
      </c>
      <c r="B995" s="1" t="s">
        <v>6157</v>
      </c>
      <c r="C995" s="1"/>
      <c r="D995" s="1" t="s">
        <v>6158</v>
      </c>
      <c r="E995" s="1" t="s">
        <v>6159</v>
      </c>
      <c r="F995" s="1" t="s">
        <v>2012</v>
      </c>
      <c r="G995" s="1" t="s">
        <v>1936</v>
      </c>
      <c r="H995" s="1">
        <v>19125</v>
      </c>
      <c r="I995" t="s">
        <v>1946</v>
      </c>
    </row>
    <row r="996" spans="1:9" x14ac:dyDescent="0.3">
      <c r="A996" s="1" t="s">
        <v>1914</v>
      </c>
      <c r="B996" s="1" t="s">
        <v>6160</v>
      </c>
      <c r="C996" s="1"/>
      <c r="D996" s="1" t="s">
        <v>6161</v>
      </c>
      <c r="E996" s="1" t="s">
        <v>6162</v>
      </c>
      <c r="F996" s="1" t="s">
        <v>3907</v>
      </c>
      <c r="G996" s="1" t="s">
        <v>1944</v>
      </c>
      <c r="H996" s="1" t="s">
        <v>3908</v>
      </c>
      <c r="I996" t="s">
        <v>1946</v>
      </c>
    </row>
    <row r="997" spans="1:9" x14ac:dyDescent="0.3">
      <c r="A997" s="1" t="s">
        <v>1916</v>
      </c>
      <c r="B997" s="1" t="s">
        <v>6163</v>
      </c>
      <c r="C997" s="1" t="s">
        <v>6164</v>
      </c>
      <c r="D997" s="1" t="s">
        <v>6165</v>
      </c>
      <c r="E997" s="1" t="s">
        <v>6166</v>
      </c>
      <c r="F997" s="1" t="s">
        <v>2320</v>
      </c>
      <c r="G997" s="1" t="s">
        <v>1936</v>
      </c>
      <c r="H997" s="1">
        <v>75210</v>
      </c>
      <c r="I997" t="s">
        <v>1946</v>
      </c>
    </row>
    <row r="998" spans="1:9" x14ac:dyDescent="0.3">
      <c r="A998" s="1" t="s">
        <v>1908</v>
      </c>
      <c r="B998" s="1" t="s">
        <v>6167</v>
      </c>
      <c r="C998" s="1"/>
      <c r="D998" s="1" t="s">
        <v>6168</v>
      </c>
      <c r="E998" s="1" t="s">
        <v>6169</v>
      </c>
      <c r="F998" s="1" t="s">
        <v>5023</v>
      </c>
      <c r="G998" s="1" t="s">
        <v>1936</v>
      </c>
      <c r="H998" s="1">
        <v>72905</v>
      </c>
      <c r="I998" t="s">
        <v>1946</v>
      </c>
    </row>
    <row r="999" spans="1:9" x14ac:dyDescent="0.3">
      <c r="A999" s="1" t="s">
        <v>6170</v>
      </c>
      <c r="B999" s="1" t="s">
        <v>6171</v>
      </c>
      <c r="C999" s="1"/>
      <c r="D999" s="1" t="s">
        <v>6172</v>
      </c>
      <c r="E999" s="1" t="s">
        <v>6173</v>
      </c>
      <c r="F999" s="1" t="s">
        <v>2335</v>
      </c>
      <c r="G999" s="1" t="s">
        <v>1936</v>
      </c>
      <c r="H999" s="1">
        <v>80920</v>
      </c>
      <c r="I999" t="s">
        <v>1937</v>
      </c>
    </row>
    <row r="1000" spans="1:9" x14ac:dyDescent="0.3">
      <c r="A1000" s="1" t="s">
        <v>1920</v>
      </c>
      <c r="B1000" s="1" t="s">
        <v>6174</v>
      </c>
      <c r="C1000" s="1" t="s">
        <v>6175</v>
      </c>
      <c r="D1000" s="1" t="s">
        <v>6176</v>
      </c>
      <c r="E1000" s="1" t="s">
        <v>6177</v>
      </c>
      <c r="F1000" s="1" t="s">
        <v>2753</v>
      </c>
      <c r="G1000" s="1" t="s">
        <v>1936</v>
      </c>
      <c r="H1000" s="1">
        <v>90610</v>
      </c>
      <c r="I1000" t="s">
        <v>1946</v>
      </c>
    </row>
    <row r="1001" spans="1:9" x14ac:dyDescent="0.3">
      <c r="A1001" s="1" t="s">
        <v>1922</v>
      </c>
      <c r="B1001" s="1" t="s">
        <v>6178</v>
      </c>
      <c r="C1001" s="1"/>
      <c r="D1001" s="1" t="s">
        <v>6179</v>
      </c>
      <c r="E1001" s="1" t="s">
        <v>6180</v>
      </c>
      <c r="F1001" s="1" t="s">
        <v>4480</v>
      </c>
      <c r="G1001" s="1" t="s">
        <v>2111</v>
      </c>
      <c r="H1001" s="1" t="s">
        <v>6181</v>
      </c>
      <c r="I1001" t="s">
        <v>1937</v>
      </c>
    </row>
  </sheetData>
  <autoFilter ref="A1:I1" xr:uid="{07E48EAE-70D4-4835-8AC1-30E8D9CC8DB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D229B-CC65-426A-A439-34C701D80B1D}">
  <dimension ref="A1:S1001"/>
  <sheetViews>
    <sheetView workbookViewId="0">
      <selection activeCell="S15" sqref="S15"/>
    </sheetView>
  </sheetViews>
  <sheetFormatPr defaultRowHeight="14.4" x14ac:dyDescent="0.3"/>
  <cols>
    <col min="1" max="1" width="15.21875" bestFit="1" customWidth="1"/>
    <col min="2" max="2" width="12.21875" bestFit="1" customWidth="1"/>
    <col min="3" max="3" width="16" bestFit="1" customWidth="1"/>
    <col min="4" max="4" width="9.88671875" bestFit="1" customWidth="1"/>
    <col min="5" max="5" width="8.33203125" bestFit="1" customWidth="1"/>
    <col min="6" max="6" width="21.77734375" bestFit="1" customWidth="1"/>
    <col min="7" max="7" width="35.5546875" bestFit="1" customWidth="1"/>
    <col min="8" max="8" width="14" bestFit="1" customWidth="1"/>
    <col min="9" max="9" width="10.5546875" bestFit="1" customWidth="1"/>
    <col min="10" max="10" width="9.6640625" bestFit="1" customWidth="1"/>
    <col min="13" max="13" width="16.21875" bestFit="1" customWidth="1"/>
    <col min="14" max="14" width="16.33203125" bestFit="1" customWidth="1"/>
    <col min="15" max="15" width="14.44140625" bestFit="1" customWidth="1"/>
    <col min="16" max="16" width="11.5546875" bestFit="1" customWidth="1"/>
  </cols>
  <sheetData>
    <row r="1" spans="1:19" x14ac:dyDescent="0.3">
      <c r="A1" s="5" t="s">
        <v>0</v>
      </c>
      <c r="B1" s="5" t="s">
        <v>1</v>
      </c>
      <c r="C1" s="5" t="s">
        <v>2</v>
      </c>
      <c r="D1" s="5" t="s">
        <v>3</v>
      </c>
      <c r="E1" s="5" t="s">
        <v>4</v>
      </c>
      <c r="F1" s="5" t="s">
        <v>6195</v>
      </c>
      <c r="G1" s="5" t="s">
        <v>6196</v>
      </c>
      <c r="H1" s="5" t="s">
        <v>6197</v>
      </c>
      <c r="I1" s="5" t="s">
        <v>6198</v>
      </c>
      <c r="J1" s="5" t="s">
        <v>6199</v>
      </c>
      <c r="K1" s="5" t="s">
        <v>6200</v>
      </c>
      <c r="L1" s="5" t="s">
        <v>6185</v>
      </c>
      <c r="M1" s="5" t="s">
        <v>6201</v>
      </c>
      <c r="N1" s="5" t="s">
        <v>6202</v>
      </c>
      <c r="O1" s="5" t="s">
        <v>6203</v>
      </c>
      <c r="P1" s="5" t="s">
        <v>6204</v>
      </c>
    </row>
    <row r="2" spans="1:19" x14ac:dyDescent="0.3">
      <c r="A2" t="s">
        <v>5</v>
      </c>
      <c r="B2" s="11">
        <v>43713</v>
      </c>
      <c r="C2" t="s">
        <v>6</v>
      </c>
      <c r="D2" t="s">
        <v>7</v>
      </c>
      <c r="E2">
        <v>2</v>
      </c>
      <c r="F2" t="str">
        <f>_xlfn.XLOOKUP(C2,Customers!$A$2:$A$1001,Customers!$B$2:$B$1001)</f>
        <v>Aloisia Allner</v>
      </c>
      <c r="G2" t="str">
        <f>_xlfn.XLOOKUP(C2,Customers!$A$2:$A$1001,Customers!$C$2:$C$1001)</f>
        <v>aallner0@lulu.com</v>
      </c>
      <c r="H2" t="str">
        <f>_xlfn.XLOOKUP(C2,Customers!$A$2:$A$1001,Customers!$G$2:$G$1001)</f>
        <v>United States</v>
      </c>
      <c r="I2" t="str" cm="1">
        <f t="array" ref="I2:L2">_xlfn.XLOOKUP(D2,products!$A$2:$A$49,products!$B$2:$E$49)</f>
        <v>Rob</v>
      </c>
      <c r="J2" t="str">
        <v>M</v>
      </c>
      <c r="K2" s="8">
        <v>1</v>
      </c>
      <c r="L2" s="6">
        <v>9.9499999999999993</v>
      </c>
      <c r="M2" s="7">
        <f>E2*L2</f>
        <v>19.899999999999999</v>
      </c>
      <c r="N2" t="str">
        <f>IF(I2="rob","Robusta",IF(I2="Exc","Excelsa",IF(I2="Ara","Arasbica",IF(I2="Lib","Liberica"))))</f>
        <v>Robusta</v>
      </c>
      <c r="O2" t="str">
        <f>IF(J2="M","Medium",IF(J2="L","Lite",IF(J2="D","Dark")))</f>
        <v>Medium</v>
      </c>
      <c r="P2" t="str">
        <f>_xlfn.XLOOKUP(Orders!C2,Customers!$A$2:$A$1001,Customers!$I$2:$I$1001)</f>
        <v>Yes</v>
      </c>
    </row>
    <row r="3" spans="1:19" x14ac:dyDescent="0.3">
      <c r="A3" t="s">
        <v>5</v>
      </c>
      <c r="B3" s="11">
        <v>43713</v>
      </c>
      <c r="C3" t="s">
        <v>6</v>
      </c>
      <c r="D3" t="s">
        <v>8</v>
      </c>
      <c r="E3">
        <v>5</v>
      </c>
      <c r="F3" t="str">
        <f>_xlfn.XLOOKUP(C3,Customers!$A$2:$A$1001,Customers!$B$2:$B$1001)</f>
        <v>Aloisia Allner</v>
      </c>
      <c r="G3" t="str">
        <f>_xlfn.XLOOKUP(C3,Customers!$A$2:$A$1001,Customers!$C$2:$C$1001)</f>
        <v>aallner0@lulu.com</v>
      </c>
      <c r="H3" t="str">
        <f>_xlfn.XLOOKUP(C3,Customers!$A$2:$A$1001,Customers!$G$2:$G$1001)</f>
        <v>United States</v>
      </c>
      <c r="I3" t="str" cm="1">
        <f t="array" ref="I3:L3">_xlfn.XLOOKUP(D3,products!$A$2:$A$49,products!$B$2:$E$49)</f>
        <v>Exc</v>
      </c>
      <c r="J3" t="str">
        <v>M</v>
      </c>
      <c r="K3" s="8">
        <v>0.5</v>
      </c>
      <c r="L3" s="6">
        <v>8.25</v>
      </c>
      <c r="M3" s="7">
        <f t="shared" ref="M3:M66" si="0">E3*L3</f>
        <v>41.25</v>
      </c>
      <c r="N3" t="str">
        <f t="shared" ref="N3:N66" si="1">IF(I3="rob","Robusta",IF(I3="Exc","Excelsa",IF(I3="Ara","Arasbica",IF(I3="Lib","Liberica"))))</f>
        <v>Excelsa</v>
      </c>
      <c r="O3" t="str">
        <f t="shared" ref="O3:O66" si="2">IF(J3="M","Medium",IF(J3="L","Lite",IF(J3="D","Dark")))</f>
        <v>Medium</v>
      </c>
      <c r="P3" t="str">
        <f>_xlfn.XLOOKUP(Orders!C3,Customers!$A$2:$A$1001,Customers!$I$2:$I$1001)</f>
        <v>Yes</v>
      </c>
    </row>
    <row r="4" spans="1:19" x14ac:dyDescent="0.3">
      <c r="A4" t="s">
        <v>9</v>
      </c>
      <c r="B4" s="11">
        <v>44364</v>
      </c>
      <c r="C4" t="s">
        <v>10</v>
      </c>
      <c r="D4" t="s">
        <v>11</v>
      </c>
      <c r="E4">
        <v>1</v>
      </c>
      <c r="F4" t="str">
        <f>_xlfn.XLOOKUP(C4,Customers!$A$2:$A$1001,Customers!$B$2:$B$1001)</f>
        <v>Jami Redholes</v>
      </c>
      <c r="G4" t="str">
        <f>_xlfn.XLOOKUP(C4,Customers!$A$2:$A$1001,Customers!$C$2:$C$1001)</f>
        <v>jredholes2@tmall.com</v>
      </c>
      <c r="H4" t="str">
        <f>_xlfn.XLOOKUP(C4,Customers!$A$2:$A$1001,Customers!$G$2:$G$1001)</f>
        <v>United States</v>
      </c>
      <c r="I4" t="str" cm="1">
        <f t="array" ref="I4:L4">_xlfn.XLOOKUP(D4,products!$A$2:$A$49,products!$B$2:$E$49)</f>
        <v>Ara</v>
      </c>
      <c r="J4" t="str">
        <v>L</v>
      </c>
      <c r="K4" s="8">
        <v>1</v>
      </c>
      <c r="L4" s="6">
        <v>12.95</v>
      </c>
      <c r="M4" s="7">
        <f t="shared" si="0"/>
        <v>12.95</v>
      </c>
      <c r="N4" t="str">
        <f t="shared" si="1"/>
        <v>Arasbica</v>
      </c>
      <c r="O4" t="str">
        <f t="shared" si="2"/>
        <v>Lite</v>
      </c>
      <c r="P4" t="str">
        <f>_xlfn.XLOOKUP(Orders!C4,Customers!$A$2:$A$1001,Customers!$I$2:$I$1001)</f>
        <v>Yes</v>
      </c>
      <c r="R4" t="s">
        <v>6220</v>
      </c>
    </row>
    <row r="5" spans="1:19" x14ac:dyDescent="0.3">
      <c r="A5" t="s">
        <v>12</v>
      </c>
      <c r="B5" s="11">
        <v>44392</v>
      </c>
      <c r="C5" t="s">
        <v>13</v>
      </c>
      <c r="D5" t="s">
        <v>14</v>
      </c>
      <c r="E5">
        <v>2</v>
      </c>
      <c r="F5" t="str">
        <f>_xlfn.XLOOKUP(C5,Customers!$A$2:$A$1001,Customers!$B$2:$B$1001)</f>
        <v>Christoffer O' Shea</v>
      </c>
      <c r="G5">
        <f>_xlfn.XLOOKUP(C5,Customers!$A$2:$A$1001,Customers!$C$2:$C$1001)</f>
        <v>0</v>
      </c>
      <c r="H5" t="str">
        <f>_xlfn.XLOOKUP(C5,Customers!$A$2:$A$1001,Customers!$G$2:$G$1001)</f>
        <v>Ireland</v>
      </c>
      <c r="I5" t="str" cm="1">
        <f t="array" ref="I5:L5">_xlfn.XLOOKUP(D5,products!$A$2:$A$49,products!$B$2:$E$49)</f>
        <v>Exc</v>
      </c>
      <c r="J5" t="str">
        <v>M</v>
      </c>
      <c r="K5" s="8">
        <v>1</v>
      </c>
      <c r="L5" s="6">
        <v>13.75</v>
      </c>
      <c r="M5" s="7">
        <f t="shared" si="0"/>
        <v>27.5</v>
      </c>
      <c r="N5" t="str">
        <f t="shared" si="1"/>
        <v>Excelsa</v>
      </c>
      <c r="O5" t="str">
        <f t="shared" si="2"/>
        <v>Medium</v>
      </c>
      <c r="P5" t="str">
        <f>_xlfn.XLOOKUP(Orders!C5,Customers!$A$2:$A$1001,Customers!$I$2:$I$1001)</f>
        <v>No</v>
      </c>
      <c r="S5">
        <f>COUNTIF(Customers!I2:I1001,"Yes")</f>
        <v>487</v>
      </c>
    </row>
    <row r="6" spans="1:19" x14ac:dyDescent="0.3">
      <c r="A6" t="s">
        <v>12</v>
      </c>
      <c r="B6" s="11">
        <v>44392</v>
      </c>
      <c r="C6" t="s">
        <v>13</v>
      </c>
      <c r="D6" t="s">
        <v>15</v>
      </c>
      <c r="E6">
        <v>2</v>
      </c>
      <c r="F6" t="str">
        <f>_xlfn.XLOOKUP(C6,Customers!$A$2:$A$1001,Customers!$B$2:$B$1001)</f>
        <v>Christoffer O' Shea</v>
      </c>
      <c r="G6">
        <f>_xlfn.XLOOKUP(C6,Customers!$A$2:$A$1001,Customers!$C$2:$C$1001)</f>
        <v>0</v>
      </c>
      <c r="H6" t="str">
        <f>_xlfn.XLOOKUP(C6,Customers!$A$2:$A$1001,Customers!$G$2:$G$1001)</f>
        <v>Ireland</v>
      </c>
      <c r="I6" t="str" cm="1">
        <f t="array" ref="I6:L6">_xlfn.XLOOKUP(D6,products!$A$2:$A$49,products!$B$2:$E$49)</f>
        <v>Rob</v>
      </c>
      <c r="J6" t="str">
        <v>L</v>
      </c>
      <c r="K6" s="8">
        <v>2.5</v>
      </c>
      <c r="L6" s="6">
        <v>27.484999999999996</v>
      </c>
      <c r="M6" s="7">
        <f t="shared" si="0"/>
        <v>54.969999999999992</v>
      </c>
      <c r="N6" t="str">
        <f t="shared" si="1"/>
        <v>Robusta</v>
      </c>
      <c r="O6" t="str">
        <f t="shared" si="2"/>
        <v>Lite</v>
      </c>
      <c r="P6" t="str">
        <f>_xlfn.XLOOKUP(Orders!C6,Customers!$A$2:$A$1001,Customers!$I$2:$I$1001)</f>
        <v>No</v>
      </c>
    </row>
    <row r="7" spans="1:19" x14ac:dyDescent="0.3">
      <c r="A7" t="s">
        <v>16</v>
      </c>
      <c r="B7" s="11">
        <v>44412</v>
      </c>
      <c r="C7" t="s">
        <v>17</v>
      </c>
      <c r="D7" t="s">
        <v>18</v>
      </c>
      <c r="E7">
        <v>3</v>
      </c>
      <c r="F7" t="str">
        <f>_xlfn.XLOOKUP(C7,Customers!$A$2:$A$1001,Customers!$B$2:$B$1001)</f>
        <v>Beryle Cottier</v>
      </c>
      <c r="G7">
        <f>_xlfn.XLOOKUP(C7,Customers!$A$2:$A$1001,Customers!$C$2:$C$1001)</f>
        <v>0</v>
      </c>
      <c r="H7" t="str">
        <f>_xlfn.XLOOKUP(C7,Customers!$A$2:$A$1001,Customers!$G$2:$G$1001)</f>
        <v>United States</v>
      </c>
      <c r="I7" t="str" cm="1">
        <f t="array" ref="I7:L7">_xlfn.XLOOKUP(D7,products!$A$2:$A$49,products!$B$2:$E$49)</f>
        <v>Lib</v>
      </c>
      <c r="J7" t="str">
        <v>D</v>
      </c>
      <c r="K7" s="8">
        <v>1</v>
      </c>
      <c r="L7" s="6">
        <v>12.95</v>
      </c>
      <c r="M7" s="7">
        <f t="shared" si="0"/>
        <v>38.849999999999994</v>
      </c>
      <c r="N7" t="str">
        <f t="shared" si="1"/>
        <v>Liberica</v>
      </c>
      <c r="O7" t="str">
        <f t="shared" si="2"/>
        <v>Dark</v>
      </c>
      <c r="P7" t="str">
        <f>_xlfn.XLOOKUP(Orders!C7,Customers!$A$2:$A$1001,Customers!$I$2:$I$1001)</f>
        <v>No</v>
      </c>
      <c r="R7" t="s">
        <v>6223</v>
      </c>
    </row>
    <row r="8" spans="1:19" x14ac:dyDescent="0.3">
      <c r="A8" t="s">
        <v>19</v>
      </c>
      <c r="B8" s="11">
        <v>44582</v>
      </c>
      <c r="C8" t="s">
        <v>20</v>
      </c>
      <c r="D8" t="s">
        <v>21</v>
      </c>
      <c r="E8">
        <v>3</v>
      </c>
      <c r="F8" t="str">
        <f>_xlfn.XLOOKUP(C8,Customers!$A$2:$A$1001,Customers!$B$2:$B$1001)</f>
        <v>Shaylynn Lobe</v>
      </c>
      <c r="G8" t="str">
        <f>_xlfn.XLOOKUP(C8,Customers!$A$2:$A$1001,Customers!$C$2:$C$1001)</f>
        <v>slobe6@nifty.com</v>
      </c>
      <c r="H8" t="str">
        <f>_xlfn.XLOOKUP(C8,Customers!$A$2:$A$1001,Customers!$G$2:$G$1001)</f>
        <v>United States</v>
      </c>
      <c r="I8" t="str" cm="1">
        <f t="array" ref="I8:L8">_xlfn.XLOOKUP(D8,products!$A$2:$A$49,products!$B$2:$E$49)</f>
        <v>Exc</v>
      </c>
      <c r="J8" t="str">
        <v>D</v>
      </c>
      <c r="K8" s="8">
        <v>0.5</v>
      </c>
      <c r="L8" s="6">
        <v>7.29</v>
      </c>
      <c r="M8" s="7">
        <f t="shared" si="0"/>
        <v>21.87</v>
      </c>
      <c r="N8" t="str">
        <f t="shared" si="1"/>
        <v>Excelsa</v>
      </c>
      <c r="O8" t="str">
        <f t="shared" si="2"/>
        <v>Dark</v>
      </c>
      <c r="P8" t="str">
        <f>_xlfn.XLOOKUP(Orders!C8,Customers!$A$2:$A$1001,Customers!$I$2:$I$1001)</f>
        <v>Yes</v>
      </c>
      <c r="S8" t="str" cm="1">
        <f t="array" ref="S8">INDEX(Orders!N2:N1001,MATCH(MAX(SUMIF(Orders!E2:E1001,Orders!N2:N1001,Orders!N1:N1001)),SUMIF(Orders!E2:E1001,Orders!N2:N1001,Orders!N1:N1001),0))</f>
        <v>Robusta</v>
      </c>
    </row>
    <row r="9" spans="1:19" x14ac:dyDescent="0.3">
      <c r="A9" t="s">
        <v>22</v>
      </c>
      <c r="B9" s="11">
        <v>44701</v>
      </c>
      <c r="C9" t="s">
        <v>23</v>
      </c>
      <c r="D9" t="s">
        <v>24</v>
      </c>
      <c r="E9">
        <v>1</v>
      </c>
      <c r="F9" t="str">
        <f>_xlfn.XLOOKUP(C9,Customers!$A$2:$A$1001,Customers!$B$2:$B$1001)</f>
        <v>Melvin Wharfe</v>
      </c>
      <c r="G9">
        <f>_xlfn.XLOOKUP(C9,Customers!$A$2:$A$1001,Customers!$C$2:$C$1001)</f>
        <v>0</v>
      </c>
      <c r="H9" t="str">
        <f>_xlfn.XLOOKUP(C9,Customers!$A$2:$A$1001,Customers!$G$2:$G$1001)</f>
        <v>Ireland</v>
      </c>
      <c r="I9" t="str" cm="1">
        <f t="array" ref="I9:L9">_xlfn.XLOOKUP(D9,products!$A$2:$A$49,products!$B$2:$E$49)</f>
        <v>Lib</v>
      </c>
      <c r="J9" t="str">
        <v>L</v>
      </c>
      <c r="K9" s="8">
        <v>0.2</v>
      </c>
      <c r="L9" s="6">
        <v>4.7549999999999999</v>
      </c>
      <c r="M9" s="7">
        <f t="shared" si="0"/>
        <v>4.7549999999999999</v>
      </c>
      <c r="N9" t="str">
        <f t="shared" si="1"/>
        <v>Liberica</v>
      </c>
      <c r="O9" t="str">
        <f t="shared" si="2"/>
        <v>Lite</v>
      </c>
      <c r="P9" t="str">
        <f>_xlfn.XLOOKUP(Orders!C9,Customers!$A$2:$A$1001,Customers!$I$2:$I$1001)</f>
        <v>Yes</v>
      </c>
    </row>
    <row r="10" spans="1:19" x14ac:dyDescent="0.3">
      <c r="A10" t="s">
        <v>25</v>
      </c>
      <c r="B10" s="11">
        <v>43467</v>
      </c>
      <c r="C10" t="s">
        <v>26</v>
      </c>
      <c r="D10" t="s">
        <v>27</v>
      </c>
      <c r="E10">
        <v>3</v>
      </c>
      <c r="F10" t="str">
        <f>_xlfn.XLOOKUP(C10,Customers!$A$2:$A$1001,Customers!$B$2:$B$1001)</f>
        <v>Guthrey Petracci</v>
      </c>
      <c r="G10" t="str">
        <f>_xlfn.XLOOKUP(C10,Customers!$A$2:$A$1001,Customers!$C$2:$C$1001)</f>
        <v>gpetracci8@livejournal.com</v>
      </c>
      <c r="H10" t="str">
        <f>_xlfn.XLOOKUP(C10,Customers!$A$2:$A$1001,Customers!$G$2:$G$1001)</f>
        <v>United States</v>
      </c>
      <c r="I10" t="str" cm="1">
        <f t="array" ref="I10:L10">_xlfn.XLOOKUP(D10,products!$A$2:$A$49,products!$B$2:$E$49)</f>
        <v>Rob</v>
      </c>
      <c r="J10" t="str">
        <v>M</v>
      </c>
      <c r="K10" s="8">
        <v>0.5</v>
      </c>
      <c r="L10" s="6">
        <v>5.97</v>
      </c>
      <c r="M10" s="7">
        <f t="shared" si="0"/>
        <v>17.91</v>
      </c>
      <c r="N10" t="str">
        <f t="shared" si="1"/>
        <v>Robusta</v>
      </c>
      <c r="O10" t="str">
        <f t="shared" si="2"/>
        <v>Medium</v>
      </c>
      <c r="P10" t="str">
        <f>_xlfn.XLOOKUP(Orders!C10,Customers!$A$2:$A$1001,Customers!$I$2:$I$1001)</f>
        <v>No</v>
      </c>
      <c r="R10" t="s">
        <v>6224</v>
      </c>
    </row>
    <row r="11" spans="1:19" x14ac:dyDescent="0.3">
      <c r="A11" t="s">
        <v>28</v>
      </c>
      <c r="B11" s="11">
        <v>43713</v>
      </c>
      <c r="C11" t="s">
        <v>29</v>
      </c>
      <c r="D11" t="s">
        <v>27</v>
      </c>
      <c r="E11">
        <v>1</v>
      </c>
      <c r="F11" t="str">
        <f>_xlfn.XLOOKUP(C11,Customers!$A$2:$A$1001,Customers!$B$2:$B$1001)</f>
        <v>Rodger Raven</v>
      </c>
      <c r="G11" t="str">
        <f>_xlfn.XLOOKUP(C11,Customers!$A$2:$A$1001,Customers!$C$2:$C$1001)</f>
        <v>rraven9@ed.gov</v>
      </c>
      <c r="H11" t="str">
        <f>_xlfn.XLOOKUP(C11,Customers!$A$2:$A$1001,Customers!$G$2:$G$1001)</f>
        <v>United States</v>
      </c>
      <c r="I11" t="str" cm="1">
        <f t="array" ref="I11:L11">_xlfn.XLOOKUP(D11,products!$A$2:$A$49,products!$B$2:$E$49)</f>
        <v>Rob</v>
      </c>
      <c r="J11" t="str">
        <v>M</v>
      </c>
      <c r="K11" s="8">
        <v>0.5</v>
      </c>
      <c r="L11" s="6">
        <v>5.97</v>
      </c>
      <c r="M11" s="7">
        <f t="shared" si="0"/>
        <v>5.97</v>
      </c>
      <c r="N11" t="str">
        <f t="shared" si="1"/>
        <v>Robusta</v>
      </c>
      <c r="O11" t="str">
        <f t="shared" si="2"/>
        <v>Medium</v>
      </c>
      <c r="P11" t="str">
        <f>_xlfn.XLOOKUP(Orders!C11,Customers!$A$2:$A$1001,Customers!$I$2:$I$1001)</f>
        <v>No</v>
      </c>
      <c r="S11" t="str" cm="1">
        <f t="array" ref="S11">INDEX(products!H2:H49,MATCH(MAX(SUMIFS(products!G2:G49,products!H2:H49,products!H2:H49)),SUMIFS(products!G2:G49,products!H2:H49,products!H2:H49),0))</f>
        <v>Lite</v>
      </c>
    </row>
    <row r="12" spans="1:19" x14ac:dyDescent="0.3">
      <c r="A12" t="s">
        <v>30</v>
      </c>
      <c r="B12" s="11">
        <v>44263</v>
      </c>
      <c r="C12" t="s">
        <v>31</v>
      </c>
      <c r="D12" t="s">
        <v>32</v>
      </c>
      <c r="E12">
        <v>4</v>
      </c>
      <c r="F12" t="str">
        <f>_xlfn.XLOOKUP(C12,Customers!$A$2:$A$1001,Customers!$B$2:$B$1001)</f>
        <v>Ferrell Ferber</v>
      </c>
      <c r="G12" t="str">
        <f>_xlfn.XLOOKUP(C12,Customers!$A$2:$A$1001,Customers!$C$2:$C$1001)</f>
        <v>fferbera@businesswire.com</v>
      </c>
      <c r="H12" t="str">
        <f>_xlfn.XLOOKUP(C12,Customers!$A$2:$A$1001,Customers!$G$2:$G$1001)</f>
        <v>United States</v>
      </c>
      <c r="I12" t="str" cm="1">
        <f t="array" ref="I12:L12">_xlfn.XLOOKUP(D12,products!$A$2:$A$49,products!$B$2:$E$49)</f>
        <v>Ara</v>
      </c>
      <c r="J12" t="str">
        <v>D</v>
      </c>
      <c r="K12" s="8">
        <v>1</v>
      </c>
      <c r="L12" s="6">
        <v>9.9499999999999993</v>
      </c>
      <c r="M12" s="7">
        <f t="shared" si="0"/>
        <v>39.799999999999997</v>
      </c>
      <c r="N12" t="str">
        <f t="shared" si="1"/>
        <v>Arasbica</v>
      </c>
      <c r="O12" t="str">
        <f t="shared" si="2"/>
        <v>Dark</v>
      </c>
      <c r="P12" t="str">
        <f>_xlfn.XLOOKUP(Orders!C12,Customers!$A$2:$A$1001,Customers!$I$2:$I$1001)</f>
        <v>No</v>
      </c>
    </row>
    <row r="13" spans="1:19" x14ac:dyDescent="0.3">
      <c r="A13" t="s">
        <v>33</v>
      </c>
      <c r="B13" s="11">
        <v>44132</v>
      </c>
      <c r="C13" t="s">
        <v>34</v>
      </c>
      <c r="D13" t="s">
        <v>35</v>
      </c>
      <c r="E13">
        <v>5</v>
      </c>
      <c r="F13" t="str">
        <f>_xlfn.XLOOKUP(C13,Customers!$A$2:$A$1001,Customers!$B$2:$B$1001)</f>
        <v>Duky Phizackerly</v>
      </c>
      <c r="G13" t="str">
        <f>_xlfn.XLOOKUP(C13,Customers!$A$2:$A$1001,Customers!$C$2:$C$1001)</f>
        <v>dphizackerlyb@utexas.edu</v>
      </c>
      <c r="H13" t="str">
        <f>_xlfn.XLOOKUP(C13,Customers!$A$2:$A$1001,Customers!$G$2:$G$1001)</f>
        <v>United States</v>
      </c>
      <c r="I13" t="str" cm="1">
        <f t="array" ref="I13:L13">_xlfn.XLOOKUP(D13,products!$A$2:$A$49,products!$B$2:$E$49)</f>
        <v>Exc</v>
      </c>
      <c r="J13" t="str">
        <v>L</v>
      </c>
      <c r="K13" s="8">
        <v>2.5</v>
      </c>
      <c r="L13" s="6">
        <v>34.154999999999994</v>
      </c>
      <c r="M13" s="7">
        <f t="shared" si="0"/>
        <v>170.77499999999998</v>
      </c>
      <c r="N13" t="str">
        <f t="shared" si="1"/>
        <v>Excelsa</v>
      </c>
      <c r="O13" t="str">
        <f t="shared" si="2"/>
        <v>Lite</v>
      </c>
      <c r="P13" t="str">
        <f>_xlfn.XLOOKUP(Orders!C13,Customers!$A$2:$A$1001,Customers!$I$2:$I$1001)</f>
        <v>Yes</v>
      </c>
      <c r="R13" t="s">
        <v>6225</v>
      </c>
    </row>
    <row r="14" spans="1:19" x14ac:dyDescent="0.3">
      <c r="A14" t="s">
        <v>36</v>
      </c>
      <c r="B14" s="11">
        <v>44744</v>
      </c>
      <c r="C14" t="s">
        <v>37</v>
      </c>
      <c r="D14" t="s">
        <v>7</v>
      </c>
      <c r="E14">
        <v>5</v>
      </c>
      <c r="F14" t="str">
        <f>_xlfn.XLOOKUP(C14,Customers!$A$2:$A$1001,Customers!$B$2:$B$1001)</f>
        <v>Rosaleen Scholar</v>
      </c>
      <c r="G14" t="str">
        <f>_xlfn.XLOOKUP(C14,Customers!$A$2:$A$1001,Customers!$C$2:$C$1001)</f>
        <v>rscholarc@nyu.edu</v>
      </c>
      <c r="H14" t="str">
        <f>_xlfn.XLOOKUP(C14,Customers!$A$2:$A$1001,Customers!$G$2:$G$1001)</f>
        <v>United States</v>
      </c>
      <c r="I14" t="str" cm="1">
        <f t="array" ref="I14:L14">_xlfn.XLOOKUP(D14,products!$A$2:$A$49,products!$B$2:$E$49)</f>
        <v>Rob</v>
      </c>
      <c r="J14" t="str">
        <v>M</v>
      </c>
      <c r="K14" s="8">
        <v>1</v>
      </c>
      <c r="L14" s="6">
        <v>9.9499999999999993</v>
      </c>
      <c r="M14" s="7">
        <f t="shared" si="0"/>
        <v>49.75</v>
      </c>
      <c r="N14" t="str">
        <f t="shared" si="1"/>
        <v>Robusta</v>
      </c>
      <c r="O14" t="str">
        <f t="shared" si="2"/>
        <v>Medium</v>
      </c>
      <c r="P14" t="str">
        <f>_xlfn.XLOOKUP(Orders!C14,Customers!$A$2:$A$1001,Customers!$I$2:$I$1001)</f>
        <v>No</v>
      </c>
      <c r="S14" t="str" cm="1">
        <f t="array" ref="S14">INDEX(Orders!N2:N1001,MATCH(MAX(SUMIFS(Orders!M2:M1001,Orders!N2:N1001,Orders!N2:N1001)),SUMIFS(Orders!M2:M1001,Orders!N2:N1001,Orders!N2:N1001),0))</f>
        <v>Excelsa</v>
      </c>
    </row>
    <row r="15" spans="1:19" x14ac:dyDescent="0.3">
      <c r="A15" t="s">
        <v>38</v>
      </c>
      <c r="B15" s="11">
        <v>43973</v>
      </c>
      <c r="C15" t="s">
        <v>39</v>
      </c>
      <c r="D15" t="s">
        <v>40</v>
      </c>
      <c r="E15">
        <v>2</v>
      </c>
      <c r="F15" t="str">
        <f>_xlfn.XLOOKUP(C15,Customers!$A$2:$A$1001,Customers!$B$2:$B$1001)</f>
        <v>Terence Vanyutin</v>
      </c>
      <c r="G15" t="str">
        <f>_xlfn.XLOOKUP(C15,Customers!$A$2:$A$1001,Customers!$C$2:$C$1001)</f>
        <v>tvanyutind@wix.com</v>
      </c>
      <c r="H15" t="str">
        <f>_xlfn.XLOOKUP(C15,Customers!$A$2:$A$1001,Customers!$G$2:$G$1001)</f>
        <v>United States</v>
      </c>
      <c r="I15" t="str" cm="1">
        <f t="array" ref="I15:L15">_xlfn.XLOOKUP(D15,products!$A$2:$A$49,products!$B$2:$E$49)</f>
        <v>Rob</v>
      </c>
      <c r="J15" t="str">
        <v>D</v>
      </c>
      <c r="K15" s="8">
        <v>2.5</v>
      </c>
      <c r="L15" s="6">
        <v>20.584999999999997</v>
      </c>
      <c r="M15" s="7">
        <f t="shared" si="0"/>
        <v>41.169999999999995</v>
      </c>
      <c r="N15" t="str">
        <f t="shared" si="1"/>
        <v>Robusta</v>
      </c>
      <c r="O15" t="str">
        <f t="shared" si="2"/>
        <v>Dark</v>
      </c>
      <c r="P15" t="str">
        <f>_xlfn.XLOOKUP(Orders!C15,Customers!$A$2:$A$1001,Customers!$I$2:$I$1001)</f>
        <v>No</v>
      </c>
    </row>
    <row r="16" spans="1:19" x14ac:dyDescent="0.3">
      <c r="A16" t="s">
        <v>41</v>
      </c>
      <c r="B16" s="11">
        <v>44656</v>
      </c>
      <c r="C16" t="s">
        <v>42</v>
      </c>
      <c r="D16" t="s">
        <v>43</v>
      </c>
      <c r="E16">
        <v>3</v>
      </c>
      <c r="F16" t="str">
        <f>_xlfn.XLOOKUP(C16,Customers!$A$2:$A$1001,Customers!$B$2:$B$1001)</f>
        <v>Patrice Trobe</v>
      </c>
      <c r="G16" t="str">
        <f>_xlfn.XLOOKUP(C16,Customers!$A$2:$A$1001,Customers!$C$2:$C$1001)</f>
        <v>ptrobee@wunderground.com</v>
      </c>
      <c r="H16" t="str">
        <f>_xlfn.XLOOKUP(C16,Customers!$A$2:$A$1001,Customers!$G$2:$G$1001)</f>
        <v>United States</v>
      </c>
      <c r="I16" t="str" cm="1">
        <f t="array" ref="I16:L16">_xlfn.XLOOKUP(D16,products!$A$2:$A$49,products!$B$2:$E$49)</f>
        <v>Lib</v>
      </c>
      <c r="J16" t="str">
        <v>D</v>
      </c>
      <c r="K16" s="8">
        <v>0.2</v>
      </c>
      <c r="L16" s="6">
        <v>3.8849999999999998</v>
      </c>
      <c r="M16" s="7">
        <f t="shared" si="0"/>
        <v>11.654999999999999</v>
      </c>
      <c r="N16" t="str">
        <f t="shared" si="1"/>
        <v>Liberica</v>
      </c>
      <c r="O16" t="str">
        <f t="shared" si="2"/>
        <v>Dark</v>
      </c>
      <c r="P16" t="str">
        <f>_xlfn.XLOOKUP(Orders!C16,Customers!$A$2:$A$1001,Customers!$I$2:$I$1001)</f>
        <v>Yes</v>
      </c>
    </row>
    <row r="17" spans="1:16" x14ac:dyDescent="0.3">
      <c r="A17" t="s">
        <v>44</v>
      </c>
      <c r="B17" s="11">
        <v>44719</v>
      </c>
      <c r="C17" t="s">
        <v>45</v>
      </c>
      <c r="D17" t="s">
        <v>46</v>
      </c>
      <c r="E17">
        <v>5</v>
      </c>
      <c r="F17" t="str">
        <f>_xlfn.XLOOKUP(C17,Customers!$A$2:$A$1001,Customers!$B$2:$B$1001)</f>
        <v>Llywellyn Oscroft</v>
      </c>
      <c r="G17" t="str">
        <f>_xlfn.XLOOKUP(C17,Customers!$A$2:$A$1001,Customers!$C$2:$C$1001)</f>
        <v>loscroftf@ebay.co.uk</v>
      </c>
      <c r="H17" t="str">
        <f>_xlfn.XLOOKUP(C17,Customers!$A$2:$A$1001,Customers!$G$2:$G$1001)</f>
        <v>United States</v>
      </c>
      <c r="I17" t="str" cm="1">
        <f t="array" ref="I17:L17">_xlfn.XLOOKUP(D17,products!$A$2:$A$49,products!$B$2:$E$49)</f>
        <v>Rob</v>
      </c>
      <c r="J17" t="str">
        <v>M</v>
      </c>
      <c r="K17" s="8">
        <v>2.5</v>
      </c>
      <c r="L17" s="6">
        <v>22.884999999999998</v>
      </c>
      <c r="M17" s="7">
        <f t="shared" si="0"/>
        <v>114.42499999999998</v>
      </c>
      <c r="N17" t="str">
        <f t="shared" si="1"/>
        <v>Robusta</v>
      </c>
      <c r="O17" t="str">
        <f t="shared" si="2"/>
        <v>Medium</v>
      </c>
      <c r="P17" t="str">
        <f>_xlfn.XLOOKUP(Orders!C17,Customers!$A$2:$A$1001,Customers!$I$2:$I$1001)</f>
        <v>No</v>
      </c>
    </row>
    <row r="18" spans="1:16" x14ac:dyDescent="0.3">
      <c r="A18" t="s">
        <v>47</v>
      </c>
      <c r="B18" s="11">
        <v>43544</v>
      </c>
      <c r="C18" t="s">
        <v>48</v>
      </c>
      <c r="D18" t="s">
        <v>49</v>
      </c>
      <c r="E18">
        <v>6</v>
      </c>
      <c r="F18" t="str">
        <f>_xlfn.XLOOKUP(C18,Customers!$A$2:$A$1001,Customers!$B$2:$B$1001)</f>
        <v>Minni Alabaster</v>
      </c>
      <c r="G18" t="str">
        <f>_xlfn.XLOOKUP(C18,Customers!$A$2:$A$1001,Customers!$C$2:$C$1001)</f>
        <v>malabasterg@hexun.com</v>
      </c>
      <c r="H18" t="str">
        <f>_xlfn.XLOOKUP(C18,Customers!$A$2:$A$1001,Customers!$G$2:$G$1001)</f>
        <v>United States</v>
      </c>
      <c r="I18" t="str" cm="1">
        <f t="array" ref="I18:L18">_xlfn.XLOOKUP(D18,products!$A$2:$A$49,products!$B$2:$E$49)</f>
        <v>Ara</v>
      </c>
      <c r="J18" t="str">
        <v>M</v>
      </c>
      <c r="K18" s="8">
        <v>0.2</v>
      </c>
      <c r="L18" s="6">
        <v>3.375</v>
      </c>
      <c r="M18" s="7">
        <f t="shared" si="0"/>
        <v>20.25</v>
      </c>
      <c r="N18" t="str">
        <f t="shared" si="1"/>
        <v>Arasbica</v>
      </c>
      <c r="O18" t="str">
        <f t="shared" si="2"/>
        <v>Medium</v>
      </c>
      <c r="P18" t="str">
        <f>_xlfn.XLOOKUP(Orders!C18,Customers!$A$2:$A$1001,Customers!$I$2:$I$1001)</f>
        <v>No</v>
      </c>
    </row>
    <row r="19" spans="1:16" x14ac:dyDescent="0.3">
      <c r="A19" t="s">
        <v>50</v>
      </c>
      <c r="B19" s="11">
        <v>43757</v>
      </c>
      <c r="C19" t="s">
        <v>51</v>
      </c>
      <c r="D19" t="s">
        <v>11</v>
      </c>
      <c r="E19">
        <v>6</v>
      </c>
      <c r="F19" t="str">
        <f>_xlfn.XLOOKUP(C19,Customers!$A$2:$A$1001,Customers!$B$2:$B$1001)</f>
        <v>Rhianon Broxup</v>
      </c>
      <c r="G19" t="str">
        <f>_xlfn.XLOOKUP(C19,Customers!$A$2:$A$1001,Customers!$C$2:$C$1001)</f>
        <v>rbroxuph@jimdo.com</v>
      </c>
      <c r="H19" t="str">
        <f>_xlfn.XLOOKUP(C19,Customers!$A$2:$A$1001,Customers!$G$2:$G$1001)</f>
        <v>United States</v>
      </c>
      <c r="I19" t="str" cm="1">
        <f t="array" ref="I19:L19">_xlfn.XLOOKUP(D19,products!$A$2:$A$49,products!$B$2:$E$49)</f>
        <v>Ara</v>
      </c>
      <c r="J19" t="str">
        <v>L</v>
      </c>
      <c r="K19" s="8">
        <v>1</v>
      </c>
      <c r="L19" s="6">
        <v>12.95</v>
      </c>
      <c r="M19" s="7">
        <f t="shared" si="0"/>
        <v>77.699999999999989</v>
      </c>
      <c r="N19" t="str">
        <f t="shared" si="1"/>
        <v>Arasbica</v>
      </c>
      <c r="O19" t="str">
        <f t="shared" si="2"/>
        <v>Lite</v>
      </c>
      <c r="P19" t="str">
        <f>_xlfn.XLOOKUP(Orders!C19,Customers!$A$2:$A$1001,Customers!$I$2:$I$1001)</f>
        <v>No</v>
      </c>
    </row>
    <row r="20" spans="1:16" x14ac:dyDescent="0.3">
      <c r="A20" t="s">
        <v>52</v>
      </c>
      <c r="B20" s="11">
        <v>43629</v>
      </c>
      <c r="C20" t="s">
        <v>53</v>
      </c>
      <c r="D20" t="s">
        <v>40</v>
      </c>
      <c r="E20">
        <v>4</v>
      </c>
      <c r="F20" t="str">
        <f>_xlfn.XLOOKUP(C20,Customers!$A$2:$A$1001,Customers!$B$2:$B$1001)</f>
        <v>Pall Redford</v>
      </c>
      <c r="G20" t="str">
        <f>_xlfn.XLOOKUP(C20,Customers!$A$2:$A$1001,Customers!$C$2:$C$1001)</f>
        <v>predfordi@ow.ly</v>
      </c>
      <c r="H20" t="str">
        <f>_xlfn.XLOOKUP(C20,Customers!$A$2:$A$1001,Customers!$G$2:$G$1001)</f>
        <v>Ireland</v>
      </c>
      <c r="I20" t="str" cm="1">
        <f t="array" ref="I20:L20">_xlfn.XLOOKUP(D20,products!$A$2:$A$49,products!$B$2:$E$49)</f>
        <v>Rob</v>
      </c>
      <c r="J20" t="str">
        <v>D</v>
      </c>
      <c r="K20" s="8">
        <v>2.5</v>
      </c>
      <c r="L20" s="6">
        <v>20.584999999999997</v>
      </c>
      <c r="M20" s="7">
        <f t="shared" si="0"/>
        <v>82.339999999999989</v>
      </c>
      <c r="N20" t="str">
        <f t="shared" si="1"/>
        <v>Robusta</v>
      </c>
      <c r="O20" t="str">
        <f t="shared" si="2"/>
        <v>Dark</v>
      </c>
      <c r="P20" t="str">
        <f>_xlfn.XLOOKUP(Orders!C20,Customers!$A$2:$A$1001,Customers!$I$2:$I$1001)</f>
        <v>Yes</v>
      </c>
    </row>
    <row r="21" spans="1:16" x14ac:dyDescent="0.3">
      <c r="A21" t="s">
        <v>54</v>
      </c>
      <c r="B21" s="11">
        <v>44169</v>
      </c>
      <c r="C21" t="s">
        <v>55</v>
      </c>
      <c r="D21" t="s">
        <v>49</v>
      </c>
      <c r="E21">
        <v>5</v>
      </c>
      <c r="F21" t="str">
        <f>_xlfn.XLOOKUP(C21,Customers!$A$2:$A$1001,Customers!$B$2:$B$1001)</f>
        <v>Aurea Corradino</v>
      </c>
      <c r="G21" t="str">
        <f>_xlfn.XLOOKUP(C21,Customers!$A$2:$A$1001,Customers!$C$2:$C$1001)</f>
        <v>acorradinoj@harvard.edu</v>
      </c>
      <c r="H21" t="str">
        <f>_xlfn.XLOOKUP(C21,Customers!$A$2:$A$1001,Customers!$G$2:$G$1001)</f>
        <v>United States</v>
      </c>
      <c r="I21" t="str" cm="1">
        <f t="array" ref="I21:L21">_xlfn.XLOOKUP(D21,products!$A$2:$A$49,products!$B$2:$E$49)</f>
        <v>Ara</v>
      </c>
      <c r="J21" t="str">
        <v>M</v>
      </c>
      <c r="K21" s="8">
        <v>0.2</v>
      </c>
      <c r="L21" s="6">
        <v>3.375</v>
      </c>
      <c r="M21" s="7">
        <f t="shared" si="0"/>
        <v>16.875</v>
      </c>
      <c r="N21" t="str">
        <f t="shared" si="1"/>
        <v>Arasbica</v>
      </c>
      <c r="O21" t="str">
        <f t="shared" si="2"/>
        <v>Medium</v>
      </c>
      <c r="P21" t="str">
        <f>_xlfn.XLOOKUP(Orders!C21,Customers!$A$2:$A$1001,Customers!$I$2:$I$1001)</f>
        <v>Yes</v>
      </c>
    </row>
    <row r="22" spans="1:16" x14ac:dyDescent="0.3">
      <c r="A22" t="s">
        <v>54</v>
      </c>
      <c r="B22" s="11">
        <v>44169</v>
      </c>
      <c r="C22" t="s">
        <v>55</v>
      </c>
      <c r="D22" t="s">
        <v>56</v>
      </c>
      <c r="E22">
        <v>4</v>
      </c>
      <c r="F22" t="str">
        <f>_xlfn.XLOOKUP(C22,Customers!$A$2:$A$1001,Customers!$B$2:$B$1001)</f>
        <v>Aurea Corradino</v>
      </c>
      <c r="G22" t="str">
        <f>_xlfn.XLOOKUP(C22,Customers!$A$2:$A$1001,Customers!$C$2:$C$1001)</f>
        <v>acorradinoj@harvard.edu</v>
      </c>
      <c r="H22" t="str">
        <f>_xlfn.XLOOKUP(C22,Customers!$A$2:$A$1001,Customers!$G$2:$G$1001)</f>
        <v>United States</v>
      </c>
      <c r="I22" t="str" cm="1">
        <f t="array" ref="I22:L22">_xlfn.XLOOKUP(D22,products!$A$2:$A$49,products!$B$2:$E$49)</f>
        <v>Exc</v>
      </c>
      <c r="J22" t="str">
        <v>D</v>
      </c>
      <c r="K22" s="8">
        <v>0.2</v>
      </c>
      <c r="L22" s="6">
        <v>3.645</v>
      </c>
      <c r="M22" s="7">
        <f t="shared" si="0"/>
        <v>14.58</v>
      </c>
      <c r="N22" t="str">
        <f t="shared" si="1"/>
        <v>Excelsa</v>
      </c>
      <c r="O22" t="str">
        <f t="shared" si="2"/>
        <v>Dark</v>
      </c>
      <c r="P22" t="str">
        <f>_xlfn.XLOOKUP(Orders!C22,Customers!$A$2:$A$1001,Customers!$I$2:$I$1001)</f>
        <v>Yes</v>
      </c>
    </row>
    <row r="23" spans="1:16" x14ac:dyDescent="0.3">
      <c r="A23" t="s">
        <v>57</v>
      </c>
      <c r="B23" s="11">
        <v>44169</v>
      </c>
      <c r="C23" t="s">
        <v>58</v>
      </c>
      <c r="D23" t="s">
        <v>59</v>
      </c>
      <c r="E23">
        <v>6</v>
      </c>
      <c r="F23" t="str">
        <f>_xlfn.XLOOKUP(C23,Customers!$A$2:$A$1001,Customers!$B$2:$B$1001)</f>
        <v>Avrit Davidowsky</v>
      </c>
      <c r="G23" t="str">
        <f>_xlfn.XLOOKUP(C23,Customers!$A$2:$A$1001,Customers!$C$2:$C$1001)</f>
        <v>adavidowskyl@netvibes.com</v>
      </c>
      <c r="H23" t="str">
        <f>_xlfn.XLOOKUP(C23,Customers!$A$2:$A$1001,Customers!$G$2:$G$1001)</f>
        <v>United States</v>
      </c>
      <c r="I23" t="str" cm="1">
        <f t="array" ref="I23:L23">_xlfn.XLOOKUP(D23,products!$A$2:$A$49,products!$B$2:$E$49)</f>
        <v>Ara</v>
      </c>
      <c r="J23" t="str">
        <v>D</v>
      </c>
      <c r="K23" s="8">
        <v>0.2</v>
      </c>
      <c r="L23" s="6">
        <v>2.9849999999999999</v>
      </c>
      <c r="M23" s="7">
        <f t="shared" si="0"/>
        <v>17.91</v>
      </c>
      <c r="N23" t="str">
        <f t="shared" si="1"/>
        <v>Arasbica</v>
      </c>
      <c r="O23" t="str">
        <f t="shared" si="2"/>
        <v>Dark</v>
      </c>
      <c r="P23" t="str">
        <f>_xlfn.XLOOKUP(Orders!C23,Customers!$A$2:$A$1001,Customers!$I$2:$I$1001)</f>
        <v>No</v>
      </c>
    </row>
    <row r="24" spans="1:16" x14ac:dyDescent="0.3">
      <c r="A24" t="s">
        <v>60</v>
      </c>
      <c r="B24" s="11">
        <v>44218</v>
      </c>
      <c r="C24" t="s">
        <v>61</v>
      </c>
      <c r="D24" t="s">
        <v>46</v>
      </c>
      <c r="E24">
        <v>4</v>
      </c>
      <c r="F24" t="str">
        <f>_xlfn.XLOOKUP(C24,Customers!$A$2:$A$1001,Customers!$B$2:$B$1001)</f>
        <v>Annabel Antuk</v>
      </c>
      <c r="G24" t="str">
        <f>_xlfn.XLOOKUP(C24,Customers!$A$2:$A$1001,Customers!$C$2:$C$1001)</f>
        <v>aantukm@kickstarter.com</v>
      </c>
      <c r="H24" t="str">
        <f>_xlfn.XLOOKUP(C24,Customers!$A$2:$A$1001,Customers!$G$2:$G$1001)</f>
        <v>United States</v>
      </c>
      <c r="I24" t="str" cm="1">
        <f t="array" ref="I24:L24">_xlfn.XLOOKUP(D24,products!$A$2:$A$49,products!$B$2:$E$49)</f>
        <v>Rob</v>
      </c>
      <c r="J24" t="str">
        <v>M</v>
      </c>
      <c r="K24" s="8">
        <v>2.5</v>
      </c>
      <c r="L24" s="6">
        <v>22.884999999999998</v>
      </c>
      <c r="M24" s="7">
        <f t="shared" si="0"/>
        <v>91.539999999999992</v>
      </c>
      <c r="N24" t="str">
        <f t="shared" si="1"/>
        <v>Robusta</v>
      </c>
      <c r="O24" t="str">
        <f t="shared" si="2"/>
        <v>Medium</v>
      </c>
      <c r="P24" t="str">
        <f>_xlfn.XLOOKUP(Orders!C24,Customers!$A$2:$A$1001,Customers!$I$2:$I$1001)</f>
        <v>Yes</v>
      </c>
    </row>
    <row r="25" spans="1:16" x14ac:dyDescent="0.3">
      <c r="A25" t="s">
        <v>62</v>
      </c>
      <c r="B25" s="11">
        <v>44603</v>
      </c>
      <c r="C25" t="s">
        <v>63</v>
      </c>
      <c r="D25" t="s">
        <v>59</v>
      </c>
      <c r="E25">
        <v>4</v>
      </c>
      <c r="F25" t="str">
        <f>_xlfn.XLOOKUP(C25,Customers!$A$2:$A$1001,Customers!$B$2:$B$1001)</f>
        <v>Iorgo Kleinert</v>
      </c>
      <c r="G25" t="str">
        <f>_xlfn.XLOOKUP(C25,Customers!$A$2:$A$1001,Customers!$C$2:$C$1001)</f>
        <v>ikleinertn@timesonline.co.uk</v>
      </c>
      <c r="H25" t="str">
        <f>_xlfn.XLOOKUP(C25,Customers!$A$2:$A$1001,Customers!$G$2:$G$1001)</f>
        <v>United States</v>
      </c>
      <c r="I25" t="str" cm="1">
        <f t="array" ref="I25:L25">_xlfn.XLOOKUP(D25,products!$A$2:$A$49,products!$B$2:$E$49)</f>
        <v>Ara</v>
      </c>
      <c r="J25" t="str">
        <v>D</v>
      </c>
      <c r="K25" s="8">
        <v>0.2</v>
      </c>
      <c r="L25" s="6">
        <v>2.9849999999999999</v>
      </c>
      <c r="M25" s="7">
        <f t="shared" si="0"/>
        <v>11.94</v>
      </c>
      <c r="N25" t="str">
        <f t="shared" si="1"/>
        <v>Arasbica</v>
      </c>
      <c r="O25" t="str">
        <f t="shared" si="2"/>
        <v>Dark</v>
      </c>
      <c r="P25" t="str">
        <f>_xlfn.XLOOKUP(Orders!C25,Customers!$A$2:$A$1001,Customers!$I$2:$I$1001)</f>
        <v>Yes</v>
      </c>
    </row>
    <row r="26" spans="1:16" x14ac:dyDescent="0.3">
      <c r="A26" t="s">
        <v>64</v>
      </c>
      <c r="B26" s="11">
        <v>44454</v>
      </c>
      <c r="C26" t="s">
        <v>65</v>
      </c>
      <c r="D26" t="s">
        <v>66</v>
      </c>
      <c r="E26">
        <v>1</v>
      </c>
      <c r="F26" t="str">
        <f>_xlfn.XLOOKUP(C26,Customers!$A$2:$A$1001,Customers!$B$2:$B$1001)</f>
        <v>Chrisy Blofeld</v>
      </c>
      <c r="G26" t="str">
        <f>_xlfn.XLOOKUP(C26,Customers!$A$2:$A$1001,Customers!$C$2:$C$1001)</f>
        <v>cblofeldo@amazon.co.uk</v>
      </c>
      <c r="H26" t="str">
        <f>_xlfn.XLOOKUP(C26,Customers!$A$2:$A$1001,Customers!$G$2:$G$1001)</f>
        <v>United States</v>
      </c>
      <c r="I26" t="str" cm="1">
        <f t="array" ref="I26:L26">_xlfn.XLOOKUP(D26,products!$A$2:$A$49,products!$B$2:$E$49)</f>
        <v>Ara</v>
      </c>
      <c r="J26" t="str">
        <v>M</v>
      </c>
      <c r="K26" s="8">
        <v>1</v>
      </c>
      <c r="L26" s="6">
        <v>11.25</v>
      </c>
      <c r="M26" s="7">
        <f t="shared" si="0"/>
        <v>11.25</v>
      </c>
      <c r="N26" t="str">
        <f t="shared" si="1"/>
        <v>Arasbica</v>
      </c>
      <c r="O26" t="str">
        <f t="shared" si="2"/>
        <v>Medium</v>
      </c>
      <c r="P26" t="str">
        <f>_xlfn.XLOOKUP(Orders!C26,Customers!$A$2:$A$1001,Customers!$I$2:$I$1001)</f>
        <v>No</v>
      </c>
    </row>
    <row r="27" spans="1:16" x14ac:dyDescent="0.3">
      <c r="A27" t="s">
        <v>67</v>
      </c>
      <c r="B27" s="11">
        <v>44128</v>
      </c>
      <c r="C27" t="s">
        <v>68</v>
      </c>
      <c r="D27" t="s">
        <v>69</v>
      </c>
      <c r="E27">
        <v>3</v>
      </c>
      <c r="F27" t="str">
        <f>_xlfn.XLOOKUP(C27,Customers!$A$2:$A$1001,Customers!$B$2:$B$1001)</f>
        <v>Culley Farris</v>
      </c>
      <c r="G27">
        <f>_xlfn.XLOOKUP(C27,Customers!$A$2:$A$1001,Customers!$C$2:$C$1001)</f>
        <v>0</v>
      </c>
      <c r="H27" t="str">
        <f>_xlfn.XLOOKUP(C27,Customers!$A$2:$A$1001,Customers!$G$2:$G$1001)</f>
        <v>United States</v>
      </c>
      <c r="I27" t="str" cm="1">
        <f t="array" ref="I27:L27">_xlfn.XLOOKUP(D27,products!$A$2:$A$49,products!$B$2:$E$49)</f>
        <v>Exc</v>
      </c>
      <c r="J27" t="str">
        <v>M</v>
      </c>
      <c r="K27" s="8">
        <v>0.2</v>
      </c>
      <c r="L27" s="6">
        <v>4.125</v>
      </c>
      <c r="M27" s="7">
        <f t="shared" si="0"/>
        <v>12.375</v>
      </c>
      <c r="N27" t="str">
        <f t="shared" si="1"/>
        <v>Excelsa</v>
      </c>
      <c r="O27" t="str">
        <f t="shared" si="2"/>
        <v>Medium</v>
      </c>
      <c r="P27" t="str">
        <f>_xlfn.XLOOKUP(Orders!C27,Customers!$A$2:$A$1001,Customers!$I$2:$I$1001)</f>
        <v>Yes</v>
      </c>
    </row>
    <row r="28" spans="1:16" x14ac:dyDescent="0.3">
      <c r="A28" t="s">
        <v>70</v>
      </c>
      <c r="B28" s="11">
        <v>43516</v>
      </c>
      <c r="C28" t="s">
        <v>71</v>
      </c>
      <c r="D28" t="s">
        <v>72</v>
      </c>
      <c r="E28">
        <v>4</v>
      </c>
      <c r="F28" t="str">
        <f>_xlfn.XLOOKUP(C28,Customers!$A$2:$A$1001,Customers!$B$2:$B$1001)</f>
        <v>Selene Shales</v>
      </c>
      <c r="G28" t="str">
        <f>_xlfn.XLOOKUP(C28,Customers!$A$2:$A$1001,Customers!$C$2:$C$1001)</f>
        <v>sshalesq@umich.edu</v>
      </c>
      <c r="H28" t="str">
        <f>_xlfn.XLOOKUP(C28,Customers!$A$2:$A$1001,Customers!$G$2:$G$1001)</f>
        <v>United States</v>
      </c>
      <c r="I28" t="str" cm="1">
        <f t="array" ref="I28:L28">_xlfn.XLOOKUP(D28,products!$A$2:$A$49,products!$B$2:$E$49)</f>
        <v>Ara</v>
      </c>
      <c r="J28" t="str">
        <v>M</v>
      </c>
      <c r="K28" s="8">
        <v>0.5</v>
      </c>
      <c r="L28" s="6">
        <v>6.75</v>
      </c>
      <c r="M28" s="7">
        <f t="shared" si="0"/>
        <v>27</v>
      </c>
      <c r="N28" t="str">
        <f t="shared" si="1"/>
        <v>Arasbica</v>
      </c>
      <c r="O28" t="str">
        <f t="shared" si="2"/>
        <v>Medium</v>
      </c>
      <c r="P28" t="str">
        <f>_xlfn.XLOOKUP(Orders!C28,Customers!$A$2:$A$1001,Customers!$I$2:$I$1001)</f>
        <v>Yes</v>
      </c>
    </row>
    <row r="29" spans="1:16" x14ac:dyDescent="0.3">
      <c r="A29" t="s">
        <v>73</v>
      </c>
      <c r="B29" s="11">
        <v>43746</v>
      </c>
      <c r="C29" t="s">
        <v>74</v>
      </c>
      <c r="D29" t="s">
        <v>49</v>
      </c>
      <c r="E29">
        <v>5</v>
      </c>
      <c r="F29" t="str">
        <f>_xlfn.XLOOKUP(C29,Customers!$A$2:$A$1001,Customers!$B$2:$B$1001)</f>
        <v>Vivie Danneil</v>
      </c>
      <c r="G29" t="str">
        <f>_xlfn.XLOOKUP(C29,Customers!$A$2:$A$1001,Customers!$C$2:$C$1001)</f>
        <v>vdanneilr@mtv.com</v>
      </c>
      <c r="H29" t="str">
        <f>_xlfn.XLOOKUP(C29,Customers!$A$2:$A$1001,Customers!$G$2:$G$1001)</f>
        <v>Ireland</v>
      </c>
      <c r="I29" t="str" cm="1">
        <f t="array" ref="I29:L29">_xlfn.XLOOKUP(D29,products!$A$2:$A$49,products!$B$2:$E$49)</f>
        <v>Ara</v>
      </c>
      <c r="J29" t="str">
        <v>M</v>
      </c>
      <c r="K29" s="8">
        <v>0.2</v>
      </c>
      <c r="L29" s="6">
        <v>3.375</v>
      </c>
      <c r="M29" s="7">
        <f t="shared" si="0"/>
        <v>16.875</v>
      </c>
      <c r="N29" t="str">
        <f t="shared" si="1"/>
        <v>Arasbica</v>
      </c>
      <c r="O29" t="str">
        <f t="shared" si="2"/>
        <v>Medium</v>
      </c>
      <c r="P29" t="str">
        <f>_xlfn.XLOOKUP(Orders!C29,Customers!$A$2:$A$1001,Customers!$I$2:$I$1001)</f>
        <v>No</v>
      </c>
    </row>
    <row r="30" spans="1:16" x14ac:dyDescent="0.3">
      <c r="A30" t="s">
        <v>75</v>
      </c>
      <c r="B30" s="11">
        <v>44775</v>
      </c>
      <c r="C30" t="s">
        <v>76</v>
      </c>
      <c r="D30" t="s">
        <v>77</v>
      </c>
      <c r="E30">
        <v>3</v>
      </c>
      <c r="F30" t="str">
        <f>_xlfn.XLOOKUP(C30,Customers!$A$2:$A$1001,Customers!$B$2:$B$1001)</f>
        <v>Theresita Newbury</v>
      </c>
      <c r="G30" t="str">
        <f>_xlfn.XLOOKUP(C30,Customers!$A$2:$A$1001,Customers!$C$2:$C$1001)</f>
        <v>tnewburys@usda.gov</v>
      </c>
      <c r="H30" t="str">
        <f>_xlfn.XLOOKUP(C30,Customers!$A$2:$A$1001,Customers!$G$2:$G$1001)</f>
        <v>Ireland</v>
      </c>
      <c r="I30" t="str" cm="1">
        <f t="array" ref="I30:L30">_xlfn.XLOOKUP(D30,products!$A$2:$A$49,products!$B$2:$E$49)</f>
        <v>Ara</v>
      </c>
      <c r="J30" t="str">
        <v>D</v>
      </c>
      <c r="K30" s="8">
        <v>0.5</v>
      </c>
      <c r="L30" s="6">
        <v>5.97</v>
      </c>
      <c r="M30" s="7">
        <f t="shared" si="0"/>
        <v>17.91</v>
      </c>
      <c r="N30" t="str">
        <f t="shared" si="1"/>
        <v>Arasbica</v>
      </c>
      <c r="O30" t="str">
        <f t="shared" si="2"/>
        <v>Dark</v>
      </c>
      <c r="P30" t="str">
        <f>_xlfn.XLOOKUP(Orders!C30,Customers!$A$2:$A$1001,Customers!$I$2:$I$1001)</f>
        <v>No</v>
      </c>
    </row>
    <row r="31" spans="1:16" x14ac:dyDescent="0.3">
      <c r="A31" t="s">
        <v>78</v>
      </c>
      <c r="B31" s="11">
        <v>43516</v>
      </c>
      <c r="C31" t="s">
        <v>79</v>
      </c>
      <c r="D31" t="s">
        <v>32</v>
      </c>
      <c r="E31">
        <v>4</v>
      </c>
      <c r="F31" t="str">
        <f>_xlfn.XLOOKUP(C31,Customers!$A$2:$A$1001,Customers!$B$2:$B$1001)</f>
        <v>Mozelle Calcutt</v>
      </c>
      <c r="G31" t="str">
        <f>_xlfn.XLOOKUP(C31,Customers!$A$2:$A$1001,Customers!$C$2:$C$1001)</f>
        <v>mcalcuttt@baidu.com</v>
      </c>
      <c r="H31" t="str">
        <f>_xlfn.XLOOKUP(C31,Customers!$A$2:$A$1001,Customers!$G$2:$G$1001)</f>
        <v>Ireland</v>
      </c>
      <c r="I31" t="str" cm="1">
        <f t="array" ref="I31:L31">_xlfn.XLOOKUP(D31,products!$A$2:$A$49,products!$B$2:$E$49)</f>
        <v>Ara</v>
      </c>
      <c r="J31" t="str">
        <v>D</v>
      </c>
      <c r="K31" s="8">
        <v>1</v>
      </c>
      <c r="L31" s="6">
        <v>9.9499999999999993</v>
      </c>
      <c r="M31" s="7">
        <f t="shared" si="0"/>
        <v>39.799999999999997</v>
      </c>
      <c r="N31" t="str">
        <f t="shared" si="1"/>
        <v>Arasbica</v>
      </c>
      <c r="O31" t="str">
        <f t="shared" si="2"/>
        <v>Dark</v>
      </c>
      <c r="P31" t="str">
        <f>_xlfn.XLOOKUP(Orders!C31,Customers!$A$2:$A$1001,Customers!$I$2:$I$1001)</f>
        <v>Yes</v>
      </c>
    </row>
    <row r="32" spans="1:16" x14ac:dyDescent="0.3">
      <c r="A32" t="s">
        <v>80</v>
      </c>
      <c r="B32" s="11">
        <v>44464</v>
      </c>
      <c r="C32" t="s">
        <v>81</v>
      </c>
      <c r="D32" t="s">
        <v>82</v>
      </c>
      <c r="E32">
        <v>5</v>
      </c>
      <c r="F32" t="str">
        <f>_xlfn.XLOOKUP(C32,Customers!$A$2:$A$1001,Customers!$B$2:$B$1001)</f>
        <v>Adrian Swaine</v>
      </c>
      <c r="G32">
        <f>_xlfn.XLOOKUP(C32,Customers!$A$2:$A$1001,Customers!$C$2:$C$1001)</f>
        <v>0</v>
      </c>
      <c r="H32" t="str">
        <f>_xlfn.XLOOKUP(C32,Customers!$A$2:$A$1001,Customers!$G$2:$G$1001)</f>
        <v>United States</v>
      </c>
      <c r="I32" t="str" cm="1">
        <f t="array" ref="I32:L32">_xlfn.XLOOKUP(D32,products!$A$2:$A$49,products!$B$2:$E$49)</f>
        <v>Lib</v>
      </c>
      <c r="J32" t="str">
        <v>M</v>
      </c>
      <c r="K32" s="8">
        <v>0.2</v>
      </c>
      <c r="L32" s="6">
        <v>4.3650000000000002</v>
      </c>
      <c r="M32" s="7">
        <f t="shared" si="0"/>
        <v>21.825000000000003</v>
      </c>
      <c r="N32" t="str">
        <f t="shared" si="1"/>
        <v>Liberica</v>
      </c>
      <c r="O32" t="str">
        <f t="shared" si="2"/>
        <v>Medium</v>
      </c>
      <c r="P32" t="str">
        <f>_xlfn.XLOOKUP(Orders!C32,Customers!$A$2:$A$1001,Customers!$I$2:$I$1001)</f>
        <v>No</v>
      </c>
    </row>
    <row r="33" spans="1:16" x14ac:dyDescent="0.3">
      <c r="A33" t="s">
        <v>80</v>
      </c>
      <c r="B33" s="11">
        <v>44464</v>
      </c>
      <c r="C33" t="s">
        <v>81</v>
      </c>
      <c r="D33" t="s">
        <v>77</v>
      </c>
      <c r="E33">
        <v>6</v>
      </c>
      <c r="F33" t="str">
        <f>_xlfn.XLOOKUP(C33,Customers!$A$2:$A$1001,Customers!$B$2:$B$1001)</f>
        <v>Adrian Swaine</v>
      </c>
      <c r="G33">
        <f>_xlfn.XLOOKUP(C33,Customers!$A$2:$A$1001,Customers!$C$2:$C$1001)</f>
        <v>0</v>
      </c>
      <c r="H33" t="str">
        <f>_xlfn.XLOOKUP(C33,Customers!$A$2:$A$1001,Customers!$G$2:$G$1001)</f>
        <v>United States</v>
      </c>
      <c r="I33" t="str" cm="1">
        <f t="array" ref="I33:L33">_xlfn.XLOOKUP(D33,products!$A$2:$A$49,products!$B$2:$E$49)</f>
        <v>Ara</v>
      </c>
      <c r="J33" t="str">
        <v>D</v>
      </c>
      <c r="K33" s="8">
        <v>0.5</v>
      </c>
      <c r="L33" s="6">
        <v>5.97</v>
      </c>
      <c r="M33" s="7">
        <f t="shared" si="0"/>
        <v>35.82</v>
      </c>
      <c r="N33" t="str">
        <f t="shared" si="1"/>
        <v>Arasbica</v>
      </c>
      <c r="O33" t="str">
        <f t="shared" si="2"/>
        <v>Dark</v>
      </c>
      <c r="P33" t="str">
        <f>_xlfn.XLOOKUP(Orders!C33,Customers!$A$2:$A$1001,Customers!$I$2:$I$1001)</f>
        <v>No</v>
      </c>
    </row>
    <row r="34" spans="1:16" x14ac:dyDescent="0.3">
      <c r="A34" t="s">
        <v>80</v>
      </c>
      <c r="B34" s="11">
        <v>44464</v>
      </c>
      <c r="C34" t="s">
        <v>81</v>
      </c>
      <c r="D34" t="s">
        <v>83</v>
      </c>
      <c r="E34">
        <v>6</v>
      </c>
      <c r="F34" t="str">
        <f>_xlfn.XLOOKUP(C34,Customers!$A$2:$A$1001,Customers!$B$2:$B$1001)</f>
        <v>Adrian Swaine</v>
      </c>
      <c r="G34">
        <f>_xlfn.XLOOKUP(C34,Customers!$A$2:$A$1001,Customers!$C$2:$C$1001)</f>
        <v>0</v>
      </c>
      <c r="H34" t="str">
        <f>_xlfn.XLOOKUP(C34,Customers!$A$2:$A$1001,Customers!$G$2:$G$1001)</f>
        <v>United States</v>
      </c>
      <c r="I34" t="str" cm="1">
        <f t="array" ref="I34:L34">_xlfn.XLOOKUP(D34,products!$A$2:$A$49,products!$B$2:$E$49)</f>
        <v>Lib</v>
      </c>
      <c r="J34" t="str">
        <v>M</v>
      </c>
      <c r="K34" s="8">
        <v>0.5</v>
      </c>
      <c r="L34" s="6">
        <v>8.73</v>
      </c>
      <c r="M34" s="7">
        <f t="shared" si="0"/>
        <v>52.38</v>
      </c>
      <c r="N34" t="str">
        <f t="shared" si="1"/>
        <v>Liberica</v>
      </c>
      <c r="O34" t="str">
        <f t="shared" si="2"/>
        <v>Medium</v>
      </c>
      <c r="P34" t="str">
        <f>_xlfn.XLOOKUP(Orders!C34,Customers!$A$2:$A$1001,Customers!$I$2:$I$1001)</f>
        <v>No</v>
      </c>
    </row>
    <row r="35" spans="1:16" x14ac:dyDescent="0.3">
      <c r="A35" t="s">
        <v>84</v>
      </c>
      <c r="B35" s="11">
        <v>44394</v>
      </c>
      <c r="C35" t="s">
        <v>85</v>
      </c>
      <c r="D35" t="s">
        <v>24</v>
      </c>
      <c r="E35">
        <v>5</v>
      </c>
      <c r="F35" t="str">
        <f>_xlfn.XLOOKUP(C35,Customers!$A$2:$A$1001,Customers!$B$2:$B$1001)</f>
        <v>Gallard Gatheral</v>
      </c>
      <c r="G35" t="str">
        <f>_xlfn.XLOOKUP(C35,Customers!$A$2:$A$1001,Customers!$C$2:$C$1001)</f>
        <v>ggatheralx@123-reg.co.uk</v>
      </c>
      <c r="H35" t="str">
        <f>_xlfn.XLOOKUP(C35,Customers!$A$2:$A$1001,Customers!$G$2:$G$1001)</f>
        <v>United States</v>
      </c>
      <c r="I35" t="str" cm="1">
        <f t="array" ref="I35:L35">_xlfn.XLOOKUP(D35,products!$A$2:$A$49,products!$B$2:$E$49)</f>
        <v>Lib</v>
      </c>
      <c r="J35" t="str">
        <v>L</v>
      </c>
      <c r="K35" s="8">
        <v>0.2</v>
      </c>
      <c r="L35" s="6">
        <v>4.7549999999999999</v>
      </c>
      <c r="M35" s="7">
        <f t="shared" si="0"/>
        <v>23.774999999999999</v>
      </c>
      <c r="N35" t="str">
        <f t="shared" si="1"/>
        <v>Liberica</v>
      </c>
      <c r="O35" t="str">
        <f t="shared" si="2"/>
        <v>Lite</v>
      </c>
      <c r="P35" t="str">
        <f>_xlfn.XLOOKUP(Orders!C35,Customers!$A$2:$A$1001,Customers!$I$2:$I$1001)</f>
        <v>No</v>
      </c>
    </row>
    <row r="36" spans="1:16" x14ac:dyDescent="0.3">
      <c r="A36" t="s">
        <v>86</v>
      </c>
      <c r="B36" s="11">
        <v>44011</v>
      </c>
      <c r="C36" t="s">
        <v>87</v>
      </c>
      <c r="D36" t="s">
        <v>88</v>
      </c>
      <c r="E36">
        <v>6</v>
      </c>
      <c r="F36" t="str">
        <f>_xlfn.XLOOKUP(C36,Customers!$A$2:$A$1001,Customers!$B$2:$B$1001)</f>
        <v>Una Welberry</v>
      </c>
      <c r="G36" t="str">
        <f>_xlfn.XLOOKUP(C36,Customers!$A$2:$A$1001,Customers!$C$2:$C$1001)</f>
        <v>uwelberryy@ebay.co.uk</v>
      </c>
      <c r="H36" t="str">
        <f>_xlfn.XLOOKUP(C36,Customers!$A$2:$A$1001,Customers!$G$2:$G$1001)</f>
        <v>United Kingdom</v>
      </c>
      <c r="I36" t="str" cm="1">
        <f t="array" ref="I36:L36">_xlfn.XLOOKUP(D36,products!$A$2:$A$49,products!$B$2:$E$49)</f>
        <v>Lib</v>
      </c>
      <c r="J36" t="str">
        <v>L</v>
      </c>
      <c r="K36" s="8">
        <v>0.5</v>
      </c>
      <c r="L36" s="6">
        <v>9.51</v>
      </c>
      <c r="M36" s="7">
        <f t="shared" si="0"/>
        <v>57.06</v>
      </c>
      <c r="N36" t="str">
        <f t="shared" si="1"/>
        <v>Liberica</v>
      </c>
      <c r="O36" t="str">
        <f t="shared" si="2"/>
        <v>Lite</v>
      </c>
      <c r="P36" t="str">
        <f>_xlfn.XLOOKUP(Orders!C36,Customers!$A$2:$A$1001,Customers!$I$2:$I$1001)</f>
        <v>Yes</v>
      </c>
    </row>
    <row r="37" spans="1:16" x14ac:dyDescent="0.3">
      <c r="A37" t="s">
        <v>89</v>
      </c>
      <c r="B37" s="11">
        <v>44348</v>
      </c>
      <c r="C37" t="s">
        <v>90</v>
      </c>
      <c r="D37" t="s">
        <v>77</v>
      </c>
      <c r="E37">
        <v>6</v>
      </c>
      <c r="F37" t="str">
        <f>_xlfn.XLOOKUP(C37,Customers!$A$2:$A$1001,Customers!$B$2:$B$1001)</f>
        <v>Faber Eilhart</v>
      </c>
      <c r="G37" t="str">
        <f>_xlfn.XLOOKUP(C37,Customers!$A$2:$A$1001,Customers!$C$2:$C$1001)</f>
        <v>feilhartz@who.int</v>
      </c>
      <c r="H37" t="str">
        <f>_xlfn.XLOOKUP(C37,Customers!$A$2:$A$1001,Customers!$G$2:$G$1001)</f>
        <v>United States</v>
      </c>
      <c r="I37" t="str" cm="1">
        <f t="array" ref="I37:L37">_xlfn.XLOOKUP(D37,products!$A$2:$A$49,products!$B$2:$E$49)</f>
        <v>Ara</v>
      </c>
      <c r="J37" t="str">
        <v>D</v>
      </c>
      <c r="K37" s="8">
        <v>0.5</v>
      </c>
      <c r="L37" s="6">
        <v>5.97</v>
      </c>
      <c r="M37" s="7">
        <f t="shared" si="0"/>
        <v>35.82</v>
      </c>
      <c r="N37" t="str">
        <f t="shared" si="1"/>
        <v>Arasbica</v>
      </c>
      <c r="O37" t="str">
        <f t="shared" si="2"/>
        <v>Dark</v>
      </c>
      <c r="P37" t="str">
        <f>_xlfn.XLOOKUP(Orders!C37,Customers!$A$2:$A$1001,Customers!$I$2:$I$1001)</f>
        <v>No</v>
      </c>
    </row>
    <row r="38" spans="1:16" x14ac:dyDescent="0.3">
      <c r="A38" t="s">
        <v>91</v>
      </c>
      <c r="B38" s="11">
        <v>44233</v>
      </c>
      <c r="C38" t="s">
        <v>92</v>
      </c>
      <c r="D38" t="s">
        <v>82</v>
      </c>
      <c r="E38">
        <v>2</v>
      </c>
      <c r="F38" t="str">
        <f>_xlfn.XLOOKUP(C38,Customers!$A$2:$A$1001,Customers!$B$2:$B$1001)</f>
        <v>Zorina Ponting</v>
      </c>
      <c r="G38" t="str">
        <f>_xlfn.XLOOKUP(C38,Customers!$A$2:$A$1001,Customers!$C$2:$C$1001)</f>
        <v>zponting10@altervista.org</v>
      </c>
      <c r="H38" t="str">
        <f>_xlfn.XLOOKUP(C38,Customers!$A$2:$A$1001,Customers!$G$2:$G$1001)</f>
        <v>United States</v>
      </c>
      <c r="I38" t="str" cm="1">
        <f t="array" ref="I38:L38">_xlfn.XLOOKUP(D38,products!$A$2:$A$49,products!$B$2:$E$49)</f>
        <v>Lib</v>
      </c>
      <c r="J38" t="str">
        <v>M</v>
      </c>
      <c r="K38" s="8">
        <v>0.2</v>
      </c>
      <c r="L38" s="6">
        <v>4.3650000000000002</v>
      </c>
      <c r="M38" s="7">
        <f t="shared" si="0"/>
        <v>8.73</v>
      </c>
      <c r="N38" t="str">
        <f t="shared" si="1"/>
        <v>Liberica</v>
      </c>
      <c r="O38" t="str">
        <f t="shared" si="2"/>
        <v>Medium</v>
      </c>
      <c r="P38" t="str">
        <f>_xlfn.XLOOKUP(Orders!C38,Customers!$A$2:$A$1001,Customers!$I$2:$I$1001)</f>
        <v>No</v>
      </c>
    </row>
    <row r="39" spans="1:16" x14ac:dyDescent="0.3">
      <c r="A39" t="s">
        <v>93</v>
      </c>
      <c r="B39" s="11">
        <v>43580</v>
      </c>
      <c r="C39" t="s">
        <v>94</v>
      </c>
      <c r="D39" t="s">
        <v>88</v>
      </c>
      <c r="E39">
        <v>3</v>
      </c>
      <c r="F39" t="str">
        <f>_xlfn.XLOOKUP(C39,Customers!$A$2:$A$1001,Customers!$B$2:$B$1001)</f>
        <v>Silvio Strase</v>
      </c>
      <c r="G39" t="str">
        <f>_xlfn.XLOOKUP(C39,Customers!$A$2:$A$1001,Customers!$C$2:$C$1001)</f>
        <v>sstrase11@booking.com</v>
      </c>
      <c r="H39" t="str">
        <f>_xlfn.XLOOKUP(C39,Customers!$A$2:$A$1001,Customers!$G$2:$G$1001)</f>
        <v>United States</v>
      </c>
      <c r="I39" t="str" cm="1">
        <f t="array" ref="I39:L39">_xlfn.XLOOKUP(D39,products!$A$2:$A$49,products!$B$2:$E$49)</f>
        <v>Lib</v>
      </c>
      <c r="J39" t="str">
        <v>L</v>
      </c>
      <c r="K39" s="8">
        <v>0.5</v>
      </c>
      <c r="L39" s="6">
        <v>9.51</v>
      </c>
      <c r="M39" s="7">
        <f t="shared" si="0"/>
        <v>28.53</v>
      </c>
      <c r="N39" t="str">
        <f t="shared" si="1"/>
        <v>Liberica</v>
      </c>
      <c r="O39" t="str">
        <f t="shared" si="2"/>
        <v>Lite</v>
      </c>
      <c r="P39" t="str">
        <f>_xlfn.XLOOKUP(Orders!C39,Customers!$A$2:$A$1001,Customers!$I$2:$I$1001)</f>
        <v>No</v>
      </c>
    </row>
    <row r="40" spans="1:16" x14ac:dyDescent="0.3">
      <c r="A40" t="s">
        <v>95</v>
      </c>
      <c r="B40" s="11">
        <v>43946</v>
      </c>
      <c r="C40" t="s">
        <v>96</v>
      </c>
      <c r="D40" t="s">
        <v>46</v>
      </c>
      <c r="E40">
        <v>5</v>
      </c>
      <c r="F40" t="str">
        <f>_xlfn.XLOOKUP(C40,Customers!$A$2:$A$1001,Customers!$B$2:$B$1001)</f>
        <v>Dorie de la Tremoille</v>
      </c>
      <c r="G40" t="str">
        <f>_xlfn.XLOOKUP(C40,Customers!$A$2:$A$1001,Customers!$C$2:$C$1001)</f>
        <v>dde12@unesco.org</v>
      </c>
      <c r="H40" t="str">
        <f>_xlfn.XLOOKUP(C40,Customers!$A$2:$A$1001,Customers!$G$2:$G$1001)</f>
        <v>United States</v>
      </c>
      <c r="I40" t="str" cm="1">
        <f t="array" ref="I40:L40">_xlfn.XLOOKUP(D40,products!$A$2:$A$49,products!$B$2:$E$49)</f>
        <v>Rob</v>
      </c>
      <c r="J40" t="str">
        <v>M</v>
      </c>
      <c r="K40" s="8">
        <v>2.5</v>
      </c>
      <c r="L40" s="6">
        <v>22.884999999999998</v>
      </c>
      <c r="M40" s="7">
        <f t="shared" si="0"/>
        <v>114.42499999999998</v>
      </c>
      <c r="N40" t="str">
        <f t="shared" si="1"/>
        <v>Robusta</v>
      </c>
      <c r="O40" t="str">
        <f t="shared" si="2"/>
        <v>Medium</v>
      </c>
      <c r="P40" t="str">
        <f>_xlfn.XLOOKUP(Orders!C40,Customers!$A$2:$A$1001,Customers!$I$2:$I$1001)</f>
        <v>No</v>
      </c>
    </row>
    <row r="41" spans="1:16" x14ac:dyDescent="0.3">
      <c r="A41" t="s">
        <v>97</v>
      </c>
      <c r="B41" s="11">
        <v>44524</v>
      </c>
      <c r="C41" t="s">
        <v>98</v>
      </c>
      <c r="D41" t="s">
        <v>7</v>
      </c>
      <c r="E41">
        <v>6</v>
      </c>
      <c r="F41" t="str">
        <f>_xlfn.XLOOKUP(C41,Customers!$A$2:$A$1001,Customers!$B$2:$B$1001)</f>
        <v>Hy Zanetto</v>
      </c>
      <c r="G41">
        <f>_xlfn.XLOOKUP(C41,Customers!$A$2:$A$1001,Customers!$C$2:$C$1001)</f>
        <v>0</v>
      </c>
      <c r="H41" t="str">
        <f>_xlfn.XLOOKUP(C41,Customers!$A$2:$A$1001,Customers!$G$2:$G$1001)</f>
        <v>United States</v>
      </c>
      <c r="I41" t="str" cm="1">
        <f t="array" ref="I41:L41">_xlfn.XLOOKUP(D41,products!$A$2:$A$49,products!$B$2:$E$49)</f>
        <v>Rob</v>
      </c>
      <c r="J41" t="str">
        <v>M</v>
      </c>
      <c r="K41" s="8">
        <v>1</v>
      </c>
      <c r="L41" s="6">
        <v>9.9499999999999993</v>
      </c>
      <c r="M41" s="7">
        <f t="shared" si="0"/>
        <v>59.699999999999996</v>
      </c>
      <c r="N41" t="str">
        <f t="shared" si="1"/>
        <v>Robusta</v>
      </c>
      <c r="O41" t="str">
        <f t="shared" si="2"/>
        <v>Medium</v>
      </c>
      <c r="P41" t="str">
        <f>_xlfn.XLOOKUP(Orders!C41,Customers!$A$2:$A$1001,Customers!$I$2:$I$1001)</f>
        <v>Yes</v>
      </c>
    </row>
    <row r="42" spans="1:16" x14ac:dyDescent="0.3">
      <c r="A42" t="s">
        <v>99</v>
      </c>
      <c r="B42" s="11">
        <v>44305</v>
      </c>
      <c r="C42" t="s">
        <v>100</v>
      </c>
      <c r="D42" t="s">
        <v>101</v>
      </c>
      <c r="E42">
        <v>3</v>
      </c>
      <c r="F42" t="str">
        <f>_xlfn.XLOOKUP(C42,Customers!$A$2:$A$1001,Customers!$B$2:$B$1001)</f>
        <v>Jessica McNess</v>
      </c>
      <c r="G42">
        <f>_xlfn.XLOOKUP(C42,Customers!$A$2:$A$1001,Customers!$C$2:$C$1001)</f>
        <v>0</v>
      </c>
      <c r="H42" t="str">
        <f>_xlfn.XLOOKUP(C42,Customers!$A$2:$A$1001,Customers!$G$2:$G$1001)</f>
        <v>United States</v>
      </c>
      <c r="I42" t="str" cm="1">
        <f t="array" ref="I42:L42">_xlfn.XLOOKUP(D42,products!$A$2:$A$49,products!$B$2:$E$49)</f>
        <v>Lib</v>
      </c>
      <c r="J42" t="str">
        <v>M</v>
      </c>
      <c r="K42" s="8">
        <v>1</v>
      </c>
      <c r="L42" s="6">
        <v>14.55</v>
      </c>
      <c r="M42" s="7">
        <f t="shared" si="0"/>
        <v>43.650000000000006</v>
      </c>
      <c r="N42" t="str">
        <f t="shared" si="1"/>
        <v>Liberica</v>
      </c>
      <c r="O42" t="str">
        <f t="shared" si="2"/>
        <v>Medium</v>
      </c>
      <c r="P42" t="str">
        <f>_xlfn.XLOOKUP(Orders!C42,Customers!$A$2:$A$1001,Customers!$I$2:$I$1001)</f>
        <v>No</v>
      </c>
    </row>
    <row r="43" spans="1:16" x14ac:dyDescent="0.3">
      <c r="A43" t="s">
        <v>102</v>
      </c>
      <c r="B43" s="11">
        <v>44749</v>
      </c>
      <c r="C43" t="s">
        <v>103</v>
      </c>
      <c r="D43" t="s">
        <v>56</v>
      </c>
      <c r="E43">
        <v>2</v>
      </c>
      <c r="F43" t="str">
        <f>_xlfn.XLOOKUP(C43,Customers!$A$2:$A$1001,Customers!$B$2:$B$1001)</f>
        <v>Lorenzo Yeoland</v>
      </c>
      <c r="G43" t="str">
        <f>_xlfn.XLOOKUP(C43,Customers!$A$2:$A$1001,Customers!$C$2:$C$1001)</f>
        <v>lyeoland15@pbs.org</v>
      </c>
      <c r="H43" t="str">
        <f>_xlfn.XLOOKUP(C43,Customers!$A$2:$A$1001,Customers!$G$2:$G$1001)</f>
        <v>United States</v>
      </c>
      <c r="I43" t="str" cm="1">
        <f t="array" ref="I43:L43">_xlfn.XLOOKUP(D43,products!$A$2:$A$49,products!$B$2:$E$49)</f>
        <v>Exc</v>
      </c>
      <c r="J43" t="str">
        <v>D</v>
      </c>
      <c r="K43" s="8">
        <v>0.2</v>
      </c>
      <c r="L43" s="6">
        <v>3.645</v>
      </c>
      <c r="M43" s="7">
        <f t="shared" si="0"/>
        <v>7.29</v>
      </c>
      <c r="N43" t="str">
        <f t="shared" si="1"/>
        <v>Excelsa</v>
      </c>
      <c r="O43" t="str">
        <f t="shared" si="2"/>
        <v>Dark</v>
      </c>
      <c r="P43" t="str">
        <f>_xlfn.XLOOKUP(Orders!C43,Customers!$A$2:$A$1001,Customers!$I$2:$I$1001)</f>
        <v>Yes</v>
      </c>
    </row>
    <row r="44" spans="1:16" x14ac:dyDescent="0.3">
      <c r="A44" t="s">
        <v>104</v>
      </c>
      <c r="B44" s="11">
        <v>43607</v>
      </c>
      <c r="C44" t="s">
        <v>105</v>
      </c>
      <c r="D44" t="s">
        <v>106</v>
      </c>
      <c r="E44">
        <v>3</v>
      </c>
      <c r="F44" t="str">
        <f>_xlfn.XLOOKUP(C44,Customers!$A$2:$A$1001,Customers!$B$2:$B$1001)</f>
        <v>Abigail Tolworthy</v>
      </c>
      <c r="G44" t="str">
        <f>_xlfn.XLOOKUP(C44,Customers!$A$2:$A$1001,Customers!$C$2:$C$1001)</f>
        <v>atolworthy16@toplist.cz</v>
      </c>
      <c r="H44" t="str">
        <f>_xlfn.XLOOKUP(C44,Customers!$A$2:$A$1001,Customers!$G$2:$G$1001)</f>
        <v>United States</v>
      </c>
      <c r="I44" t="str" cm="1">
        <f t="array" ref="I44:L44">_xlfn.XLOOKUP(D44,products!$A$2:$A$49,products!$B$2:$E$49)</f>
        <v>Rob</v>
      </c>
      <c r="J44" t="str">
        <v>D</v>
      </c>
      <c r="K44" s="8">
        <v>0.2</v>
      </c>
      <c r="L44" s="6">
        <v>2.6849999999999996</v>
      </c>
      <c r="M44" s="7">
        <f t="shared" si="0"/>
        <v>8.0549999999999997</v>
      </c>
      <c r="N44" t="str">
        <f t="shared" si="1"/>
        <v>Robusta</v>
      </c>
      <c r="O44" t="str">
        <f t="shared" si="2"/>
        <v>Dark</v>
      </c>
      <c r="P44" t="str">
        <f>_xlfn.XLOOKUP(Orders!C44,Customers!$A$2:$A$1001,Customers!$I$2:$I$1001)</f>
        <v>Yes</v>
      </c>
    </row>
    <row r="45" spans="1:16" x14ac:dyDescent="0.3">
      <c r="A45" t="s">
        <v>107</v>
      </c>
      <c r="B45" s="11">
        <v>44473</v>
      </c>
      <c r="C45" t="s">
        <v>108</v>
      </c>
      <c r="D45" t="s">
        <v>109</v>
      </c>
      <c r="E45">
        <v>2</v>
      </c>
      <c r="F45" t="str">
        <f>_xlfn.XLOOKUP(C45,Customers!$A$2:$A$1001,Customers!$B$2:$B$1001)</f>
        <v>Maurie Bartol</v>
      </c>
      <c r="G45">
        <f>_xlfn.XLOOKUP(C45,Customers!$A$2:$A$1001,Customers!$C$2:$C$1001)</f>
        <v>0</v>
      </c>
      <c r="H45" t="str">
        <f>_xlfn.XLOOKUP(C45,Customers!$A$2:$A$1001,Customers!$G$2:$G$1001)</f>
        <v>United States</v>
      </c>
      <c r="I45" t="str" cm="1">
        <f t="array" ref="I45:L45">_xlfn.XLOOKUP(D45,products!$A$2:$A$49,products!$B$2:$E$49)</f>
        <v>Lib</v>
      </c>
      <c r="J45" t="str">
        <v>L</v>
      </c>
      <c r="K45" s="8">
        <v>2.5</v>
      </c>
      <c r="L45" s="6">
        <v>36.454999999999998</v>
      </c>
      <c r="M45" s="7">
        <f t="shared" si="0"/>
        <v>72.91</v>
      </c>
      <c r="N45" t="str">
        <f t="shared" si="1"/>
        <v>Liberica</v>
      </c>
      <c r="O45" t="str">
        <f t="shared" si="2"/>
        <v>Lite</v>
      </c>
      <c r="P45" t="str">
        <f>_xlfn.XLOOKUP(Orders!C45,Customers!$A$2:$A$1001,Customers!$I$2:$I$1001)</f>
        <v>No</v>
      </c>
    </row>
    <row r="46" spans="1:16" x14ac:dyDescent="0.3">
      <c r="A46" t="s">
        <v>110</v>
      </c>
      <c r="B46" s="11">
        <v>43932</v>
      </c>
      <c r="C46" t="s">
        <v>111</v>
      </c>
      <c r="D46" t="s">
        <v>8</v>
      </c>
      <c r="E46">
        <v>2</v>
      </c>
      <c r="F46" t="str">
        <f>_xlfn.XLOOKUP(C46,Customers!$A$2:$A$1001,Customers!$B$2:$B$1001)</f>
        <v>Olag Baudassi</v>
      </c>
      <c r="G46" t="str">
        <f>_xlfn.XLOOKUP(C46,Customers!$A$2:$A$1001,Customers!$C$2:$C$1001)</f>
        <v>obaudassi18@seesaa.net</v>
      </c>
      <c r="H46" t="str">
        <f>_xlfn.XLOOKUP(C46,Customers!$A$2:$A$1001,Customers!$G$2:$G$1001)</f>
        <v>United States</v>
      </c>
      <c r="I46" t="str" cm="1">
        <f t="array" ref="I46:L46">_xlfn.XLOOKUP(D46,products!$A$2:$A$49,products!$B$2:$E$49)</f>
        <v>Exc</v>
      </c>
      <c r="J46" t="str">
        <v>M</v>
      </c>
      <c r="K46" s="8">
        <v>0.5</v>
      </c>
      <c r="L46" s="6">
        <v>8.25</v>
      </c>
      <c r="M46" s="7">
        <f t="shared" si="0"/>
        <v>16.5</v>
      </c>
      <c r="N46" t="str">
        <f t="shared" si="1"/>
        <v>Excelsa</v>
      </c>
      <c r="O46" t="str">
        <f t="shared" si="2"/>
        <v>Medium</v>
      </c>
      <c r="P46" t="str">
        <f>_xlfn.XLOOKUP(Orders!C46,Customers!$A$2:$A$1001,Customers!$I$2:$I$1001)</f>
        <v>Yes</v>
      </c>
    </row>
    <row r="47" spans="1:16" x14ac:dyDescent="0.3">
      <c r="A47" t="s">
        <v>112</v>
      </c>
      <c r="B47" s="11">
        <v>44592</v>
      </c>
      <c r="C47" t="s">
        <v>113</v>
      </c>
      <c r="D47" t="s">
        <v>114</v>
      </c>
      <c r="E47">
        <v>6</v>
      </c>
      <c r="F47" t="str">
        <f>_xlfn.XLOOKUP(C47,Customers!$A$2:$A$1001,Customers!$B$2:$B$1001)</f>
        <v>Petey Kingsbury</v>
      </c>
      <c r="G47" t="str">
        <f>_xlfn.XLOOKUP(C47,Customers!$A$2:$A$1001,Customers!$C$2:$C$1001)</f>
        <v>pkingsbury19@comcast.net</v>
      </c>
      <c r="H47" t="str">
        <f>_xlfn.XLOOKUP(C47,Customers!$A$2:$A$1001,Customers!$G$2:$G$1001)</f>
        <v>United States</v>
      </c>
      <c r="I47" t="str" cm="1">
        <f t="array" ref="I47:L47">_xlfn.XLOOKUP(D47,products!$A$2:$A$49,products!$B$2:$E$49)</f>
        <v>Lib</v>
      </c>
      <c r="J47" t="str">
        <v>D</v>
      </c>
      <c r="K47" s="8">
        <v>2.5</v>
      </c>
      <c r="L47" s="6">
        <v>29.784999999999997</v>
      </c>
      <c r="M47" s="7">
        <f t="shared" si="0"/>
        <v>178.70999999999998</v>
      </c>
      <c r="N47" t="str">
        <f t="shared" si="1"/>
        <v>Liberica</v>
      </c>
      <c r="O47" t="str">
        <f t="shared" si="2"/>
        <v>Dark</v>
      </c>
      <c r="P47" t="str">
        <f>_xlfn.XLOOKUP(Orders!C47,Customers!$A$2:$A$1001,Customers!$I$2:$I$1001)</f>
        <v>No</v>
      </c>
    </row>
    <row r="48" spans="1:16" x14ac:dyDescent="0.3">
      <c r="A48" t="s">
        <v>115</v>
      </c>
      <c r="B48" s="11">
        <v>43776</v>
      </c>
      <c r="C48" t="s">
        <v>116</v>
      </c>
      <c r="D48" t="s">
        <v>117</v>
      </c>
      <c r="E48">
        <v>2</v>
      </c>
      <c r="F48" t="str">
        <f>_xlfn.XLOOKUP(C48,Customers!$A$2:$A$1001,Customers!$B$2:$B$1001)</f>
        <v>Donna Baskeyfied</v>
      </c>
      <c r="G48">
        <f>_xlfn.XLOOKUP(C48,Customers!$A$2:$A$1001,Customers!$C$2:$C$1001)</f>
        <v>0</v>
      </c>
      <c r="H48" t="str">
        <f>_xlfn.XLOOKUP(C48,Customers!$A$2:$A$1001,Customers!$G$2:$G$1001)</f>
        <v>United States</v>
      </c>
      <c r="I48" t="str" cm="1">
        <f t="array" ref="I48:L48">_xlfn.XLOOKUP(D48,products!$A$2:$A$49,products!$B$2:$E$49)</f>
        <v>Exc</v>
      </c>
      <c r="J48" t="str">
        <v>M</v>
      </c>
      <c r="K48" s="8">
        <v>2.5</v>
      </c>
      <c r="L48" s="6">
        <v>31.624999999999996</v>
      </c>
      <c r="M48" s="7">
        <f t="shared" si="0"/>
        <v>63.249999999999993</v>
      </c>
      <c r="N48" t="str">
        <f t="shared" si="1"/>
        <v>Excelsa</v>
      </c>
      <c r="O48" t="str">
        <f t="shared" si="2"/>
        <v>Medium</v>
      </c>
      <c r="P48" t="str">
        <f>_xlfn.XLOOKUP(Orders!C48,Customers!$A$2:$A$1001,Customers!$I$2:$I$1001)</f>
        <v>Yes</v>
      </c>
    </row>
    <row r="49" spans="1:16" x14ac:dyDescent="0.3">
      <c r="A49" t="s">
        <v>118</v>
      </c>
      <c r="B49" s="11">
        <v>43644</v>
      </c>
      <c r="C49" t="s">
        <v>119</v>
      </c>
      <c r="D49" t="s">
        <v>120</v>
      </c>
      <c r="E49">
        <v>2</v>
      </c>
      <c r="F49" t="str">
        <f>_xlfn.XLOOKUP(C49,Customers!$A$2:$A$1001,Customers!$B$2:$B$1001)</f>
        <v>Arda Curley</v>
      </c>
      <c r="G49" t="str">
        <f>_xlfn.XLOOKUP(C49,Customers!$A$2:$A$1001,Customers!$C$2:$C$1001)</f>
        <v>acurley1b@hao123.com</v>
      </c>
      <c r="H49" t="str">
        <f>_xlfn.XLOOKUP(C49,Customers!$A$2:$A$1001,Customers!$G$2:$G$1001)</f>
        <v>United States</v>
      </c>
      <c r="I49" t="str" cm="1">
        <f t="array" ref="I49:L49">_xlfn.XLOOKUP(D49,products!$A$2:$A$49,products!$B$2:$E$49)</f>
        <v>Ara</v>
      </c>
      <c r="J49" t="str">
        <v>L</v>
      </c>
      <c r="K49" s="8">
        <v>0.2</v>
      </c>
      <c r="L49" s="6">
        <v>3.8849999999999998</v>
      </c>
      <c r="M49" s="7">
        <f t="shared" si="0"/>
        <v>7.77</v>
      </c>
      <c r="N49" t="str">
        <f t="shared" si="1"/>
        <v>Arasbica</v>
      </c>
      <c r="O49" t="str">
        <f t="shared" si="2"/>
        <v>Lite</v>
      </c>
      <c r="P49" t="str">
        <f>_xlfn.XLOOKUP(Orders!C49,Customers!$A$2:$A$1001,Customers!$I$2:$I$1001)</f>
        <v>Yes</v>
      </c>
    </row>
    <row r="50" spans="1:16" x14ac:dyDescent="0.3">
      <c r="A50" t="s">
        <v>121</v>
      </c>
      <c r="B50" s="11">
        <v>44085</v>
      </c>
      <c r="C50" t="s">
        <v>122</v>
      </c>
      <c r="D50" t="s">
        <v>123</v>
      </c>
      <c r="E50">
        <v>4</v>
      </c>
      <c r="F50" t="str">
        <f>_xlfn.XLOOKUP(C50,Customers!$A$2:$A$1001,Customers!$B$2:$B$1001)</f>
        <v>Raynor McGilvary</v>
      </c>
      <c r="G50" t="str">
        <f>_xlfn.XLOOKUP(C50,Customers!$A$2:$A$1001,Customers!$C$2:$C$1001)</f>
        <v>rmcgilvary1c@tamu.edu</v>
      </c>
      <c r="H50" t="str">
        <f>_xlfn.XLOOKUP(C50,Customers!$A$2:$A$1001,Customers!$G$2:$G$1001)</f>
        <v>United States</v>
      </c>
      <c r="I50" t="str" cm="1">
        <f t="array" ref="I50:L50">_xlfn.XLOOKUP(D50,products!$A$2:$A$49,products!$B$2:$E$49)</f>
        <v>Ara</v>
      </c>
      <c r="J50" t="str">
        <v>D</v>
      </c>
      <c r="K50" s="8">
        <v>2.5</v>
      </c>
      <c r="L50" s="6">
        <v>22.884999999999998</v>
      </c>
      <c r="M50" s="7">
        <f t="shared" si="0"/>
        <v>91.539999999999992</v>
      </c>
      <c r="N50" t="str">
        <f t="shared" si="1"/>
        <v>Arasbica</v>
      </c>
      <c r="O50" t="str">
        <f t="shared" si="2"/>
        <v>Dark</v>
      </c>
      <c r="P50" t="str">
        <f>_xlfn.XLOOKUP(Orders!C50,Customers!$A$2:$A$1001,Customers!$I$2:$I$1001)</f>
        <v>No</v>
      </c>
    </row>
    <row r="51" spans="1:16" x14ac:dyDescent="0.3">
      <c r="A51" t="s">
        <v>124</v>
      </c>
      <c r="B51" s="11">
        <v>44790</v>
      </c>
      <c r="C51" t="s">
        <v>125</v>
      </c>
      <c r="D51" t="s">
        <v>11</v>
      </c>
      <c r="E51">
        <v>3</v>
      </c>
      <c r="F51" t="str">
        <f>_xlfn.XLOOKUP(C51,Customers!$A$2:$A$1001,Customers!$B$2:$B$1001)</f>
        <v>Isis Pikett</v>
      </c>
      <c r="G51" t="str">
        <f>_xlfn.XLOOKUP(C51,Customers!$A$2:$A$1001,Customers!$C$2:$C$1001)</f>
        <v>ipikett1d@xinhuanet.com</v>
      </c>
      <c r="H51" t="str">
        <f>_xlfn.XLOOKUP(C51,Customers!$A$2:$A$1001,Customers!$G$2:$G$1001)</f>
        <v>United States</v>
      </c>
      <c r="I51" t="str" cm="1">
        <f t="array" ref="I51:L51">_xlfn.XLOOKUP(D51,products!$A$2:$A$49,products!$B$2:$E$49)</f>
        <v>Ara</v>
      </c>
      <c r="J51" t="str">
        <v>L</v>
      </c>
      <c r="K51" s="8">
        <v>1</v>
      </c>
      <c r="L51" s="6">
        <v>12.95</v>
      </c>
      <c r="M51" s="7">
        <f t="shared" si="0"/>
        <v>38.849999999999994</v>
      </c>
      <c r="N51" t="str">
        <f t="shared" si="1"/>
        <v>Arasbica</v>
      </c>
      <c r="O51" t="str">
        <f t="shared" si="2"/>
        <v>Lite</v>
      </c>
      <c r="P51" t="str">
        <f>_xlfn.XLOOKUP(Orders!C51,Customers!$A$2:$A$1001,Customers!$I$2:$I$1001)</f>
        <v>No</v>
      </c>
    </row>
    <row r="52" spans="1:16" x14ac:dyDescent="0.3">
      <c r="A52" t="s">
        <v>126</v>
      </c>
      <c r="B52" s="11">
        <v>44792</v>
      </c>
      <c r="C52" t="s">
        <v>127</v>
      </c>
      <c r="D52" t="s">
        <v>128</v>
      </c>
      <c r="E52">
        <v>2</v>
      </c>
      <c r="F52" t="str">
        <f>_xlfn.XLOOKUP(C52,Customers!$A$2:$A$1001,Customers!$B$2:$B$1001)</f>
        <v>Inger Bouldon</v>
      </c>
      <c r="G52" t="str">
        <f>_xlfn.XLOOKUP(C52,Customers!$A$2:$A$1001,Customers!$C$2:$C$1001)</f>
        <v>ibouldon1e@gizmodo.com</v>
      </c>
      <c r="H52" t="str">
        <f>_xlfn.XLOOKUP(C52,Customers!$A$2:$A$1001,Customers!$G$2:$G$1001)</f>
        <v>United States</v>
      </c>
      <c r="I52" t="str" cm="1">
        <f t="array" ref="I52:L52">_xlfn.XLOOKUP(D52,products!$A$2:$A$49,products!$B$2:$E$49)</f>
        <v>Lib</v>
      </c>
      <c r="J52" t="str">
        <v>D</v>
      </c>
      <c r="K52" s="8">
        <v>0.5</v>
      </c>
      <c r="L52" s="6">
        <v>7.77</v>
      </c>
      <c r="M52" s="7">
        <f t="shared" si="0"/>
        <v>15.54</v>
      </c>
      <c r="N52" t="str">
        <f t="shared" si="1"/>
        <v>Liberica</v>
      </c>
      <c r="O52" t="str">
        <f t="shared" si="2"/>
        <v>Dark</v>
      </c>
      <c r="P52" t="str">
        <f>_xlfn.XLOOKUP(Orders!C52,Customers!$A$2:$A$1001,Customers!$I$2:$I$1001)</f>
        <v>No</v>
      </c>
    </row>
    <row r="53" spans="1:16" x14ac:dyDescent="0.3">
      <c r="A53" t="s">
        <v>129</v>
      </c>
      <c r="B53" s="11">
        <v>43600</v>
      </c>
      <c r="C53" t="s">
        <v>130</v>
      </c>
      <c r="D53" t="s">
        <v>109</v>
      </c>
      <c r="E53">
        <v>4</v>
      </c>
      <c r="F53" t="str">
        <f>_xlfn.XLOOKUP(C53,Customers!$A$2:$A$1001,Customers!$B$2:$B$1001)</f>
        <v>Karry Flanders</v>
      </c>
      <c r="G53" t="str">
        <f>_xlfn.XLOOKUP(C53,Customers!$A$2:$A$1001,Customers!$C$2:$C$1001)</f>
        <v>kflanders1f@over-blog.com</v>
      </c>
      <c r="H53" t="str">
        <f>_xlfn.XLOOKUP(C53,Customers!$A$2:$A$1001,Customers!$G$2:$G$1001)</f>
        <v>Ireland</v>
      </c>
      <c r="I53" t="str" cm="1">
        <f t="array" ref="I53:L53">_xlfn.XLOOKUP(D53,products!$A$2:$A$49,products!$B$2:$E$49)</f>
        <v>Lib</v>
      </c>
      <c r="J53" t="str">
        <v>L</v>
      </c>
      <c r="K53" s="8">
        <v>2.5</v>
      </c>
      <c r="L53" s="6">
        <v>36.454999999999998</v>
      </c>
      <c r="M53" s="7">
        <f t="shared" si="0"/>
        <v>145.82</v>
      </c>
      <c r="N53" t="str">
        <f t="shared" si="1"/>
        <v>Liberica</v>
      </c>
      <c r="O53" t="str">
        <f t="shared" si="2"/>
        <v>Lite</v>
      </c>
      <c r="P53" t="str">
        <f>_xlfn.XLOOKUP(Orders!C53,Customers!$A$2:$A$1001,Customers!$I$2:$I$1001)</f>
        <v>Yes</v>
      </c>
    </row>
    <row r="54" spans="1:16" x14ac:dyDescent="0.3">
      <c r="A54" t="s">
        <v>131</v>
      </c>
      <c r="B54" s="11">
        <v>43719</v>
      </c>
      <c r="C54" t="s">
        <v>132</v>
      </c>
      <c r="D54" t="s">
        <v>27</v>
      </c>
      <c r="E54">
        <v>5</v>
      </c>
      <c r="F54" t="str">
        <f>_xlfn.XLOOKUP(C54,Customers!$A$2:$A$1001,Customers!$B$2:$B$1001)</f>
        <v>Hartley Mattioli</v>
      </c>
      <c r="G54" t="str">
        <f>_xlfn.XLOOKUP(C54,Customers!$A$2:$A$1001,Customers!$C$2:$C$1001)</f>
        <v>hmattioli1g@webmd.com</v>
      </c>
      <c r="H54" t="str">
        <f>_xlfn.XLOOKUP(C54,Customers!$A$2:$A$1001,Customers!$G$2:$G$1001)</f>
        <v>United Kingdom</v>
      </c>
      <c r="I54" t="str" cm="1">
        <f t="array" ref="I54:L54">_xlfn.XLOOKUP(D54,products!$A$2:$A$49,products!$B$2:$E$49)</f>
        <v>Rob</v>
      </c>
      <c r="J54" t="str">
        <v>M</v>
      </c>
      <c r="K54" s="8">
        <v>0.5</v>
      </c>
      <c r="L54" s="6">
        <v>5.97</v>
      </c>
      <c r="M54" s="7">
        <f t="shared" si="0"/>
        <v>29.849999999999998</v>
      </c>
      <c r="N54" t="str">
        <f t="shared" si="1"/>
        <v>Robusta</v>
      </c>
      <c r="O54" t="str">
        <f t="shared" si="2"/>
        <v>Medium</v>
      </c>
      <c r="P54" t="str">
        <f>_xlfn.XLOOKUP(Orders!C54,Customers!$A$2:$A$1001,Customers!$I$2:$I$1001)</f>
        <v>No</v>
      </c>
    </row>
    <row r="55" spans="1:16" x14ac:dyDescent="0.3">
      <c r="A55" t="s">
        <v>131</v>
      </c>
      <c r="B55" s="11">
        <v>43719</v>
      </c>
      <c r="C55" t="s">
        <v>132</v>
      </c>
      <c r="D55" t="s">
        <v>109</v>
      </c>
      <c r="E55">
        <v>2</v>
      </c>
      <c r="F55" t="str">
        <f>_xlfn.XLOOKUP(C55,Customers!$A$2:$A$1001,Customers!$B$2:$B$1001)</f>
        <v>Hartley Mattioli</v>
      </c>
      <c r="G55" t="str">
        <f>_xlfn.XLOOKUP(C55,Customers!$A$2:$A$1001,Customers!$C$2:$C$1001)</f>
        <v>hmattioli1g@webmd.com</v>
      </c>
      <c r="H55" t="str">
        <f>_xlfn.XLOOKUP(C55,Customers!$A$2:$A$1001,Customers!$G$2:$G$1001)</f>
        <v>United Kingdom</v>
      </c>
      <c r="I55" t="str" cm="1">
        <f t="array" ref="I55:L55">_xlfn.XLOOKUP(D55,products!$A$2:$A$49,products!$B$2:$E$49)</f>
        <v>Lib</v>
      </c>
      <c r="J55" t="str">
        <v>L</v>
      </c>
      <c r="K55" s="8">
        <v>2.5</v>
      </c>
      <c r="L55" s="6">
        <v>36.454999999999998</v>
      </c>
      <c r="M55" s="7">
        <f t="shared" si="0"/>
        <v>72.91</v>
      </c>
      <c r="N55" t="str">
        <f t="shared" si="1"/>
        <v>Liberica</v>
      </c>
      <c r="O55" t="str">
        <f t="shared" si="2"/>
        <v>Lite</v>
      </c>
      <c r="P55" t="str">
        <f>_xlfn.XLOOKUP(Orders!C55,Customers!$A$2:$A$1001,Customers!$I$2:$I$1001)</f>
        <v>No</v>
      </c>
    </row>
    <row r="56" spans="1:16" x14ac:dyDescent="0.3">
      <c r="A56" t="s">
        <v>133</v>
      </c>
      <c r="B56" s="11">
        <v>44271</v>
      </c>
      <c r="C56" t="s">
        <v>134</v>
      </c>
      <c r="D56" t="s">
        <v>101</v>
      </c>
      <c r="E56">
        <v>5</v>
      </c>
      <c r="F56" t="str">
        <f>_xlfn.XLOOKUP(C56,Customers!$A$2:$A$1001,Customers!$B$2:$B$1001)</f>
        <v>Archambault Gillard</v>
      </c>
      <c r="G56" t="str">
        <f>_xlfn.XLOOKUP(C56,Customers!$A$2:$A$1001,Customers!$C$2:$C$1001)</f>
        <v>agillard1i@issuu.com</v>
      </c>
      <c r="H56" t="str">
        <f>_xlfn.XLOOKUP(C56,Customers!$A$2:$A$1001,Customers!$G$2:$G$1001)</f>
        <v>United States</v>
      </c>
      <c r="I56" t="str" cm="1">
        <f t="array" ref="I56:L56">_xlfn.XLOOKUP(D56,products!$A$2:$A$49,products!$B$2:$E$49)</f>
        <v>Lib</v>
      </c>
      <c r="J56" t="str">
        <v>M</v>
      </c>
      <c r="K56" s="8">
        <v>1</v>
      </c>
      <c r="L56" s="6">
        <v>14.55</v>
      </c>
      <c r="M56" s="7">
        <f t="shared" si="0"/>
        <v>72.75</v>
      </c>
      <c r="N56" t="str">
        <f t="shared" si="1"/>
        <v>Liberica</v>
      </c>
      <c r="O56" t="str">
        <f t="shared" si="2"/>
        <v>Medium</v>
      </c>
      <c r="P56" t="str">
        <f>_xlfn.XLOOKUP(Orders!C56,Customers!$A$2:$A$1001,Customers!$I$2:$I$1001)</f>
        <v>No</v>
      </c>
    </row>
    <row r="57" spans="1:16" x14ac:dyDescent="0.3">
      <c r="A57" t="s">
        <v>135</v>
      </c>
      <c r="B57" s="11">
        <v>44168</v>
      </c>
      <c r="C57" t="s">
        <v>136</v>
      </c>
      <c r="D57" t="s">
        <v>137</v>
      </c>
      <c r="E57">
        <v>3</v>
      </c>
      <c r="F57" t="str">
        <f>_xlfn.XLOOKUP(C57,Customers!$A$2:$A$1001,Customers!$B$2:$B$1001)</f>
        <v>Salomo Cushworth</v>
      </c>
      <c r="G57">
        <f>_xlfn.XLOOKUP(C57,Customers!$A$2:$A$1001,Customers!$C$2:$C$1001)</f>
        <v>0</v>
      </c>
      <c r="H57" t="str">
        <f>_xlfn.XLOOKUP(C57,Customers!$A$2:$A$1001,Customers!$G$2:$G$1001)</f>
        <v>United States</v>
      </c>
      <c r="I57" t="str" cm="1">
        <f t="array" ref="I57:L57">_xlfn.XLOOKUP(D57,products!$A$2:$A$49,products!$B$2:$E$49)</f>
        <v>Lib</v>
      </c>
      <c r="J57" t="str">
        <v>L</v>
      </c>
      <c r="K57" s="8">
        <v>1</v>
      </c>
      <c r="L57" s="6">
        <v>15.85</v>
      </c>
      <c r="M57" s="7">
        <f t="shared" si="0"/>
        <v>47.55</v>
      </c>
      <c r="N57" t="str">
        <f t="shared" si="1"/>
        <v>Liberica</v>
      </c>
      <c r="O57" t="str">
        <f t="shared" si="2"/>
        <v>Lite</v>
      </c>
      <c r="P57" t="str">
        <f>_xlfn.XLOOKUP(Orders!C57,Customers!$A$2:$A$1001,Customers!$I$2:$I$1001)</f>
        <v>No</v>
      </c>
    </row>
    <row r="58" spans="1:16" x14ac:dyDescent="0.3">
      <c r="A58" t="s">
        <v>138</v>
      </c>
      <c r="B58" s="11">
        <v>43857</v>
      </c>
      <c r="C58" t="s">
        <v>139</v>
      </c>
      <c r="D58" t="s">
        <v>56</v>
      </c>
      <c r="E58">
        <v>3</v>
      </c>
      <c r="F58" t="str">
        <f>_xlfn.XLOOKUP(C58,Customers!$A$2:$A$1001,Customers!$B$2:$B$1001)</f>
        <v>Theda Grizard</v>
      </c>
      <c r="G58" t="str">
        <f>_xlfn.XLOOKUP(C58,Customers!$A$2:$A$1001,Customers!$C$2:$C$1001)</f>
        <v>tgrizard1k@odnoklassniki.ru</v>
      </c>
      <c r="H58" t="str">
        <f>_xlfn.XLOOKUP(C58,Customers!$A$2:$A$1001,Customers!$G$2:$G$1001)</f>
        <v>United States</v>
      </c>
      <c r="I58" t="str" cm="1">
        <f t="array" ref="I58:L58">_xlfn.XLOOKUP(D58,products!$A$2:$A$49,products!$B$2:$E$49)</f>
        <v>Exc</v>
      </c>
      <c r="J58" t="str">
        <v>D</v>
      </c>
      <c r="K58" s="8">
        <v>0.2</v>
      </c>
      <c r="L58" s="6">
        <v>3.645</v>
      </c>
      <c r="M58" s="7">
        <f t="shared" si="0"/>
        <v>10.935</v>
      </c>
      <c r="N58" t="str">
        <f t="shared" si="1"/>
        <v>Excelsa</v>
      </c>
      <c r="O58" t="str">
        <f t="shared" si="2"/>
        <v>Dark</v>
      </c>
      <c r="P58" t="str">
        <f>_xlfn.XLOOKUP(Orders!C58,Customers!$A$2:$A$1001,Customers!$I$2:$I$1001)</f>
        <v>Yes</v>
      </c>
    </row>
    <row r="59" spans="1:16" x14ac:dyDescent="0.3">
      <c r="A59" t="s">
        <v>140</v>
      </c>
      <c r="B59" s="11">
        <v>44759</v>
      </c>
      <c r="C59" t="s">
        <v>141</v>
      </c>
      <c r="D59" t="s">
        <v>142</v>
      </c>
      <c r="E59">
        <v>4</v>
      </c>
      <c r="F59" t="str">
        <f>_xlfn.XLOOKUP(C59,Customers!$A$2:$A$1001,Customers!$B$2:$B$1001)</f>
        <v>Rozele Relton</v>
      </c>
      <c r="G59" t="str">
        <f>_xlfn.XLOOKUP(C59,Customers!$A$2:$A$1001,Customers!$C$2:$C$1001)</f>
        <v>rrelton1l@stanford.edu</v>
      </c>
      <c r="H59" t="str">
        <f>_xlfn.XLOOKUP(C59,Customers!$A$2:$A$1001,Customers!$G$2:$G$1001)</f>
        <v>United States</v>
      </c>
      <c r="I59" t="str" cm="1">
        <f t="array" ref="I59:L59">_xlfn.XLOOKUP(D59,products!$A$2:$A$49,products!$B$2:$E$49)</f>
        <v>Exc</v>
      </c>
      <c r="J59" t="str">
        <v>L</v>
      </c>
      <c r="K59" s="8">
        <v>1</v>
      </c>
      <c r="L59" s="6">
        <v>14.85</v>
      </c>
      <c r="M59" s="7">
        <f t="shared" si="0"/>
        <v>59.4</v>
      </c>
      <c r="N59" t="str">
        <f t="shared" si="1"/>
        <v>Excelsa</v>
      </c>
      <c r="O59" t="str">
        <f t="shared" si="2"/>
        <v>Lite</v>
      </c>
      <c r="P59" t="str">
        <f>_xlfn.XLOOKUP(Orders!C59,Customers!$A$2:$A$1001,Customers!$I$2:$I$1001)</f>
        <v>No</v>
      </c>
    </row>
    <row r="60" spans="1:16" x14ac:dyDescent="0.3">
      <c r="A60" t="s">
        <v>143</v>
      </c>
      <c r="B60" s="11">
        <v>44624</v>
      </c>
      <c r="C60" t="s">
        <v>144</v>
      </c>
      <c r="D60" t="s">
        <v>114</v>
      </c>
      <c r="E60">
        <v>3</v>
      </c>
      <c r="F60" t="str">
        <f>_xlfn.XLOOKUP(C60,Customers!$A$2:$A$1001,Customers!$B$2:$B$1001)</f>
        <v>Willa Rolling</v>
      </c>
      <c r="G60">
        <f>_xlfn.XLOOKUP(C60,Customers!$A$2:$A$1001,Customers!$C$2:$C$1001)</f>
        <v>0</v>
      </c>
      <c r="H60" t="str">
        <f>_xlfn.XLOOKUP(C60,Customers!$A$2:$A$1001,Customers!$G$2:$G$1001)</f>
        <v>United States</v>
      </c>
      <c r="I60" t="str" cm="1">
        <f t="array" ref="I60:L60">_xlfn.XLOOKUP(D60,products!$A$2:$A$49,products!$B$2:$E$49)</f>
        <v>Lib</v>
      </c>
      <c r="J60" t="str">
        <v>D</v>
      </c>
      <c r="K60" s="8">
        <v>2.5</v>
      </c>
      <c r="L60" s="6">
        <v>29.784999999999997</v>
      </c>
      <c r="M60" s="7">
        <f t="shared" si="0"/>
        <v>89.35499999999999</v>
      </c>
      <c r="N60" t="str">
        <f t="shared" si="1"/>
        <v>Liberica</v>
      </c>
      <c r="O60" t="str">
        <f t="shared" si="2"/>
        <v>Dark</v>
      </c>
      <c r="P60" t="str">
        <f>_xlfn.XLOOKUP(Orders!C60,Customers!$A$2:$A$1001,Customers!$I$2:$I$1001)</f>
        <v>Yes</v>
      </c>
    </row>
    <row r="61" spans="1:16" x14ac:dyDescent="0.3">
      <c r="A61" t="s">
        <v>145</v>
      </c>
      <c r="B61" s="11">
        <v>44537</v>
      </c>
      <c r="C61" t="s">
        <v>146</v>
      </c>
      <c r="D61" t="s">
        <v>83</v>
      </c>
      <c r="E61">
        <v>3</v>
      </c>
      <c r="F61" t="str">
        <f>_xlfn.XLOOKUP(C61,Customers!$A$2:$A$1001,Customers!$B$2:$B$1001)</f>
        <v>Stanislaus Gilroy</v>
      </c>
      <c r="G61" t="str">
        <f>_xlfn.XLOOKUP(C61,Customers!$A$2:$A$1001,Customers!$C$2:$C$1001)</f>
        <v>sgilroy1n@eepurl.com</v>
      </c>
      <c r="H61" t="str">
        <f>_xlfn.XLOOKUP(C61,Customers!$A$2:$A$1001,Customers!$G$2:$G$1001)</f>
        <v>United States</v>
      </c>
      <c r="I61" t="str" cm="1">
        <f t="array" ref="I61:L61">_xlfn.XLOOKUP(D61,products!$A$2:$A$49,products!$B$2:$E$49)</f>
        <v>Lib</v>
      </c>
      <c r="J61" t="str">
        <v>M</v>
      </c>
      <c r="K61" s="8">
        <v>0.5</v>
      </c>
      <c r="L61" s="6">
        <v>8.73</v>
      </c>
      <c r="M61" s="7">
        <f t="shared" si="0"/>
        <v>26.19</v>
      </c>
      <c r="N61" t="str">
        <f t="shared" si="1"/>
        <v>Liberica</v>
      </c>
      <c r="O61" t="str">
        <f t="shared" si="2"/>
        <v>Medium</v>
      </c>
      <c r="P61" t="str">
        <f>_xlfn.XLOOKUP(Orders!C61,Customers!$A$2:$A$1001,Customers!$I$2:$I$1001)</f>
        <v>Yes</v>
      </c>
    </row>
    <row r="62" spans="1:16" x14ac:dyDescent="0.3">
      <c r="A62" t="s">
        <v>147</v>
      </c>
      <c r="B62" s="11">
        <v>44252</v>
      </c>
      <c r="C62" t="s">
        <v>148</v>
      </c>
      <c r="D62" t="s">
        <v>123</v>
      </c>
      <c r="E62">
        <v>5</v>
      </c>
      <c r="F62" t="str">
        <f>_xlfn.XLOOKUP(C62,Customers!$A$2:$A$1001,Customers!$B$2:$B$1001)</f>
        <v>Correy Cottingham</v>
      </c>
      <c r="G62" t="str">
        <f>_xlfn.XLOOKUP(C62,Customers!$A$2:$A$1001,Customers!$C$2:$C$1001)</f>
        <v>ccottingham1o@wikipedia.org</v>
      </c>
      <c r="H62" t="str">
        <f>_xlfn.XLOOKUP(C62,Customers!$A$2:$A$1001,Customers!$G$2:$G$1001)</f>
        <v>United States</v>
      </c>
      <c r="I62" t="str" cm="1">
        <f t="array" ref="I62:L62">_xlfn.XLOOKUP(D62,products!$A$2:$A$49,products!$B$2:$E$49)</f>
        <v>Ara</v>
      </c>
      <c r="J62" t="str">
        <v>D</v>
      </c>
      <c r="K62" s="8">
        <v>2.5</v>
      </c>
      <c r="L62" s="6">
        <v>22.884999999999998</v>
      </c>
      <c r="M62" s="7">
        <f t="shared" si="0"/>
        <v>114.42499999999998</v>
      </c>
      <c r="N62" t="str">
        <f t="shared" si="1"/>
        <v>Arasbica</v>
      </c>
      <c r="O62" t="str">
        <f t="shared" si="2"/>
        <v>Dark</v>
      </c>
      <c r="P62" t="str">
        <f>_xlfn.XLOOKUP(Orders!C62,Customers!$A$2:$A$1001,Customers!$I$2:$I$1001)</f>
        <v>No</v>
      </c>
    </row>
    <row r="63" spans="1:16" x14ac:dyDescent="0.3">
      <c r="A63" t="s">
        <v>149</v>
      </c>
      <c r="B63" s="11">
        <v>43521</v>
      </c>
      <c r="C63" t="s">
        <v>150</v>
      </c>
      <c r="D63" t="s">
        <v>151</v>
      </c>
      <c r="E63">
        <v>5</v>
      </c>
      <c r="F63" t="str">
        <f>_xlfn.XLOOKUP(C63,Customers!$A$2:$A$1001,Customers!$B$2:$B$1001)</f>
        <v>Pammi Endacott</v>
      </c>
      <c r="G63">
        <f>_xlfn.XLOOKUP(C63,Customers!$A$2:$A$1001,Customers!$C$2:$C$1001)</f>
        <v>0</v>
      </c>
      <c r="H63" t="str">
        <f>_xlfn.XLOOKUP(C63,Customers!$A$2:$A$1001,Customers!$G$2:$G$1001)</f>
        <v>United Kingdom</v>
      </c>
      <c r="I63" t="str" cm="1">
        <f t="array" ref="I63:L63">_xlfn.XLOOKUP(D63,products!$A$2:$A$49,products!$B$2:$E$49)</f>
        <v>Rob</v>
      </c>
      <c r="J63" t="str">
        <v>D</v>
      </c>
      <c r="K63" s="8">
        <v>0.5</v>
      </c>
      <c r="L63" s="6">
        <v>5.3699999999999992</v>
      </c>
      <c r="M63" s="7">
        <f t="shared" si="0"/>
        <v>26.849999999999994</v>
      </c>
      <c r="N63" t="str">
        <f t="shared" si="1"/>
        <v>Robusta</v>
      </c>
      <c r="O63" t="str">
        <f t="shared" si="2"/>
        <v>Dark</v>
      </c>
      <c r="P63" t="str">
        <f>_xlfn.XLOOKUP(Orders!C63,Customers!$A$2:$A$1001,Customers!$I$2:$I$1001)</f>
        <v>Yes</v>
      </c>
    </row>
    <row r="64" spans="1:16" x14ac:dyDescent="0.3">
      <c r="A64" t="s">
        <v>152</v>
      </c>
      <c r="B64" s="11">
        <v>43505</v>
      </c>
      <c r="C64" t="s">
        <v>153</v>
      </c>
      <c r="D64" t="s">
        <v>24</v>
      </c>
      <c r="E64">
        <v>5</v>
      </c>
      <c r="F64" t="str">
        <f>_xlfn.XLOOKUP(C64,Customers!$A$2:$A$1001,Customers!$B$2:$B$1001)</f>
        <v>Nona Linklater</v>
      </c>
      <c r="G64">
        <f>_xlfn.XLOOKUP(C64,Customers!$A$2:$A$1001,Customers!$C$2:$C$1001)</f>
        <v>0</v>
      </c>
      <c r="H64" t="str">
        <f>_xlfn.XLOOKUP(C64,Customers!$A$2:$A$1001,Customers!$G$2:$G$1001)</f>
        <v>United States</v>
      </c>
      <c r="I64" t="str" cm="1">
        <f t="array" ref="I64:L64">_xlfn.XLOOKUP(D64,products!$A$2:$A$49,products!$B$2:$E$49)</f>
        <v>Lib</v>
      </c>
      <c r="J64" t="str">
        <v>L</v>
      </c>
      <c r="K64" s="8">
        <v>0.2</v>
      </c>
      <c r="L64" s="6">
        <v>4.7549999999999999</v>
      </c>
      <c r="M64" s="7">
        <f t="shared" si="0"/>
        <v>23.774999999999999</v>
      </c>
      <c r="N64" t="str">
        <f t="shared" si="1"/>
        <v>Liberica</v>
      </c>
      <c r="O64" t="str">
        <f t="shared" si="2"/>
        <v>Lite</v>
      </c>
      <c r="P64" t="str">
        <f>_xlfn.XLOOKUP(Orders!C64,Customers!$A$2:$A$1001,Customers!$I$2:$I$1001)</f>
        <v>Yes</v>
      </c>
    </row>
    <row r="65" spans="1:16" x14ac:dyDescent="0.3">
      <c r="A65" t="s">
        <v>154</v>
      </c>
      <c r="B65" s="11">
        <v>43868</v>
      </c>
      <c r="C65" t="s">
        <v>155</v>
      </c>
      <c r="D65" t="s">
        <v>72</v>
      </c>
      <c r="E65">
        <v>1</v>
      </c>
      <c r="F65" t="str">
        <f>_xlfn.XLOOKUP(C65,Customers!$A$2:$A$1001,Customers!$B$2:$B$1001)</f>
        <v>Annadiane Dykes</v>
      </c>
      <c r="G65" t="str">
        <f>_xlfn.XLOOKUP(C65,Customers!$A$2:$A$1001,Customers!$C$2:$C$1001)</f>
        <v>adykes1r@eventbrite.com</v>
      </c>
      <c r="H65" t="str">
        <f>_xlfn.XLOOKUP(C65,Customers!$A$2:$A$1001,Customers!$G$2:$G$1001)</f>
        <v>United States</v>
      </c>
      <c r="I65" t="str" cm="1">
        <f t="array" ref="I65:L65">_xlfn.XLOOKUP(D65,products!$A$2:$A$49,products!$B$2:$E$49)</f>
        <v>Ara</v>
      </c>
      <c r="J65" t="str">
        <v>M</v>
      </c>
      <c r="K65" s="8">
        <v>0.5</v>
      </c>
      <c r="L65" s="6">
        <v>6.75</v>
      </c>
      <c r="M65" s="7">
        <f t="shared" si="0"/>
        <v>6.75</v>
      </c>
      <c r="N65" t="str">
        <f t="shared" si="1"/>
        <v>Arasbica</v>
      </c>
      <c r="O65" t="str">
        <f t="shared" si="2"/>
        <v>Medium</v>
      </c>
      <c r="P65" t="str">
        <f>_xlfn.XLOOKUP(Orders!C65,Customers!$A$2:$A$1001,Customers!$I$2:$I$1001)</f>
        <v>No</v>
      </c>
    </row>
    <row r="66" spans="1:16" x14ac:dyDescent="0.3">
      <c r="A66" t="s">
        <v>156</v>
      </c>
      <c r="B66" s="11">
        <v>43913</v>
      </c>
      <c r="C66" t="s">
        <v>157</v>
      </c>
      <c r="D66" t="s">
        <v>27</v>
      </c>
      <c r="E66">
        <v>6</v>
      </c>
      <c r="F66" t="str">
        <f>_xlfn.XLOOKUP(C66,Customers!$A$2:$A$1001,Customers!$B$2:$B$1001)</f>
        <v>Felecia Dodgson</v>
      </c>
      <c r="G66">
        <f>_xlfn.XLOOKUP(C66,Customers!$A$2:$A$1001,Customers!$C$2:$C$1001)</f>
        <v>0</v>
      </c>
      <c r="H66" t="str">
        <f>_xlfn.XLOOKUP(C66,Customers!$A$2:$A$1001,Customers!$G$2:$G$1001)</f>
        <v>United States</v>
      </c>
      <c r="I66" t="str" cm="1">
        <f t="array" ref="I66:L66">_xlfn.XLOOKUP(D66,products!$A$2:$A$49,products!$B$2:$E$49)</f>
        <v>Rob</v>
      </c>
      <c r="J66" t="str">
        <v>M</v>
      </c>
      <c r="K66" s="8">
        <v>0.5</v>
      </c>
      <c r="L66" s="6">
        <v>5.97</v>
      </c>
      <c r="M66" s="7">
        <f t="shared" si="0"/>
        <v>35.82</v>
      </c>
      <c r="N66" t="str">
        <f t="shared" si="1"/>
        <v>Robusta</v>
      </c>
      <c r="O66" t="str">
        <f t="shared" si="2"/>
        <v>Medium</v>
      </c>
      <c r="P66" t="str">
        <f>_xlfn.XLOOKUP(Orders!C66,Customers!$A$2:$A$1001,Customers!$I$2:$I$1001)</f>
        <v>Yes</v>
      </c>
    </row>
    <row r="67" spans="1:16" x14ac:dyDescent="0.3">
      <c r="A67" t="s">
        <v>158</v>
      </c>
      <c r="B67" s="11">
        <v>44626</v>
      </c>
      <c r="C67" t="s">
        <v>159</v>
      </c>
      <c r="D67" t="s">
        <v>40</v>
      </c>
      <c r="E67">
        <v>4</v>
      </c>
      <c r="F67" t="str">
        <f>_xlfn.XLOOKUP(C67,Customers!$A$2:$A$1001,Customers!$B$2:$B$1001)</f>
        <v>Angelia Cockrem</v>
      </c>
      <c r="G67" t="str">
        <f>_xlfn.XLOOKUP(C67,Customers!$A$2:$A$1001,Customers!$C$2:$C$1001)</f>
        <v>acockrem1t@engadget.com</v>
      </c>
      <c r="H67" t="str">
        <f>_xlfn.XLOOKUP(C67,Customers!$A$2:$A$1001,Customers!$G$2:$G$1001)</f>
        <v>United States</v>
      </c>
      <c r="I67" t="str" cm="1">
        <f t="array" ref="I67:L67">_xlfn.XLOOKUP(D67,products!$A$2:$A$49,products!$B$2:$E$49)</f>
        <v>Rob</v>
      </c>
      <c r="J67" t="str">
        <v>D</v>
      </c>
      <c r="K67" s="8">
        <v>2.5</v>
      </c>
      <c r="L67" s="6">
        <v>20.584999999999997</v>
      </c>
      <c r="M67" s="7">
        <f t="shared" ref="M67:M130" si="3">E67*L67</f>
        <v>82.339999999999989</v>
      </c>
      <c r="N67" t="str">
        <f t="shared" ref="N67:N130" si="4">IF(I67="rob","Robusta",IF(I67="Exc","Excelsa",IF(I67="Ara","Arasbica",IF(I67="Lib","Liberica"))))</f>
        <v>Robusta</v>
      </c>
      <c r="O67" t="str">
        <f t="shared" ref="O67:O130" si="5">IF(J67="M","Medium",IF(J67="L","Lite",IF(J67="D","Dark")))</f>
        <v>Dark</v>
      </c>
      <c r="P67" t="str">
        <f>_xlfn.XLOOKUP(Orders!C67,Customers!$A$2:$A$1001,Customers!$I$2:$I$1001)</f>
        <v>Yes</v>
      </c>
    </row>
    <row r="68" spans="1:16" x14ac:dyDescent="0.3">
      <c r="A68" t="s">
        <v>160</v>
      </c>
      <c r="B68" s="11">
        <v>44666</v>
      </c>
      <c r="C68" t="s">
        <v>161</v>
      </c>
      <c r="D68" t="s">
        <v>162</v>
      </c>
      <c r="E68">
        <v>1</v>
      </c>
      <c r="F68" t="str">
        <f>_xlfn.XLOOKUP(C68,Customers!$A$2:$A$1001,Customers!$B$2:$B$1001)</f>
        <v>Belvia Umpleby</v>
      </c>
      <c r="G68" t="str">
        <f>_xlfn.XLOOKUP(C68,Customers!$A$2:$A$1001,Customers!$C$2:$C$1001)</f>
        <v>bumpleby1u@soundcloud.com</v>
      </c>
      <c r="H68" t="str">
        <f>_xlfn.XLOOKUP(C68,Customers!$A$2:$A$1001,Customers!$G$2:$G$1001)</f>
        <v>United States</v>
      </c>
      <c r="I68" t="str" cm="1">
        <f t="array" ref="I68:L68">_xlfn.XLOOKUP(D68,products!$A$2:$A$49,products!$B$2:$E$49)</f>
        <v>Rob</v>
      </c>
      <c r="J68" t="str">
        <v>L</v>
      </c>
      <c r="K68" s="8">
        <v>0.5</v>
      </c>
      <c r="L68" s="6">
        <v>7.169999999999999</v>
      </c>
      <c r="M68" s="7">
        <f t="shared" si="3"/>
        <v>7.169999999999999</v>
      </c>
      <c r="N68" t="str">
        <f t="shared" si="4"/>
        <v>Robusta</v>
      </c>
      <c r="O68" t="str">
        <f t="shared" si="5"/>
        <v>Lite</v>
      </c>
      <c r="P68" t="str">
        <f>_xlfn.XLOOKUP(Orders!C68,Customers!$A$2:$A$1001,Customers!$I$2:$I$1001)</f>
        <v>Yes</v>
      </c>
    </row>
    <row r="69" spans="1:16" x14ac:dyDescent="0.3">
      <c r="A69" t="s">
        <v>163</v>
      </c>
      <c r="B69" s="11">
        <v>44519</v>
      </c>
      <c r="C69" t="s">
        <v>164</v>
      </c>
      <c r="D69" t="s">
        <v>24</v>
      </c>
      <c r="E69">
        <v>2</v>
      </c>
      <c r="F69" t="str">
        <f>_xlfn.XLOOKUP(C69,Customers!$A$2:$A$1001,Customers!$B$2:$B$1001)</f>
        <v>Nat Saleway</v>
      </c>
      <c r="G69" t="str">
        <f>_xlfn.XLOOKUP(C69,Customers!$A$2:$A$1001,Customers!$C$2:$C$1001)</f>
        <v>nsaleway1v@dedecms.com</v>
      </c>
      <c r="H69" t="str">
        <f>_xlfn.XLOOKUP(C69,Customers!$A$2:$A$1001,Customers!$G$2:$G$1001)</f>
        <v>United States</v>
      </c>
      <c r="I69" t="str" cm="1">
        <f t="array" ref="I69:L69">_xlfn.XLOOKUP(D69,products!$A$2:$A$49,products!$B$2:$E$49)</f>
        <v>Lib</v>
      </c>
      <c r="J69" t="str">
        <v>L</v>
      </c>
      <c r="K69" s="8">
        <v>0.2</v>
      </c>
      <c r="L69" s="6">
        <v>4.7549999999999999</v>
      </c>
      <c r="M69" s="7">
        <f t="shared" si="3"/>
        <v>9.51</v>
      </c>
      <c r="N69" t="str">
        <f t="shared" si="4"/>
        <v>Liberica</v>
      </c>
      <c r="O69" t="str">
        <f t="shared" si="5"/>
        <v>Lite</v>
      </c>
      <c r="P69" t="str">
        <f>_xlfn.XLOOKUP(Orders!C69,Customers!$A$2:$A$1001,Customers!$I$2:$I$1001)</f>
        <v>No</v>
      </c>
    </row>
    <row r="70" spans="1:16" x14ac:dyDescent="0.3">
      <c r="A70" t="s">
        <v>165</v>
      </c>
      <c r="B70" s="11">
        <v>43754</v>
      </c>
      <c r="C70" t="s">
        <v>166</v>
      </c>
      <c r="D70" t="s">
        <v>167</v>
      </c>
      <c r="E70">
        <v>1</v>
      </c>
      <c r="F70" t="str">
        <f>_xlfn.XLOOKUP(C70,Customers!$A$2:$A$1001,Customers!$B$2:$B$1001)</f>
        <v>Hayward Goulter</v>
      </c>
      <c r="G70" t="str">
        <f>_xlfn.XLOOKUP(C70,Customers!$A$2:$A$1001,Customers!$C$2:$C$1001)</f>
        <v>hgoulter1w@abc.net.au</v>
      </c>
      <c r="H70" t="str">
        <f>_xlfn.XLOOKUP(C70,Customers!$A$2:$A$1001,Customers!$G$2:$G$1001)</f>
        <v>United States</v>
      </c>
      <c r="I70" t="str" cm="1">
        <f t="array" ref="I70:L70">_xlfn.XLOOKUP(D70,products!$A$2:$A$49,products!$B$2:$E$49)</f>
        <v>Rob</v>
      </c>
      <c r="J70" t="str">
        <v>M</v>
      </c>
      <c r="K70" s="8">
        <v>0.2</v>
      </c>
      <c r="L70" s="6">
        <v>2.9849999999999999</v>
      </c>
      <c r="M70" s="7">
        <f t="shared" si="3"/>
        <v>2.9849999999999999</v>
      </c>
      <c r="N70" t="str">
        <f t="shared" si="4"/>
        <v>Robusta</v>
      </c>
      <c r="O70" t="str">
        <f t="shared" si="5"/>
        <v>Medium</v>
      </c>
      <c r="P70" t="str">
        <f>_xlfn.XLOOKUP(Orders!C70,Customers!$A$2:$A$1001,Customers!$I$2:$I$1001)</f>
        <v>No</v>
      </c>
    </row>
    <row r="71" spans="1:16" x14ac:dyDescent="0.3">
      <c r="A71" t="s">
        <v>168</v>
      </c>
      <c r="B71" s="11">
        <v>43795</v>
      </c>
      <c r="C71" t="s">
        <v>169</v>
      </c>
      <c r="D71" t="s">
        <v>7</v>
      </c>
      <c r="E71">
        <v>6</v>
      </c>
      <c r="F71" t="str">
        <f>_xlfn.XLOOKUP(C71,Customers!$A$2:$A$1001,Customers!$B$2:$B$1001)</f>
        <v>Gay Rizzello</v>
      </c>
      <c r="G71" t="str">
        <f>_xlfn.XLOOKUP(C71,Customers!$A$2:$A$1001,Customers!$C$2:$C$1001)</f>
        <v>grizzello1x@symantec.com</v>
      </c>
      <c r="H71" t="str">
        <f>_xlfn.XLOOKUP(C71,Customers!$A$2:$A$1001,Customers!$G$2:$G$1001)</f>
        <v>United Kingdom</v>
      </c>
      <c r="I71" t="str" cm="1">
        <f t="array" ref="I71:L71">_xlfn.XLOOKUP(D71,products!$A$2:$A$49,products!$B$2:$E$49)</f>
        <v>Rob</v>
      </c>
      <c r="J71" t="str">
        <v>M</v>
      </c>
      <c r="K71" s="8">
        <v>1</v>
      </c>
      <c r="L71" s="6">
        <v>9.9499999999999993</v>
      </c>
      <c r="M71" s="7">
        <f t="shared" si="3"/>
        <v>59.699999999999996</v>
      </c>
      <c r="N71" t="str">
        <f t="shared" si="4"/>
        <v>Robusta</v>
      </c>
      <c r="O71" t="str">
        <f t="shared" si="5"/>
        <v>Medium</v>
      </c>
      <c r="P71" t="str">
        <f>_xlfn.XLOOKUP(Orders!C71,Customers!$A$2:$A$1001,Customers!$I$2:$I$1001)</f>
        <v>Yes</v>
      </c>
    </row>
    <row r="72" spans="1:16" x14ac:dyDescent="0.3">
      <c r="A72" t="s">
        <v>170</v>
      </c>
      <c r="B72" s="11">
        <v>43646</v>
      </c>
      <c r="C72" t="s">
        <v>171</v>
      </c>
      <c r="D72" t="s">
        <v>35</v>
      </c>
      <c r="E72">
        <v>4</v>
      </c>
      <c r="F72" t="str">
        <f>_xlfn.XLOOKUP(C72,Customers!$A$2:$A$1001,Customers!$B$2:$B$1001)</f>
        <v>Shannon List</v>
      </c>
      <c r="G72" t="str">
        <f>_xlfn.XLOOKUP(C72,Customers!$A$2:$A$1001,Customers!$C$2:$C$1001)</f>
        <v>slist1y@mapquest.com</v>
      </c>
      <c r="H72" t="str">
        <f>_xlfn.XLOOKUP(C72,Customers!$A$2:$A$1001,Customers!$G$2:$G$1001)</f>
        <v>United States</v>
      </c>
      <c r="I72" t="str" cm="1">
        <f t="array" ref="I72:L72">_xlfn.XLOOKUP(D72,products!$A$2:$A$49,products!$B$2:$E$49)</f>
        <v>Exc</v>
      </c>
      <c r="J72" t="str">
        <v>L</v>
      </c>
      <c r="K72" s="8">
        <v>2.5</v>
      </c>
      <c r="L72" s="6">
        <v>34.154999999999994</v>
      </c>
      <c r="M72" s="7">
        <f t="shared" si="3"/>
        <v>136.61999999999998</v>
      </c>
      <c r="N72" t="str">
        <f t="shared" si="4"/>
        <v>Excelsa</v>
      </c>
      <c r="O72" t="str">
        <f t="shared" si="5"/>
        <v>Lite</v>
      </c>
      <c r="P72" t="str">
        <f>_xlfn.XLOOKUP(Orders!C72,Customers!$A$2:$A$1001,Customers!$I$2:$I$1001)</f>
        <v>No</v>
      </c>
    </row>
    <row r="73" spans="1:16" x14ac:dyDescent="0.3">
      <c r="A73" t="s">
        <v>172</v>
      </c>
      <c r="B73" s="11">
        <v>44200</v>
      </c>
      <c r="C73" t="s">
        <v>173</v>
      </c>
      <c r="D73" t="s">
        <v>24</v>
      </c>
      <c r="E73">
        <v>2</v>
      </c>
      <c r="F73" t="str">
        <f>_xlfn.XLOOKUP(C73,Customers!$A$2:$A$1001,Customers!$B$2:$B$1001)</f>
        <v>Shirlene Edmondson</v>
      </c>
      <c r="G73" t="str">
        <f>_xlfn.XLOOKUP(C73,Customers!$A$2:$A$1001,Customers!$C$2:$C$1001)</f>
        <v>sedmondson1z@theguardian.com</v>
      </c>
      <c r="H73" t="str">
        <f>_xlfn.XLOOKUP(C73,Customers!$A$2:$A$1001,Customers!$G$2:$G$1001)</f>
        <v>Ireland</v>
      </c>
      <c r="I73" t="str" cm="1">
        <f t="array" ref="I73:L73">_xlfn.XLOOKUP(D73,products!$A$2:$A$49,products!$B$2:$E$49)</f>
        <v>Lib</v>
      </c>
      <c r="J73" t="str">
        <v>L</v>
      </c>
      <c r="K73" s="8">
        <v>0.2</v>
      </c>
      <c r="L73" s="6">
        <v>4.7549999999999999</v>
      </c>
      <c r="M73" s="7">
        <f t="shared" si="3"/>
        <v>9.51</v>
      </c>
      <c r="N73" t="str">
        <f t="shared" si="4"/>
        <v>Liberica</v>
      </c>
      <c r="O73" t="str">
        <f t="shared" si="5"/>
        <v>Lite</v>
      </c>
      <c r="P73" t="str">
        <f>_xlfn.XLOOKUP(Orders!C73,Customers!$A$2:$A$1001,Customers!$I$2:$I$1001)</f>
        <v>No</v>
      </c>
    </row>
    <row r="74" spans="1:16" x14ac:dyDescent="0.3">
      <c r="A74" t="s">
        <v>174</v>
      </c>
      <c r="B74" s="11">
        <v>44131</v>
      </c>
      <c r="C74" t="s">
        <v>175</v>
      </c>
      <c r="D74" t="s">
        <v>176</v>
      </c>
      <c r="E74">
        <v>3</v>
      </c>
      <c r="F74" t="str">
        <f>_xlfn.XLOOKUP(C74,Customers!$A$2:$A$1001,Customers!$B$2:$B$1001)</f>
        <v>Aurlie McCarl</v>
      </c>
      <c r="G74">
        <f>_xlfn.XLOOKUP(C74,Customers!$A$2:$A$1001,Customers!$C$2:$C$1001)</f>
        <v>0</v>
      </c>
      <c r="H74" t="str">
        <f>_xlfn.XLOOKUP(C74,Customers!$A$2:$A$1001,Customers!$G$2:$G$1001)</f>
        <v>United States</v>
      </c>
      <c r="I74" t="str" cm="1">
        <f t="array" ref="I74:L74">_xlfn.XLOOKUP(D74,products!$A$2:$A$49,products!$B$2:$E$49)</f>
        <v>Ara</v>
      </c>
      <c r="J74" t="str">
        <v>M</v>
      </c>
      <c r="K74" s="8">
        <v>2.5</v>
      </c>
      <c r="L74" s="6">
        <v>25.874999999999996</v>
      </c>
      <c r="M74" s="7">
        <f t="shared" si="3"/>
        <v>77.624999999999986</v>
      </c>
      <c r="N74" t="str">
        <f t="shared" si="4"/>
        <v>Arasbica</v>
      </c>
      <c r="O74" t="str">
        <f t="shared" si="5"/>
        <v>Medium</v>
      </c>
      <c r="P74" t="str">
        <f>_xlfn.XLOOKUP(Orders!C74,Customers!$A$2:$A$1001,Customers!$I$2:$I$1001)</f>
        <v>No</v>
      </c>
    </row>
    <row r="75" spans="1:16" x14ac:dyDescent="0.3">
      <c r="A75" t="s">
        <v>177</v>
      </c>
      <c r="B75" s="11">
        <v>44362</v>
      </c>
      <c r="C75" t="s">
        <v>178</v>
      </c>
      <c r="D75" t="s">
        <v>82</v>
      </c>
      <c r="E75">
        <v>5</v>
      </c>
      <c r="F75" t="str">
        <f>_xlfn.XLOOKUP(C75,Customers!$A$2:$A$1001,Customers!$B$2:$B$1001)</f>
        <v>Alikee Carryer</v>
      </c>
      <c r="G75">
        <f>_xlfn.XLOOKUP(C75,Customers!$A$2:$A$1001,Customers!$C$2:$C$1001)</f>
        <v>0</v>
      </c>
      <c r="H75" t="str">
        <f>_xlfn.XLOOKUP(C75,Customers!$A$2:$A$1001,Customers!$G$2:$G$1001)</f>
        <v>United States</v>
      </c>
      <c r="I75" t="str" cm="1">
        <f t="array" ref="I75:L75">_xlfn.XLOOKUP(D75,products!$A$2:$A$49,products!$B$2:$E$49)</f>
        <v>Lib</v>
      </c>
      <c r="J75" t="str">
        <v>M</v>
      </c>
      <c r="K75" s="8">
        <v>0.2</v>
      </c>
      <c r="L75" s="6">
        <v>4.3650000000000002</v>
      </c>
      <c r="M75" s="7">
        <f t="shared" si="3"/>
        <v>21.825000000000003</v>
      </c>
      <c r="N75" t="str">
        <f t="shared" si="4"/>
        <v>Liberica</v>
      </c>
      <c r="O75" t="str">
        <f t="shared" si="5"/>
        <v>Medium</v>
      </c>
      <c r="P75" t="str">
        <f>_xlfn.XLOOKUP(Orders!C75,Customers!$A$2:$A$1001,Customers!$I$2:$I$1001)</f>
        <v>Yes</v>
      </c>
    </row>
    <row r="76" spans="1:16" x14ac:dyDescent="0.3">
      <c r="A76" t="s">
        <v>179</v>
      </c>
      <c r="B76" s="11">
        <v>44396</v>
      </c>
      <c r="C76" t="s">
        <v>180</v>
      </c>
      <c r="D76" t="s">
        <v>181</v>
      </c>
      <c r="E76">
        <v>2</v>
      </c>
      <c r="F76" t="str">
        <f>_xlfn.XLOOKUP(C76,Customers!$A$2:$A$1001,Customers!$B$2:$B$1001)</f>
        <v>Jennifer Rangall</v>
      </c>
      <c r="G76" t="str">
        <f>_xlfn.XLOOKUP(C76,Customers!$A$2:$A$1001,Customers!$C$2:$C$1001)</f>
        <v>jrangall22@newsvine.com</v>
      </c>
      <c r="H76" t="str">
        <f>_xlfn.XLOOKUP(C76,Customers!$A$2:$A$1001,Customers!$G$2:$G$1001)</f>
        <v>United States</v>
      </c>
      <c r="I76" t="str" cm="1">
        <f t="array" ref="I76:L76">_xlfn.XLOOKUP(D76,products!$A$2:$A$49,products!$B$2:$E$49)</f>
        <v>Exc</v>
      </c>
      <c r="J76" t="str">
        <v>L</v>
      </c>
      <c r="K76" s="8">
        <v>0.5</v>
      </c>
      <c r="L76" s="6">
        <v>8.91</v>
      </c>
      <c r="M76" s="7">
        <f t="shared" si="3"/>
        <v>17.82</v>
      </c>
      <c r="N76" t="str">
        <f t="shared" si="4"/>
        <v>Excelsa</v>
      </c>
      <c r="O76" t="str">
        <f t="shared" si="5"/>
        <v>Lite</v>
      </c>
      <c r="P76" t="str">
        <f>_xlfn.XLOOKUP(Orders!C76,Customers!$A$2:$A$1001,Customers!$I$2:$I$1001)</f>
        <v>Yes</v>
      </c>
    </row>
    <row r="77" spans="1:16" x14ac:dyDescent="0.3">
      <c r="A77" t="s">
        <v>182</v>
      </c>
      <c r="B77" s="11">
        <v>44400</v>
      </c>
      <c r="C77" t="s">
        <v>183</v>
      </c>
      <c r="D77" t="s">
        <v>184</v>
      </c>
      <c r="E77">
        <v>6</v>
      </c>
      <c r="F77" t="str">
        <f>_xlfn.XLOOKUP(C77,Customers!$A$2:$A$1001,Customers!$B$2:$B$1001)</f>
        <v>Kipper Boorn</v>
      </c>
      <c r="G77" t="str">
        <f>_xlfn.XLOOKUP(C77,Customers!$A$2:$A$1001,Customers!$C$2:$C$1001)</f>
        <v>kboorn23@ezinearticles.com</v>
      </c>
      <c r="H77" t="str">
        <f>_xlfn.XLOOKUP(C77,Customers!$A$2:$A$1001,Customers!$G$2:$G$1001)</f>
        <v>Ireland</v>
      </c>
      <c r="I77" t="str" cm="1">
        <f t="array" ref="I77:L77">_xlfn.XLOOKUP(D77,products!$A$2:$A$49,products!$B$2:$E$49)</f>
        <v>Rob</v>
      </c>
      <c r="J77" t="str">
        <v>D</v>
      </c>
      <c r="K77" s="8">
        <v>1</v>
      </c>
      <c r="L77" s="6">
        <v>8.9499999999999993</v>
      </c>
      <c r="M77" s="7">
        <f t="shared" si="3"/>
        <v>53.699999999999996</v>
      </c>
      <c r="N77" t="str">
        <f t="shared" si="4"/>
        <v>Robusta</v>
      </c>
      <c r="O77" t="str">
        <f t="shared" si="5"/>
        <v>Dark</v>
      </c>
      <c r="P77" t="str">
        <f>_xlfn.XLOOKUP(Orders!C77,Customers!$A$2:$A$1001,Customers!$I$2:$I$1001)</f>
        <v>Yes</v>
      </c>
    </row>
    <row r="78" spans="1:16" x14ac:dyDescent="0.3">
      <c r="A78" t="s">
        <v>185</v>
      </c>
      <c r="B78" s="11">
        <v>43855</v>
      </c>
      <c r="C78" t="s">
        <v>186</v>
      </c>
      <c r="D78" t="s">
        <v>187</v>
      </c>
      <c r="E78">
        <v>1</v>
      </c>
      <c r="F78" t="str">
        <f>_xlfn.XLOOKUP(C78,Customers!$A$2:$A$1001,Customers!$B$2:$B$1001)</f>
        <v>Melania Beadle</v>
      </c>
      <c r="G78">
        <f>_xlfn.XLOOKUP(C78,Customers!$A$2:$A$1001,Customers!$C$2:$C$1001)</f>
        <v>0</v>
      </c>
      <c r="H78" t="str">
        <f>_xlfn.XLOOKUP(C78,Customers!$A$2:$A$1001,Customers!$G$2:$G$1001)</f>
        <v>Ireland</v>
      </c>
      <c r="I78" t="str" cm="1">
        <f t="array" ref="I78:L78">_xlfn.XLOOKUP(D78,products!$A$2:$A$49,products!$B$2:$E$49)</f>
        <v>Rob</v>
      </c>
      <c r="J78" t="str">
        <v>L</v>
      </c>
      <c r="K78" s="8">
        <v>0.2</v>
      </c>
      <c r="L78" s="6">
        <v>3.5849999999999995</v>
      </c>
      <c r="M78" s="7">
        <f t="shared" si="3"/>
        <v>3.5849999999999995</v>
      </c>
      <c r="N78" t="str">
        <f t="shared" si="4"/>
        <v>Robusta</v>
      </c>
      <c r="O78" t="str">
        <f t="shared" si="5"/>
        <v>Lite</v>
      </c>
      <c r="P78" t="str">
        <f>_xlfn.XLOOKUP(Orders!C78,Customers!$A$2:$A$1001,Customers!$I$2:$I$1001)</f>
        <v>Yes</v>
      </c>
    </row>
    <row r="79" spans="1:16" x14ac:dyDescent="0.3">
      <c r="A79" t="s">
        <v>188</v>
      </c>
      <c r="B79" s="11">
        <v>43594</v>
      </c>
      <c r="C79" t="s">
        <v>189</v>
      </c>
      <c r="D79" t="s">
        <v>56</v>
      </c>
      <c r="E79">
        <v>2</v>
      </c>
      <c r="F79" t="str">
        <f>_xlfn.XLOOKUP(C79,Customers!$A$2:$A$1001,Customers!$B$2:$B$1001)</f>
        <v>Colene Elgey</v>
      </c>
      <c r="G79" t="str">
        <f>_xlfn.XLOOKUP(C79,Customers!$A$2:$A$1001,Customers!$C$2:$C$1001)</f>
        <v>celgey25@webs.com</v>
      </c>
      <c r="H79" t="str">
        <f>_xlfn.XLOOKUP(C79,Customers!$A$2:$A$1001,Customers!$G$2:$G$1001)</f>
        <v>United States</v>
      </c>
      <c r="I79" t="str" cm="1">
        <f t="array" ref="I79:L79">_xlfn.XLOOKUP(D79,products!$A$2:$A$49,products!$B$2:$E$49)</f>
        <v>Exc</v>
      </c>
      <c r="J79" t="str">
        <v>D</v>
      </c>
      <c r="K79" s="8">
        <v>0.2</v>
      </c>
      <c r="L79" s="6">
        <v>3.645</v>
      </c>
      <c r="M79" s="7">
        <f t="shared" si="3"/>
        <v>7.29</v>
      </c>
      <c r="N79" t="str">
        <f t="shared" si="4"/>
        <v>Excelsa</v>
      </c>
      <c r="O79" t="str">
        <f t="shared" si="5"/>
        <v>Dark</v>
      </c>
      <c r="P79" t="str">
        <f>_xlfn.XLOOKUP(Orders!C79,Customers!$A$2:$A$1001,Customers!$I$2:$I$1001)</f>
        <v>No</v>
      </c>
    </row>
    <row r="80" spans="1:16" x14ac:dyDescent="0.3">
      <c r="A80" t="s">
        <v>190</v>
      </c>
      <c r="B80" s="11">
        <v>43920</v>
      </c>
      <c r="C80" t="s">
        <v>191</v>
      </c>
      <c r="D80" t="s">
        <v>72</v>
      </c>
      <c r="E80">
        <v>6</v>
      </c>
      <c r="F80" t="str">
        <f>_xlfn.XLOOKUP(C80,Customers!$A$2:$A$1001,Customers!$B$2:$B$1001)</f>
        <v>Lothaire Mizzi</v>
      </c>
      <c r="G80" t="str">
        <f>_xlfn.XLOOKUP(C80,Customers!$A$2:$A$1001,Customers!$C$2:$C$1001)</f>
        <v>lmizzi26@rakuten.co.jp</v>
      </c>
      <c r="H80" t="str">
        <f>_xlfn.XLOOKUP(C80,Customers!$A$2:$A$1001,Customers!$G$2:$G$1001)</f>
        <v>United States</v>
      </c>
      <c r="I80" t="str" cm="1">
        <f t="array" ref="I80:L80">_xlfn.XLOOKUP(D80,products!$A$2:$A$49,products!$B$2:$E$49)</f>
        <v>Ara</v>
      </c>
      <c r="J80" t="str">
        <v>M</v>
      </c>
      <c r="K80" s="8">
        <v>0.5</v>
      </c>
      <c r="L80" s="6">
        <v>6.75</v>
      </c>
      <c r="M80" s="7">
        <f t="shared" si="3"/>
        <v>40.5</v>
      </c>
      <c r="N80" t="str">
        <f t="shared" si="4"/>
        <v>Arasbica</v>
      </c>
      <c r="O80" t="str">
        <f t="shared" si="5"/>
        <v>Medium</v>
      </c>
      <c r="P80" t="str">
        <f>_xlfn.XLOOKUP(Orders!C80,Customers!$A$2:$A$1001,Customers!$I$2:$I$1001)</f>
        <v>Yes</v>
      </c>
    </row>
    <row r="81" spans="1:16" x14ac:dyDescent="0.3">
      <c r="A81" t="s">
        <v>192</v>
      </c>
      <c r="B81" s="11">
        <v>44633</v>
      </c>
      <c r="C81" t="s">
        <v>193</v>
      </c>
      <c r="D81" t="s">
        <v>194</v>
      </c>
      <c r="E81">
        <v>4</v>
      </c>
      <c r="F81" t="str">
        <f>_xlfn.XLOOKUP(C81,Customers!$A$2:$A$1001,Customers!$B$2:$B$1001)</f>
        <v>Cletis Giacomazzo</v>
      </c>
      <c r="G81" t="str">
        <f>_xlfn.XLOOKUP(C81,Customers!$A$2:$A$1001,Customers!$C$2:$C$1001)</f>
        <v>cgiacomazzo27@jigsy.com</v>
      </c>
      <c r="H81" t="str">
        <f>_xlfn.XLOOKUP(C81,Customers!$A$2:$A$1001,Customers!$G$2:$G$1001)</f>
        <v>United States</v>
      </c>
      <c r="I81" t="str" cm="1">
        <f t="array" ref="I81:L81">_xlfn.XLOOKUP(D81,products!$A$2:$A$49,products!$B$2:$E$49)</f>
        <v>Rob</v>
      </c>
      <c r="J81" t="str">
        <v>L</v>
      </c>
      <c r="K81" s="8">
        <v>1</v>
      </c>
      <c r="L81" s="6">
        <v>11.95</v>
      </c>
      <c r="M81" s="7">
        <f t="shared" si="3"/>
        <v>47.8</v>
      </c>
      <c r="N81" t="str">
        <f t="shared" si="4"/>
        <v>Robusta</v>
      </c>
      <c r="O81" t="str">
        <f t="shared" si="5"/>
        <v>Lite</v>
      </c>
      <c r="P81" t="str">
        <f>_xlfn.XLOOKUP(Orders!C81,Customers!$A$2:$A$1001,Customers!$I$2:$I$1001)</f>
        <v>No</v>
      </c>
    </row>
    <row r="82" spans="1:16" x14ac:dyDescent="0.3">
      <c r="A82" t="s">
        <v>195</v>
      </c>
      <c r="B82" s="11">
        <v>43572</v>
      </c>
      <c r="C82" t="s">
        <v>196</v>
      </c>
      <c r="D82" t="s">
        <v>197</v>
      </c>
      <c r="E82">
        <v>5</v>
      </c>
      <c r="F82" t="str">
        <f>_xlfn.XLOOKUP(C82,Customers!$A$2:$A$1001,Customers!$B$2:$B$1001)</f>
        <v>Ami Arnow</v>
      </c>
      <c r="G82" t="str">
        <f>_xlfn.XLOOKUP(C82,Customers!$A$2:$A$1001,Customers!$C$2:$C$1001)</f>
        <v>aarnow28@arizona.edu</v>
      </c>
      <c r="H82" t="str">
        <f>_xlfn.XLOOKUP(C82,Customers!$A$2:$A$1001,Customers!$G$2:$G$1001)</f>
        <v>United States</v>
      </c>
      <c r="I82" t="str" cm="1">
        <f t="array" ref="I82:L82">_xlfn.XLOOKUP(D82,products!$A$2:$A$49,products!$B$2:$E$49)</f>
        <v>Ara</v>
      </c>
      <c r="J82" t="str">
        <v>L</v>
      </c>
      <c r="K82" s="8">
        <v>0.5</v>
      </c>
      <c r="L82" s="6">
        <v>7.77</v>
      </c>
      <c r="M82" s="7">
        <f t="shared" si="3"/>
        <v>38.849999999999994</v>
      </c>
      <c r="N82" t="str">
        <f t="shared" si="4"/>
        <v>Arasbica</v>
      </c>
      <c r="O82" t="str">
        <f t="shared" si="5"/>
        <v>Lite</v>
      </c>
      <c r="P82" t="str">
        <f>_xlfn.XLOOKUP(Orders!C82,Customers!$A$2:$A$1001,Customers!$I$2:$I$1001)</f>
        <v>Yes</v>
      </c>
    </row>
    <row r="83" spans="1:16" x14ac:dyDescent="0.3">
      <c r="A83" t="s">
        <v>198</v>
      </c>
      <c r="B83" s="11">
        <v>43763</v>
      </c>
      <c r="C83" t="s">
        <v>199</v>
      </c>
      <c r="D83" t="s">
        <v>109</v>
      </c>
      <c r="E83">
        <v>3</v>
      </c>
      <c r="F83" t="str">
        <f>_xlfn.XLOOKUP(C83,Customers!$A$2:$A$1001,Customers!$B$2:$B$1001)</f>
        <v>Sheppard Yann</v>
      </c>
      <c r="G83" t="str">
        <f>_xlfn.XLOOKUP(C83,Customers!$A$2:$A$1001,Customers!$C$2:$C$1001)</f>
        <v>syann29@senate.gov</v>
      </c>
      <c r="H83" t="str">
        <f>_xlfn.XLOOKUP(C83,Customers!$A$2:$A$1001,Customers!$G$2:$G$1001)</f>
        <v>United States</v>
      </c>
      <c r="I83" t="str" cm="1">
        <f t="array" ref="I83:L83">_xlfn.XLOOKUP(D83,products!$A$2:$A$49,products!$B$2:$E$49)</f>
        <v>Lib</v>
      </c>
      <c r="J83" t="str">
        <v>L</v>
      </c>
      <c r="K83" s="8">
        <v>2.5</v>
      </c>
      <c r="L83" s="6">
        <v>36.454999999999998</v>
      </c>
      <c r="M83" s="7">
        <f t="shared" si="3"/>
        <v>109.36499999999999</v>
      </c>
      <c r="N83" t="str">
        <f t="shared" si="4"/>
        <v>Liberica</v>
      </c>
      <c r="O83" t="str">
        <f t="shared" si="5"/>
        <v>Lite</v>
      </c>
      <c r="P83" t="str">
        <f>_xlfn.XLOOKUP(Orders!C83,Customers!$A$2:$A$1001,Customers!$I$2:$I$1001)</f>
        <v>Yes</v>
      </c>
    </row>
    <row r="84" spans="1:16" x14ac:dyDescent="0.3">
      <c r="A84" t="s">
        <v>200</v>
      </c>
      <c r="B84" s="11">
        <v>43721</v>
      </c>
      <c r="C84" t="s">
        <v>201</v>
      </c>
      <c r="D84" t="s">
        <v>202</v>
      </c>
      <c r="E84">
        <v>3</v>
      </c>
      <c r="F84" t="str">
        <f>_xlfn.XLOOKUP(C84,Customers!$A$2:$A$1001,Customers!$B$2:$B$1001)</f>
        <v>Bunny Naulls</v>
      </c>
      <c r="G84" t="str">
        <f>_xlfn.XLOOKUP(C84,Customers!$A$2:$A$1001,Customers!$C$2:$C$1001)</f>
        <v>bnaulls2a@tiny.cc</v>
      </c>
      <c r="H84" t="str">
        <f>_xlfn.XLOOKUP(C84,Customers!$A$2:$A$1001,Customers!$G$2:$G$1001)</f>
        <v>Ireland</v>
      </c>
      <c r="I84" t="str" cm="1">
        <f t="array" ref="I84:L84">_xlfn.XLOOKUP(D84,products!$A$2:$A$49,products!$B$2:$E$49)</f>
        <v>Lib</v>
      </c>
      <c r="J84" t="str">
        <v>M</v>
      </c>
      <c r="K84" s="8">
        <v>2.5</v>
      </c>
      <c r="L84" s="6">
        <v>33.464999999999996</v>
      </c>
      <c r="M84" s="7">
        <f t="shared" si="3"/>
        <v>100.39499999999998</v>
      </c>
      <c r="N84" t="str">
        <f t="shared" si="4"/>
        <v>Liberica</v>
      </c>
      <c r="O84" t="str">
        <f t="shared" si="5"/>
        <v>Medium</v>
      </c>
      <c r="P84" t="str">
        <f>_xlfn.XLOOKUP(Orders!C84,Customers!$A$2:$A$1001,Customers!$I$2:$I$1001)</f>
        <v>Yes</v>
      </c>
    </row>
    <row r="85" spans="1:16" x14ac:dyDescent="0.3">
      <c r="A85" t="s">
        <v>203</v>
      </c>
      <c r="B85" s="11">
        <v>43933</v>
      </c>
      <c r="C85" t="s">
        <v>204</v>
      </c>
      <c r="D85" t="s">
        <v>40</v>
      </c>
      <c r="E85">
        <v>4</v>
      </c>
      <c r="F85" t="str">
        <f>_xlfn.XLOOKUP(C85,Customers!$A$2:$A$1001,Customers!$B$2:$B$1001)</f>
        <v>Hally Lorait</v>
      </c>
      <c r="G85">
        <f>_xlfn.XLOOKUP(C85,Customers!$A$2:$A$1001,Customers!$C$2:$C$1001)</f>
        <v>0</v>
      </c>
      <c r="H85" t="str">
        <f>_xlfn.XLOOKUP(C85,Customers!$A$2:$A$1001,Customers!$G$2:$G$1001)</f>
        <v>United States</v>
      </c>
      <c r="I85" t="str" cm="1">
        <f t="array" ref="I85:L85">_xlfn.XLOOKUP(D85,products!$A$2:$A$49,products!$B$2:$E$49)</f>
        <v>Rob</v>
      </c>
      <c r="J85" t="str">
        <v>D</v>
      </c>
      <c r="K85" s="8">
        <v>2.5</v>
      </c>
      <c r="L85" s="6">
        <v>20.584999999999997</v>
      </c>
      <c r="M85" s="7">
        <f t="shared" si="3"/>
        <v>82.339999999999989</v>
      </c>
      <c r="N85" t="str">
        <f t="shared" si="4"/>
        <v>Robusta</v>
      </c>
      <c r="O85" t="str">
        <f t="shared" si="5"/>
        <v>Dark</v>
      </c>
      <c r="P85" t="str">
        <f>_xlfn.XLOOKUP(Orders!C85,Customers!$A$2:$A$1001,Customers!$I$2:$I$1001)</f>
        <v>Yes</v>
      </c>
    </row>
    <row r="86" spans="1:16" x14ac:dyDescent="0.3">
      <c r="A86" t="s">
        <v>205</v>
      </c>
      <c r="B86" s="11">
        <v>43783</v>
      </c>
      <c r="C86" t="s">
        <v>206</v>
      </c>
      <c r="D86" t="s">
        <v>88</v>
      </c>
      <c r="E86">
        <v>1</v>
      </c>
      <c r="F86" t="str">
        <f>_xlfn.XLOOKUP(C86,Customers!$A$2:$A$1001,Customers!$B$2:$B$1001)</f>
        <v>Zaccaria Sherewood</v>
      </c>
      <c r="G86" t="str">
        <f>_xlfn.XLOOKUP(C86,Customers!$A$2:$A$1001,Customers!$C$2:$C$1001)</f>
        <v>zsherewood2c@apache.org</v>
      </c>
      <c r="H86" t="str">
        <f>_xlfn.XLOOKUP(C86,Customers!$A$2:$A$1001,Customers!$G$2:$G$1001)</f>
        <v>United States</v>
      </c>
      <c r="I86" t="str" cm="1">
        <f t="array" ref="I86:L86">_xlfn.XLOOKUP(D86,products!$A$2:$A$49,products!$B$2:$E$49)</f>
        <v>Lib</v>
      </c>
      <c r="J86" t="str">
        <v>L</v>
      </c>
      <c r="K86" s="8">
        <v>0.5</v>
      </c>
      <c r="L86" s="6">
        <v>9.51</v>
      </c>
      <c r="M86" s="7">
        <f t="shared" si="3"/>
        <v>9.51</v>
      </c>
      <c r="N86" t="str">
        <f t="shared" si="4"/>
        <v>Liberica</v>
      </c>
      <c r="O86" t="str">
        <f t="shared" si="5"/>
        <v>Lite</v>
      </c>
      <c r="P86" t="str">
        <f>_xlfn.XLOOKUP(Orders!C86,Customers!$A$2:$A$1001,Customers!$I$2:$I$1001)</f>
        <v>No</v>
      </c>
    </row>
    <row r="87" spans="1:16" x14ac:dyDescent="0.3">
      <c r="A87" t="s">
        <v>207</v>
      </c>
      <c r="B87" s="11">
        <v>43664</v>
      </c>
      <c r="C87" t="s">
        <v>208</v>
      </c>
      <c r="D87" t="s">
        <v>209</v>
      </c>
      <c r="E87">
        <v>3</v>
      </c>
      <c r="F87" t="str">
        <f>_xlfn.XLOOKUP(C87,Customers!$A$2:$A$1001,Customers!$B$2:$B$1001)</f>
        <v>Jeffrey Dufaire</v>
      </c>
      <c r="G87" t="str">
        <f>_xlfn.XLOOKUP(C87,Customers!$A$2:$A$1001,Customers!$C$2:$C$1001)</f>
        <v>jdufaire2d@fc2.com</v>
      </c>
      <c r="H87" t="str">
        <f>_xlfn.XLOOKUP(C87,Customers!$A$2:$A$1001,Customers!$G$2:$G$1001)</f>
        <v>United States</v>
      </c>
      <c r="I87" t="str" cm="1">
        <f t="array" ref="I87:L87">_xlfn.XLOOKUP(D87,products!$A$2:$A$49,products!$B$2:$E$49)</f>
        <v>Ara</v>
      </c>
      <c r="J87" t="str">
        <v>L</v>
      </c>
      <c r="K87" s="8">
        <v>2.5</v>
      </c>
      <c r="L87" s="6">
        <v>29.784999999999997</v>
      </c>
      <c r="M87" s="7">
        <f t="shared" si="3"/>
        <v>89.35499999999999</v>
      </c>
      <c r="N87" t="str">
        <f t="shared" si="4"/>
        <v>Arasbica</v>
      </c>
      <c r="O87" t="str">
        <f t="shared" si="5"/>
        <v>Lite</v>
      </c>
      <c r="P87" t="str">
        <f>_xlfn.XLOOKUP(Orders!C87,Customers!$A$2:$A$1001,Customers!$I$2:$I$1001)</f>
        <v>No</v>
      </c>
    </row>
    <row r="88" spans="1:16" x14ac:dyDescent="0.3">
      <c r="A88" t="s">
        <v>207</v>
      </c>
      <c r="B88" s="11">
        <v>43664</v>
      </c>
      <c r="C88" t="s">
        <v>208</v>
      </c>
      <c r="D88" t="s">
        <v>59</v>
      </c>
      <c r="E88">
        <v>4</v>
      </c>
      <c r="F88" t="str">
        <f>_xlfn.XLOOKUP(C88,Customers!$A$2:$A$1001,Customers!$B$2:$B$1001)</f>
        <v>Jeffrey Dufaire</v>
      </c>
      <c r="G88" t="str">
        <f>_xlfn.XLOOKUP(C88,Customers!$A$2:$A$1001,Customers!$C$2:$C$1001)</f>
        <v>jdufaire2d@fc2.com</v>
      </c>
      <c r="H88" t="str">
        <f>_xlfn.XLOOKUP(C88,Customers!$A$2:$A$1001,Customers!$G$2:$G$1001)</f>
        <v>United States</v>
      </c>
      <c r="I88" t="str" cm="1">
        <f t="array" ref="I88:L88">_xlfn.XLOOKUP(D88,products!$A$2:$A$49,products!$B$2:$E$49)</f>
        <v>Ara</v>
      </c>
      <c r="J88" t="str">
        <v>D</v>
      </c>
      <c r="K88" s="8">
        <v>0.2</v>
      </c>
      <c r="L88" s="6">
        <v>2.9849999999999999</v>
      </c>
      <c r="M88" s="7">
        <f t="shared" si="3"/>
        <v>11.94</v>
      </c>
      <c r="N88" t="str">
        <f t="shared" si="4"/>
        <v>Arasbica</v>
      </c>
      <c r="O88" t="str">
        <f t="shared" si="5"/>
        <v>Dark</v>
      </c>
      <c r="P88" t="str">
        <f>_xlfn.XLOOKUP(Orders!C88,Customers!$A$2:$A$1001,Customers!$I$2:$I$1001)</f>
        <v>No</v>
      </c>
    </row>
    <row r="89" spans="1:16" x14ac:dyDescent="0.3">
      <c r="A89" t="s">
        <v>210</v>
      </c>
      <c r="B89" s="11">
        <v>44289</v>
      </c>
      <c r="C89" t="s">
        <v>211</v>
      </c>
      <c r="D89" t="s">
        <v>66</v>
      </c>
      <c r="E89">
        <v>3</v>
      </c>
      <c r="F89" t="str">
        <f>_xlfn.XLOOKUP(C89,Customers!$A$2:$A$1001,Customers!$B$2:$B$1001)</f>
        <v>Beitris Keaveney</v>
      </c>
      <c r="G89" t="str">
        <f>_xlfn.XLOOKUP(C89,Customers!$A$2:$A$1001,Customers!$C$2:$C$1001)</f>
        <v>bkeaveney2f@netlog.com</v>
      </c>
      <c r="H89" t="str">
        <f>_xlfn.XLOOKUP(C89,Customers!$A$2:$A$1001,Customers!$G$2:$G$1001)</f>
        <v>United States</v>
      </c>
      <c r="I89" t="str" cm="1">
        <f t="array" ref="I89:L89">_xlfn.XLOOKUP(D89,products!$A$2:$A$49,products!$B$2:$E$49)</f>
        <v>Ara</v>
      </c>
      <c r="J89" t="str">
        <v>M</v>
      </c>
      <c r="K89" s="8">
        <v>1</v>
      </c>
      <c r="L89" s="6">
        <v>11.25</v>
      </c>
      <c r="M89" s="7">
        <f t="shared" si="3"/>
        <v>33.75</v>
      </c>
      <c r="N89" t="str">
        <f t="shared" si="4"/>
        <v>Arasbica</v>
      </c>
      <c r="O89" t="str">
        <f t="shared" si="5"/>
        <v>Medium</v>
      </c>
      <c r="P89" t="str">
        <f>_xlfn.XLOOKUP(Orders!C89,Customers!$A$2:$A$1001,Customers!$I$2:$I$1001)</f>
        <v>No</v>
      </c>
    </row>
    <row r="90" spans="1:16" x14ac:dyDescent="0.3">
      <c r="A90" t="s">
        <v>212</v>
      </c>
      <c r="B90" s="11">
        <v>44284</v>
      </c>
      <c r="C90" t="s">
        <v>213</v>
      </c>
      <c r="D90" t="s">
        <v>194</v>
      </c>
      <c r="E90">
        <v>3</v>
      </c>
      <c r="F90" t="str">
        <f>_xlfn.XLOOKUP(C90,Customers!$A$2:$A$1001,Customers!$B$2:$B$1001)</f>
        <v>Elna Grise</v>
      </c>
      <c r="G90" t="str">
        <f>_xlfn.XLOOKUP(C90,Customers!$A$2:$A$1001,Customers!$C$2:$C$1001)</f>
        <v>egrise2g@cargocollective.com</v>
      </c>
      <c r="H90" t="str">
        <f>_xlfn.XLOOKUP(C90,Customers!$A$2:$A$1001,Customers!$G$2:$G$1001)</f>
        <v>United States</v>
      </c>
      <c r="I90" t="str" cm="1">
        <f t="array" ref="I90:L90">_xlfn.XLOOKUP(D90,products!$A$2:$A$49,products!$B$2:$E$49)</f>
        <v>Rob</v>
      </c>
      <c r="J90" t="str">
        <v>L</v>
      </c>
      <c r="K90" s="8">
        <v>1</v>
      </c>
      <c r="L90" s="6">
        <v>11.95</v>
      </c>
      <c r="M90" s="7">
        <f t="shared" si="3"/>
        <v>35.849999999999994</v>
      </c>
      <c r="N90" t="str">
        <f t="shared" si="4"/>
        <v>Robusta</v>
      </c>
      <c r="O90" t="str">
        <f t="shared" si="5"/>
        <v>Lite</v>
      </c>
      <c r="P90" t="str">
        <f>_xlfn.XLOOKUP(Orders!C90,Customers!$A$2:$A$1001,Customers!$I$2:$I$1001)</f>
        <v>No</v>
      </c>
    </row>
    <row r="91" spans="1:16" x14ac:dyDescent="0.3">
      <c r="A91" t="s">
        <v>214</v>
      </c>
      <c r="B91" s="11">
        <v>44545</v>
      </c>
      <c r="C91" t="s">
        <v>215</v>
      </c>
      <c r="D91" t="s">
        <v>11</v>
      </c>
      <c r="E91">
        <v>6</v>
      </c>
      <c r="F91" t="str">
        <f>_xlfn.XLOOKUP(C91,Customers!$A$2:$A$1001,Customers!$B$2:$B$1001)</f>
        <v>Torie Gottelier</v>
      </c>
      <c r="G91" t="str">
        <f>_xlfn.XLOOKUP(C91,Customers!$A$2:$A$1001,Customers!$C$2:$C$1001)</f>
        <v>tgottelier2h@vistaprint.com</v>
      </c>
      <c r="H91" t="str">
        <f>_xlfn.XLOOKUP(C91,Customers!$A$2:$A$1001,Customers!$G$2:$G$1001)</f>
        <v>United States</v>
      </c>
      <c r="I91" t="str" cm="1">
        <f t="array" ref="I91:L91">_xlfn.XLOOKUP(D91,products!$A$2:$A$49,products!$B$2:$E$49)</f>
        <v>Ara</v>
      </c>
      <c r="J91" t="str">
        <v>L</v>
      </c>
      <c r="K91" s="8">
        <v>1</v>
      </c>
      <c r="L91" s="6">
        <v>12.95</v>
      </c>
      <c r="M91" s="7">
        <f t="shared" si="3"/>
        <v>77.699999999999989</v>
      </c>
      <c r="N91" t="str">
        <f t="shared" si="4"/>
        <v>Arasbica</v>
      </c>
      <c r="O91" t="str">
        <f t="shared" si="5"/>
        <v>Lite</v>
      </c>
      <c r="P91" t="str">
        <f>_xlfn.XLOOKUP(Orders!C91,Customers!$A$2:$A$1001,Customers!$I$2:$I$1001)</f>
        <v>No</v>
      </c>
    </row>
    <row r="92" spans="1:16" x14ac:dyDescent="0.3">
      <c r="A92" t="s">
        <v>216</v>
      </c>
      <c r="B92" s="11">
        <v>43971</v>
      </c>
      <c r="C92" t="s">
        <v>217</v>
      </c>
      <c r="D92" t="s">
        <v>11</v>
      </c>
      <c r="E92">
        <v>4</v>
      </c>
      <c r="F92" t="str">
        <f>_xlfn.XLOOKUP(C92,Customers!$A$2:$A$1001,Customers!$B$2:$B$1001)</f>
        <v>Loydie Langlais</v>
      </c>
      <c r="G92">
        <f>_xlfn.XLOOKUP(C92,Customers!$A$2:$A$1001,Customers!$C$2:$C$1001)</f>
        <v>0</v>
      </c>
      <c r="H92" t="str">
        <f>_xlfn.XLOOKUP(C92,Customers!$A$2:$A$1001,Customers!$G$2:$G$1001)</f>
        <v>Ireland</v>
      </c>
      <c r="I92" t="str" cm="1">
        <f t="array" ref="I92:L92">_xlfn.XLOOKUP(D92,products!$A$2:$A$49,products!$B$2:$E$49)</f>
        <v>Ara</v>
      </c>
      <c r="J92" t="str">
        <v>L</v>
      </c>
      <c r="K92" s="8">
        <v>1</v>
      </c>
      <c r="L92" s="6">
        <v>12.95</v>
      </c>
      <c r="M92" s="7">
        <f t="shared" si="3"/>
        <v>51.8</v>
      </c>
      <c r="N92" t="str">
        <f t="shared" si="4"/>
        <v>Arasbica</v>
      </c>
      <c r="O92" t="str">
        <f t="shared" si="5"/>
        <v>Lite</v>
      </c>
      <c r="P92" t="str">
        <f>_xlfn.XLOOKUP(Orders!C92,Customers!$A$2:$A$1001,Customers!$I$2:$I$1001)</f>
        <v>Yes</v>
      </c>
    </row>
    <row r="93" spans="1:16" x14ac:dyDescent="0.3">
      <c r="A93" t="s">
        <v>218</v>
      </c>
      <c r="B93" s="11">
        <v>44137</v>
      </c>
      <c r="C93" t="s">
        <v>219</v>
      </c>
      <c r="D93" t="s">
        <v>176</v>
      </c>
      <c r="E93">
        <v>4</v>
      </c>
      <c r="F93" t="str">
        <f>_xlfn.XLOOKUP(C93,Customers!$A$2:$A$1001,Customers!$B$2:$B$1001)</f>
        <v>Adham Greenhead</v>
      </c>
      <c r="G93" t="str">
        <f>_xlfn.XLOOKUP(C93,Customers!$A$2:$A$1001,Customers!$C$2:$C$1001)</f>
        <v>agreenhead2j@dailymail.co.uk</v>
      </c>
      <c r="H93" t="str">
        <f>_xlfn.XLOOKUP(C93,Customers!$A$2:$A$1001,Customers!$G$2:$G$1001)</f>
        <v>United States</v>
      </c>
      <c r="I93" t="str" cm="1">
        <f t="array" ref="I93:L93">_xlfn.XLOOKUP(D93,products!$A$2:$A$49,products!$B$2:$E$49)</f>
        <v>Ara</v>
      </c>
      <c r="J93" t="str">
        <v>M</v>
      </c>
      <c r="K93" s="8">
        <v>2.5</v>
      </c>
      <c r="L93" s="6">
        <v>25.874999999999996</v>
      </c>
      <c r="M93" s="7">
        <f t="shared" si="3"/>
        <v>103.49999999999999</v>
      </c>
      <c r="N93" t="str">
        <f t="shared" si="4"/>
        <v>Arasbica</v>
      </c>
      <c r="O93" t="str">
        <f t="shared" si="5"/>
        <v>Medium</v>
      </c>
      <c r="P93" t="str">
        <f>_xlfn.XLOOKUP(Orders!C93,Customers!$A$2:$A$1001,Customers!$I$2:$I$1001)</f>
        <v>No</v>
      </c>
    </row>
    <row r="94" spans="1:16" x14ac:dyDescent="0.3">
      <c r="A94" t="s">
        <v>220</v>
      </c>
      <c r="B94" s="11">
        <v>44037</v>
      </c>
      <c r="C94" t="s">
        <v>221</v>
      </c>
      <c r="D94" t="s">
        <v>142</v>
      </c>
      <c r="E94">
        <v>3</v>
      </c>
      <c r="F94" t="str">
        <f>_xlfn.XLOOKUP(C94,Customers!$A$2:$A$1001,Customers!$B$2:$B$1001)</f>
        <v>Hamish MacSherry</v>
      </c>
      <c r="G94">
        <f>_xlfn.XLOOKUP(C94,Customers!$A$2:$A$1001,Customers!$C$2:$C$1001)</f>
        <v>0</v>
      </c>
      <c r="H94" t="str">
        <f>_xlfn.XLOOKUP(C94,Customers!$A$2:$A$1001,Customers!$G$2:$G$1001)</f>
        <v>United States</v>
      </c>
      <c r="I94" t="str" cm="1">
        <f t="array" ref="I94:L94">_xlfn.XLOOKUP(D94,products!$A$2:$A$49,products!$B$2:$E$49)</f>
        <v>Exc</v>
      </c>
      <c r="J94" t="str">
        <v>L</v>
      </c>
      <c r="K94" s="8">
        <v>1</v>
      </c>
      <c r="L94" s="6">
        <v>14.85</v>
      </c>
      <c r="M94" s="7">
        <f t="shared" si="3"/>
        <v>44.55</v>
      </c>
      <c r="N94" t="str">
        <f t="shared" si="4"/>
        <v>Excelsa</v>
      </c>
      <c r="O94" t="str">
        <f t="shared" si="5"/>
        <v>Lite</v>
      </c>
      <c r="P94" t="str">
        <f>_xlfn.XLOOKUP(Orders!C94,Customers!$A$2:$A$1001,Customers!$I$2:$I$1001)</f>
        <v>Yes</v>
      </c>
    </row>
    <row r="95" spans="1:16" x14ac:dyDescent="0.3">
      <c r="A95" t="s">
        <v>222</v>
      </c>
      <c r="B95" s="11">
        <v>43538</v>
      </c>
      <c r="C95" t="s">
        <v>223</v>
      </c>
      <c r="D95" t="s">
        <v>181</v>
      </c>
      <c r="E95">
        <v>4</v>
      </c>
      <c r="F95" t="str">
        <f>_xlfn.XLOOKUP(C95,Customers!$A$2:$A$1001,Customers!$B$2:$B$1001)</f>
        <v>Else Langcaster</v>
      </c>
      <c r="G95" t="str">
        <f>_xlfn.XLOOKUP(C95,Customers!$A$2:$A$1001,Customers!$C$2:$C$1001)</f>
        <v>elangcaster2l@spotify.com</v>
      </c>
      <c r="H95" t="str">
        <f>_xlfn.XLOOKUP(C95,Customers!$A$2:$A$1001,Customers!$G$2:$G$1001)</f>
        <v>United Kingdom</v>
      </c>
      <c r="I95" t="str" cm="1">
        <f t="array" ref="I95:L95">_xlfn.XLOOKUP(D95,products!$A$2:$A$49,products!$B$2:$E$49)</f>
        <v>Exc</v>
      </c>
      <c r="J95" t="str">
        <v>L</v>
      </c>
      <c r="K95" s="8">
        <v>0.5</v>
      </c>
      <c r="L95" s="6">
        <v>8.91</v>
      </c>
      <c r="M95" s="7">
        <f t="shared" si="3"/>
        <v>35.64</v>
      </c>
      <c r="N95" t="str">
        <f t="shared" si="4"/>
        <v>Excelsa</v>
      </c>
      <c r="O95" t="str">
        <f t="shared" si="5"/>
        <v>Lite</v>
      </c>
      <c r="P95" t="str">
        <f>_xlfn.XLOOKUP(Orders!C95,Customers!$A$2:$A$1001,Customers!$I$2:$I$1001)</f>
        <v>Yes</v>
      </c>
    </row>
    <row r="96" spans="1:16" x14ac:dyDescent="0.3">
      <c r="A96" t="s">
        <v>224</v>
      </c>
      <c r="B96" s="11">
        <v>44014</v>
      </c>
      <c r="C96" t="s">
        <v>225</v>
      </c>
      <c r="D96" t="s">
        <v>59</v>
      </c>
      <c r="E96">
        <v>6</v>
      </c>
      <c r="F96" t="str">
        <f>_xlfn.XLOOKUP(C96,Customers!$A$2:$A$1001,Customers!$B$2:$B$1001)</f>
        <v>Rudy Farquharson</v>
      </c>
      <c r="G96">
        <f>_xlfn.XLOOKUP(C96,Customers!$A$2:$A$1001,Customers!$C$2:$C$1001)</f>
        <v>0</v>
      </c>
      <c r="H96" t="str">
        <f>_xlfn.XLOOKUP(C96,Customers!$A$2:$A$1001,Customers!$G$2:$G$1001)</f>
        <v>Ireland</v>
      </c>
      <c r="I96" t="str" cm="1">
        <f t="array" ref="I96:L96">_xlfn.XLOOKUP(D96,products!$A$2:$A$49,products!$B$2:$E$49)</f>
        <v>Ara</v>
      </c>
      <c r="J96" t="str">
        <v>D</v>
      </c>
      <c r="K96" s="8">
        <v>0.2</v>
      </c>
      <c r="L96" s="6">
        <v>2.9849999999999999</v>
      </c>
      <c r="M96" s="7">
        <f t="shared" si="3"/>
        <v>17.91</v>
      </c>
      <c r="N96" t="str">
        <f t="shared" si="4"/>
        <v>Arasbica</v>
      </c>
      <c r="O96" t="str">
        <f t="shared" si="5"/>
        <v>Dark</v>
      </c>
      <c r="P96" t="str">
        <f>_xlfn.XLOOKUP(Orders!C96,Customers!$A$2:$A$1001,Customers!$I$2:$I$1001)</f>
        <v>Yes</v>
      </c>
    </row>
    <row r="97" spans="1:16" x14ac:dyDescent="0.3">
      <c r="A97" t="s">
        <v>226</v>
      </c>
      <c r="B97" s="11">
        <v>43816</v>
      </c>
      <c r="C97" t="s">
        <v>227</v>
      </c>
      <c r="D97" t="s">
        <v>176</v>
      </c>
      <c r="E97">
        <v>6</v>
      </c>
      <c r="F97" t="str">
        <f>_xlfn.XLOOKUP(C97,Customers!$A$2:$A$1001,Customers!$B$2:$B$1001)</f>
        <v>Norene Magauran</v>
      </c>
      <c r="G97" t="str">
        <f>_xlfn.XLOOKUP(C97,Customers!$A$2:$A$1001,Customers!$C$2:$C$1001)</f>
        <v>nmagauran2n@51.la</v>
      </c>
      <c r="H97" t="str">
        <f>_xlfn.XLOOKUP(C97,Customers!$A$2:$A$1001,Customers!$G$2:$G$1001)</f>
        <v>United States</v>
      </c>
      <c r="I97" t="str" cm="1">
        <f t="array" ref="I97:L97">_xlfn.XLOOKUP(D97,products!$A$2:$A$49,products!$B$2:$E$49)</f>
        <v>Ara</v>
      </c>
      <c r="J97" t="str">
        <v>M</v>
      </c>
      <c r="K97" s="8">
        <v>2.5</v>
      </c>
      <c r="L97" s="6">
        <v>25.874999999999996</v>
      </c>
      <c r="M97" s="7">
        <f t="shared" si="3"/>
        <v>155.24999999999997</v>
      </c>
      <c r="N97" t="str">
        <f t="shared" si="4"/>
        <v>Arasbica</v>
      </c>
      <c r="O97" t="str">
        <f t="shared" si="5"/>
        <v>Medium</v>
      </c>
      <c r="P97" t="str">
        <f>_xlfn.XLOOKUP(Orders!C97,Customers!$A$2:$A$1001,Customers!$I$2:$I$1001)</f>
        <v>No</v>
      </c>
    </row>
    <row r="98" spans="1:16" x14ac:dyDescent="0.3">
      <c r="A98" t="s">
        <v>228</v>
      </c>
      <c r="B98" s="11">
        <v>44171</v>
      </c>
      <c r="C98" t="s">
        <v>229</v>
      </c>
      <c r="D98" t="s">
        <v>59</v>
      </c>
      <c r="E98">
        <v>2</v>
      </c>
      <c r="F98" t="str">
        <f>_xlfn.XLOOKUP(C98,Customers!$A$2:$A$1001,Customers!$B$2:$B$1001)</f>
        <v>Vicki Kirdsch</v>
      </c>
      <c r="G98" t="str">
        <f>_xlfn.XLOOKUP(C98,Customers!$A$2:$A$1001,Customers!$C$2:$C$1001)</f>
        <v>vkirdsch2o@google.fr</v>
      </c>
      <c r="H98" t="str">
        <f>_xlfn.XLOOKUP(C98,Customers!$A$2:$A$1001,Customers!$G$2:$G$1001)</f>
        <v>United States</v>
      </c>
      <c r="I98" t="str" cm="1">
        <f t="array" ref="I98:L98">_xlfn.XLOOKUP(D98,products!$A$2:$A$49,products!$B$2:$E$49)</f>
        <v>Ara</v>
      </c>
      <c r="J98" t="str">
        <v>D</v>
      </c>
      <c r="K98" s="8">
        <v>0.2</v>
      </c>
      <c r="L98" s="6">
        <v>2.9849999999999999</v>
      </c>
      <c r="M98" s="7">
        <f t="shared" si="3"/>
        <v>5.97</v>
      </c>
      <c r="N98" t="str">
        <f t="shared" si="4"/>
        <v>Arasbica</v>
      </c>
      <c r="O98" t="str">
        <f t="shared" si="5"/>
        <v>Dark</v>
      </c>
      <c r="P98" t="str">
        <f>_xlfn.XLOOKUP(Orders!C98,Customers!$A$2:$A$1001,Customers!$I$2:$I$1001)</f>
        <v>No</v>
      </c>
    </row>
    <row r="99" spans="1:16" x14ac:dyDescent="0.3">
      <c r="A99" t="s">
        <v>230</v>
      </c>
      <c r="B99" s="11">
        <v>44259</v>
      </c>
      <c r="C99" t="s">
        <v>231</v>
      </c>
      <c r="D99" t="s">
        <v>72</v>
      </c>
      <c r="E99">
        <v>2</v>
      </c>
      <c r="F99" t="str">
        <f>_xlfn.XLOOKUP(C99,Customers!$A$2:$A$1001,Customers!$B$2:$B$1001)</f>
        <v>Ilysa Whapple</v>
      </c>
      <c r="G99" t="str">
        <f>_xlfn.XLOOKUP(C99,Customers!$A$2:$A$1001,Customers!$C$2:$C$1001)</f>
        <v>iwhapple2p@com.com</v>
      </c>
      <c r="H99" t="str">
        <f>_xlfn.XLOOKUP(C99,Customers!$A$2:$A$1001,Customers!$G$2:$G$1001)</f>
        <v>United States</v>
      </c>
      <c r="I99" t="str" cm="1">
        <f t="array" ref="I99:L99">_xlfn.XLOOKUP(D99,products!$A$2:$A$49,products!$B$2:$E$49)</f>
        <v>Ara</v>
      </c>
      <c r="J99" t="str">
        <v>M</v>
      </c>
      <c r="K99" s="8">
        <v>0.5</v>
      </c>
      <c r="L99" s="6">
        <v>6.75</v>
      </c>
      <c r="M99" s="7">
        <f t="shared" si="3"/>
        <v>13.5</v>
      </c>
      <c r="N99" t="str">
        <f t="shared" si="4"/>
        <v>Arasbica</v>
      </c>
      <c r="O99" t="str">
        <f t="shared" si="5"/>
        <v>Medium</v>
      </c>
      <c r="P99" t="str">
        <f>_xlfn.XLOOKUP(Orders!C99,Customers!$A$2:$A$1001,Customers!$I$2:$I$1001)</f>
        <v>No</v>
      </c>
    </row>
    <row r="100" spans="1:16" x14ac:dyDescent="0.3">
      <c r="A100" t="s">
        <v>232</v>
      </c>
      <c r="B100" s="11">
        <v>44394</v>
      </c>
      <c r="C100" t="s">
        <v>233</v>
      </c>
      <c r="D100" t="s">
        <v>59</v>
      </c>
      <c r="E100">
        <v>1</v>
      </c>
      <c r="F100" t="str">
        <f>_xlfn.XLOOKUP(C100,Customers!$A$2:$A$1001,Customers!$B$2:$B$1001)</f>
        <v>Ruy Cancellieri</v>
      </c>
      <c r="G100">
        <f>_xlfn.XLOOKUP(C100,Customers!$A$2:$A$1001,Customers!$C$2:$C$1001)</f>
        <v>0</v>
      </c>
      <c r="H100" t="str">
        <f>_xlfn.XLOOKUP(C100,Customers!$A$2:$A$1001,Customers!$G$2:$G$1001)</f>
        <v>Ireland</v>
      </c>
      <c r="I100" t="str" cm="1">
        <f t="array" ref="I100:L100">_xlfn.XLOOKUP(D100,products!$A$2:$A$49,products!$B$2:$E$49)</f>
        <v>Ara</v>
      </c>
      <c r="J100" t="str">
        <v>D</v>
      </c>
      <c r="K100" s="8">
        <v>0.2</v>
      </c>
      <c r="L100" s="6">
        <v>2.9849999999999999</v>
      </c>
      <c r="M100" s="7">
        <f t="shared" si="3"/>
        <v>2.9849999999999999</v>
      </c>
      <c r="N100" t="str">
        <f t="shared" si="4"/>
        <v>Arasbica</v>
      </c>
      <c r="O100" t="str">
        <f t="shared" si="5"/>
        <v>Dark</v>
      </c>
      <c r="P100" t="str">
        <f>_xlfn.XLOOKUP(Orders!C100,Customers!$A$2:$A$1001,Customers!$I$2:$I$1001)</f>
        <v>No</v>
      </c>
    </row>
    <row r="101" spans="1:16" x14ac:dyDescent="0.3">
      <c r="A101" t="s">
        <v>234</v>
      </c>
      <c r="B101" s="11">
        <v>44139</v>
      </c>
      <c r="C101" t="s">
        <v>235</v>
      </c>
      <c r="D101" t="s">
        <v>82</v>
      </c>
      <c r="E101">
        <v>3</v>
      </c>
      <c r="F101" t="str">
        <f>_xlfn.XLOOKUP(C101,Customers!$A$2:$A$1001,Customers!$B$2:$B$1001)</f>
        <v>Aube Follett</v>
      </c>
      <c r="G101">
        <f>_xlfn.XLOOKUP(C101,Customers!$A$2:$A$1001,Customers!$C$2:$C$1001)</f>
        <v>0</v>
      </c>
      <c r="H101" t="str">
        <f>_xlfn.XLOOKUP(C101,Customers!$A$2:$A$1001,Customers!$G$2:$G$1001)</f>
        <v>United States</v>
      </c>
      <c r="I101" t="str" cm="1">
        <f t="array" ref="I101:L101">_xlfn.XLOOKUP(D101,products!$A$2:$A$49,products!$B$2:$E$49)</f>
        <v>Lib</v>
      </c>
      <c r="J101" t="str">
        <v>M</v>
      </c>
      <c r="K101" s="8">
        <v>0.2</v>
      </c>
      <c r="L101" s="6">
        <v>4.3650000000000002</v>
      </c>
      <c r="M101" s="7">
        <f t="shared" si="3"/>
        <v>13.095000000000001</v>
      </c>
      <c r="N101" t="str">
        <f t="shared" si="4"/>
        <v>Liberica</v>
      </c>
      <c r="O101" t="str">
        <f t="shared" si="5"/>
        <v>Medium</v>
      </c>
      <c r="P101" t="str">
        <f>_xlfn.XLOOKUP(Orders!C101,Customers!$A$2:$A$1001,Customers!$I$2:$I$1001)</f>
        <v>Yes</v>
      </c>
    </row>
    <row r="102" spans="1:16" x14ac:dyDescent="0.3">
      <c r="A102" t="s">
        <v>236</v>
      </c>
      <c r="B102" s="11">
        <v>44291</v>
      </c>
      <c r="C102" t="s">
        <v>237</v>
      </c>
      <c r="D102" t="s">
        <v>120</v>
      </c>
      <c r="E102">
        <v>2</v>
      </c>
      <c r="F102" t="str">
        <f>_xlfn.XLOOKUP(C102,Customers!$A$2:$A$1001,Customers!$B$2:$B$1001)</f>
        <v>Rudiger Di Bartolomeo</v>
      </c>
      <c r="G102">
        <f>_xlfn.XLOOKUP(C102,Customers!$A$2:$A$1001,Customers!$C$2:$C$1001)</f>
        <v>0</v>
      </c>
      <c r="H102" t="str">
        <f>_xlfn.XLOOKUP(C102,Customers!$A$2:$A$1001,Customers!$G$2:$G$1001)</f>
        <v>United States</v>
      </c>
      <c r="I102" t="str" cm="1">
        <f t="array" ref="I102:L102">_xlfn.XLOOKUP(D102,products!$A$2:$A$49,products!$B$2:$E$49)</f>
        <v>Ara</v>
      </c>
      <c r="J102" t="str">
        <v>L</v>
      </c>
      <c r="K102" s="8">
        <v>0.2</v>
      </c>
      <c r="L102" s="6">
        <v>3.8849999999999998</v>
      </c>
      <c r="M102" s="7">
        <f t="shared" si="3"/>
        <v>7.77</v>
      </c>
      <c r="N102" t="str">
        <f t="shared" si="4"/>
        <v>Arasbica</v>
      </c>
      <c r="O102" t="str">
        <f t="shared" si="5"/>
        <v>Lite</v>
      </c>
      <c r="P102" t="str">
        <f>_xlfn.XLOOKUP(Orders!C102,Customers!$A$2:$A$1001,Customers!$I$2:$I$1001)</f>
        <v>Yes</v>
      </c>
    </row>
    <row r="103" spans="1:16" x14ac:dyDescent="0.3">
      <c r="A103" t="s">
        <v>238</v>
      </c>
      <c r="B103" s="11">
        <v>43891</v>
      </c>
      <c r="C103" t="s">
        <v>239</v>
      </c>
      <c r="D103" t="s">
        <v>114</v>
      </c>
      <c r="E103">
        <v>5</v>
      </c>
      <c r="F103" t="str">
        <f>_xlfn.XLOOKUP(C103,Customers!$A$2:$A$1001,Customers!$B$2:$B$1001)</f>
        <v>Nickey Youles</v>
      </c>
      <c r="G103" t="str">
        <f>_xlfn.XLOOKUP(C103,Customers!$A$2:$A$1001,Customers!$C$2:$C$1001)</f>
        <v>nyoules2t@reference.com</v>
      </c>
      <c r="H103" t="str">
        <f>_xlfn.XLOOKUP(C103,Customers!$A$2:$A$1001,Customers!$G$2:$G$1001)</f>
        <v>Ireland</v>
      </c>
      <c r="I103" t="str" cm="1">
        <f t="array" ref="I103:L103">_xlfn.XLOOKUP(D103,products!$A$2:$A$49,products!$B$2:$E$49)</f>
        <v>Lib</v>
      </c>
      <c r="J103" t="str">
        <v>D</v>
      </c>
      <c r="K103" s="8">
        <v>2.5</v>
      </c>
      <c r="L103" s="6">
        <v>29.784999999999997</v>
      </c>
      <c r="M103" s="7">
        <f t="shared" si="3"/>
        <v>148.92499999999998</v>
      </c>
      <c r="N103" t="str">
        <f t="shared" si="4"/>
        <v>Liberica</v>
      </c>
      <c r="O103" t="str">
        <f t="shared" si="5"/>
        <v>Dark</v>
      </c>
      <c r="P103" t="str">
        <f>_xlfn.XLOOKUP(Orders!C103,Customers!$A$2:$A$1001,Customers!$I$2:$I$1001)</f>
        <v>Yes</v>
      </c>
    </row>
    <row r="104" spans="1:16" x14ac:dyDescent="0.3">
      <c r="A104" t="s">
        <v>240</v>
      </c>
      <c r="B104" s="11">
        <v>44488</v>
      </c>
      <c r="C104" t="s">
        <v>241</v>
      </c>
      <c r="D104" t="s">
        <v>18</v>
      </c>
      <c r="E104">
        <v>3</v>
      </c>
      <c r="F104" t="str">
        <f>_xlfn.XLOOKUP(C104,Customers!$A$2:$A$1001,Customers!$B$2:$B$1001)</f>
        <v>Dyanna Aizikovitz</v>
      </c>
      <c r="G104" t="str">
        <f>_xlfn.XLOOKUP(C104,Customers!$A$2:$A$1001,Customers!$C$2:$C$1001)</f>
        <v>daizikovitz2u@answers.com</v>
      </c>
      <c r="H104" t="str">
        <f>_xlfn.XLOOKUP(C104,Customers!$A$2:$A$1001,Customers!$G$2:$G$1001)</f>
        <v>Ireland</v>
      </c>
      <c r="I104" t="str" cm="1">
        <f t="array" ref="I104:L104">_xlfn.XLOOKUP(D104,products!$A$2:$A$49,products!$B$2:$E$49)</f>
        <v>Lib</v>
      </c>
      <c r="J104" t="str">
        <v>D</v>
      </c>
      <c r="K104" s="8">
        <v>1</v>
      </c>
      <c r="L104" s="6">
        <v>12.95</v>
      </c>
      <c r="M104" s="7">
        <f t="shared" si="3"/>
        <v>38.849999999999994</v>
      </c>
      <c r="N104" t="str">
        <f t="shared" si="4"/>
        <v>Liberica</v>
      </c>
      <c r="O104" t="str">
        <f t="shared" si="5"/>
        <v>Dark</v>
      </c>
      <c r="P104" t="str">
        <f>_xlfn.XLOOKUP(Orders!C104,Customers!$A$2:$A$1001,Customers!$I$2:$I$1001)</f>
        <v>Yes</v>
      </c>
    </row>
    <row r="105" spans="1:16" x14ac:dyDescent="0.3">
      <c r="A105" t="s">
        <v>242</v>
      </c>
      <c r="B105" s="11">
        <v>44750</v>
      </c>
      <c r="C105" t="s">
        <v>243</v>
      </c>
      <c r="D105" t="s">
        <v>167</v>
      </c>
      <c r="E105">
        <v>4</v>
      </c>
      <c r="F105" t="str">
        <f>_xlfn.XLOOKUP(C105,Customers!$A$2:$A$1001,Customers!$B$2:$B$1001)</f>
        <v>Bram Revel</v>
      </c>
      <c r="G105" t="str">
        <f>_xlfn.XLOOKUP(C105,Customers!$A$2:$A$1001,Customers!$C$2:$C$1001)</f>
        <v>brevel2v@fastcompany.com</v>
      </c>
      <c r="H105" t="str">
        <f>_xlfn.XLOOKUP(C105,Customers!$A$2:$A$1001,Customers!$G$2:$G$1001)</f>
        <v>United States</v>
      </c>
      <c r="I105" t="str" cm="1">
        <f t="array" ref="I105:L105">_xlfn.XLOOKUP(D105,products!$A$2:$A$49,products!$B$2:$E$49)</f>
        <v>Rob</v>
      </c>
      <c r="J105" t="str">
        <v>M</v>
      </c>
      <c r="K105" s="8">
        <v>0.2</v>
      </c>
      <c r="L105" s="6">
        <v>2.9849999999999999</v>
      </c>
      <c r="M105" s="7">
        <f t="shared" si="3"/>
        <v>11.94</v>
      </c>
      <c r="N105" t="str">
        <f t="shared" si="4"/>
        <v>Robusta</v>
      </c>
      <c r="O105" t="str">
        <f t="shared" si="5"/>
        <v>Medium</v>
      </c>
      <c r="P105" t="str">
        <f>_xlfn.XLOOKUP(Orders!C105,Customers!$A$2:$A$1001,Customers!$I$2:$I$1001)</f>
        <v>No</v>
      </c>
    </row>
    <row r="106" spans="1:16" x14ac:dyDescent="0.3">
      <c r="A106" t="s">
        <v>244</v>
      </c>
      <c r="B106" s="11">
        <v>43694</v>
      </c>
      <c r="C106" t="s">
        <v>245</v>
      </c>
      <c r="D106" t="s">
        <v>101</v>
      </c>
      <c r="E106">
        <v>6</v>
      </c>
      <c r="F106" t="str">
        <f>_xlfn.XLOOKUP(C106,Customers!$A$2:$A$1001,Customers!$B$2:$B$1001)</f>
        <v>Emiline Priddis</v>
      </c>
      <c r="G106" t="str">
        <f>_xlfn.XLOOKUP(C106,Customers!$A$2:$A$1001,Customers!$C$2:$C$1001)</f>
        <v>epriddis2w@nationalgeographic.com</v>
      </c>
      <c r="H106" t="str">
        <f>_xlfn.XLOOKUP(C106,Customers!$A$2:$A$1001,Customers!$G$2:$G$1001)</f>
        <v>United States</v>
      </c>
      <c r="I106" t="str" cm="1">
        <f t="array" ref="I106:L106">_xlfn.XLOOKUP(D106,products!$A$2:$A$49,products!$B$2:$E$49)</f>
        <v>Lib</v>
      </c>
      <c r="J106" t="str">
        <v>M</v>
      </c>
      <c r="K106" s="8">
        <v>1</v>
      </c>
      <c r="L106" s="6">
        <v>14.55</v>
      </c>
      <c r="M106" s="7">
        <f t="shared" si="3"/>
        <v>87.300000000000011</v>
      </c>
      <c r="N106" t="str">
        <f t="shared" si="4"/>
        <v>Liberica</v>
      </c>
      <c r="O106" t="str">
        <f t="shared" si="5"/>
        <v>Medium</v>
      </c>
      <c r="P106" t="str">
        <f>_xlfn.XLOOKUP(Orders!C106,Customers!$A$2:$A$1001,Customers!$I$2:$I$1001)</f>
        <v>No</v>
      </c>
    </row>
    <row r="107" spans="1:16" x14ac:dyDescent="0.3">
      <c r="A107" t="s">
        <v>246</v>
      </c>
      <c r="B107" s="11">
        <v>43982</v>
      </c>
      <c r="C107" t="s">
        <v>247</v>
      </c>
      <c r="D107" t="s">
        <v>72</v>
      </c>
      <c r="E107">
        <v>6</v>
      </c>
      <c r="F107" t="str">
        <f>_xlfn.XLOOKUP(C107,Customers!$A$2:$A$1001,Customers!$B$2:$B$1001)</f>
        <v>Queenie Veel</v>
      </c>
      <c r="G107" t="str">
        <f>_xlfn.XLOOKUP(C107,Customers!$A$2:$A$1001,Customers!$C$2:$C$1001)</f>
        <v>qveel2x@jugem.jp</v>
      </c>
      <c r="H107" t="str">
        <f>_xlfn.XLOOKUP(C107,Customers!$A$2:$A$1001,Customers!$G$2:$G$1001)</f>
        <v>United States</v>
      </c>
      <c r="I107" t="str" cm="1">
        <f t="array" ref="I107:L107">_xlfn.XLOOKUP(D107,products!$A$2:$A$49,products!$B$2:$E$49)</f>
        <v>Ara</v>
      </c>
      <c r="J107" t="str">
        <v>M</v>
      </c>
      <c r="K107" s="8">
        <v>0.5</v>
      </c>
      <c r="L107" s="6">
        <v>6.75</v>
      </c>
      <c r="M107" s="7">
        <f t="shared" si="3"/>
        <v>40.5</v>
      </c>
      <c r="N107" t="str">
        <f t="shared" si="4"/>
        <v>Arasbica</v>
      </c>
      <c r="O107" t="str">
        <f t="shared" si="5"/>
        <v>Medium</v>
      </c>
      <c r="P107" t="str">
        <f>_xlfn.XLOOKUP(Orders!C107,Customers!$A$2:$A$1001,Customers!$I$2:$I$1001)</f>
        <v>Yes</v>
      </c>
    </row>
    <row r="108" spans="1:16" x14ac:dyDescent="0.3">
      <c r="A108" t="s">
        <v>248</v>
      </c>
      <c r="B108" s="11">
        <v>43956</v>
      </c>
      <c r="C108" t="s">
        <v>249</v>
      </c>
      <c r="D108" t="s">
        <v>250</v>
      </c>
      <c r="E108">
        <v>2</v>
      </c>
      <c r="F108" t="str">
        <f>_xlfn.XLOOKUP(C108,Customers!$A$2:$A$1001,Customers!$B$2:$B$1001)</f>
        <v>Lind Conyers</v>
      </c>
      <c r="G108" t="str">
        <f>_xlfn.XLOOKUP(C108,Customers!$A$2:$A$1001,Customers!$C$2:$C$1001)</f>
        <v>lconyers2y@twitter.com</v>
      </c>
      <c r="H108" t="str">
        <f>_xlfn.XLOOKUP(C108,Customers!$A$2:$A$1001,Customers!$G$2:$G$1001)</f>
        <v>United States</v>
      </c>
      <c r="I108" t="str" cm="1">
        <f t="array" ref="I108:L108">_xlfn.XLOOKUP(D108,products!$A$2:$A$49,products!$B$2:$E$49)</f>
        <v>Exc</v>
      </c>
      <c r="J108" t="str">
        <v>D</v>
      </c>
      <c r="K108" s="8">
        <v>1</v>
      </c>
      <c r="L108" s="6">
        <v>12.15</v>
      </c>
      <c r="M108" s="7">
        <f t="shared" si="3"/>
        <v>24.3</v>
      </c>
      <c r="N108" t="str">
        <f t="shared" si="4"/>
        <v>Excelsa</v>
      </c>
      <c r="O108" t="str">
        <f t="shared" si="5"/>
        <v>Dark</v>
      </c>
      <c r="P108" t="str">
        <f>_xlfn.XLOOKUP(Orders!C108,Customers!$A$2:$A$1001,Customers!$I$2:$I$1001)</f>
        <v>No</v>
      </c>
    </row>
    <row r="109" spans="1:16" x14ac:dyDescent="0.3">
      <c r="A109" t="s">
        <v>251</v>
      </c>
      <c r="B109" s="11">
        <v>43569</v>
      </c>
      <c r="C109" t="s">
        <v>252</v>
      </c>
      <c r="D109" t="s">
        <v>27</v>
      </c>
      <c r="E109">
        <v>3</v>
      </c>
      <c r="F109" t="str">
        <f>_xlfn.XLOOKUP(C109,Customers!$A$2:$A$1001,Customers!$B$2:$B$1001)</f>
        <v>Pen Wye</v>
      </c>
      <c r="G109" t="str">
        <f>_xlfn.XLOOKUP(C109,Customers!$A$2:$A$1001,Customers!$C$2:$C$1001)</f>
        <v>pwye2z@dagondesign.com</v>
      </c>
      <c r="H109" t="str">
        <f>_xlfn.XLOOKUP(C109,Customers!$A$2:$A$1001,Customers!$G$2:$G$1001)</f>
        <v>United States</v>
      </c>
      <c r="I109" t="str" cm="1">
        <f t="array" ref="I109:L109">_xlfn.XLOOKUP(D109,products!$A$2:$A$49,products!$B$2:$E$49)</f>
        <v>Rob</v>
      </c>
      <c r="J109" t="str">
        <v>M</v>
      </c>
      <c r="K109" s="8">
        <v>0.5</v>
      </c>
      <c r="L109" s="6">
        <v>5.97</v>
      </c>
      <c r="M109" s="7">
        <f t="shared" si="3"/>
        <v>17.91</v>
      </c>
      <c r="N109" t="str">
        <f t="shared" si="4"/>
        <v>Robusta</v>
      </c>
      <c r="O109" t="str">
        <f t="shared" si="5"/>
        <v>Medium</v>
      </c>
      <c r="P109" t="str">
        <f>_xlfn.XLOOKUP(Orders!C109,Customers!$A$2:$A$1001,Customers!$I$2:$I$1001)</f>
        <v>Yes</v>
      </c>
    </row>
    <row r="110" spans="1:16" x14ac:dyDescent="0.3">
      <c r="A110" t="s">
        <v>253</v>
      </c>
      <c r="B110" s="11">
        <v>44041</v>
      </c>
      <c r="C110" t="s">
        <v>254</v>
      </c>
      <c r="D110" t="s">
        <v>72</v>
      </c>
      <c r="E110">
        <v>4</v>
      </c>
      <c r="F110" t="str">
        <f>_xlfn.XLOOKUP(C110,Customers!$A$2:$A$1001,Customers!$B$2:$B$1001)</f>
        <v>Isahella Hagland</v>
      </c>
      <c r="G110">
        <f>_xlfn.XLOOKUP(C110,Customers!$A$2:$A$1001,Customers!$C$2:$C$1001)</f>
        <v>0</v>
      </c>
      <c r="H110" t="str">
        <f>_xlfn.XLOOKUP(C110,Customers!$A$2:$A$1001,Customers!$G$2:$G$1001)</f>
        <v>United States</v>
      </c>
      <c r="I110" t="str" cm="1">
        <f t="array" ref="I110:L110">_xlfn.XLOOKUP(D110,products!$A$2:$A$49,products!$B$2:$E$49)</f>
        <v>Ara</v>
      </c>
      <c r="J110" t="str">
        <v>M</v>
      </c>
      <c r="K110" s="8">
        <v>0.5</v>
      </c>
      <c r="L110" s="6">
        <v>6.75</v>
      </c>
      <c r="M110" s="7">
        <f t="shared" si="3"/>
        <v>27</v>
      </c>
      <c r="N110" t="str">
        <f t="shared" si="4"/>
        <v>Arasbica</v>
      </c>
      <c r="O110" t="str">
        <f t="shared" si="5"/>
        <v>Medium</v>
      </c>
      <c r="P110" t="str">
        <f>_xlfn.XLOOKUP(Orders!C110,Customers!$A$2:$A$1001,Customers!$I$2:$I$1001)</f>
        <v>No</v>
      </c>
    </row>
    <row r="111" spans="1:16" x14ac:dyDescent="0.3">
      <c r="A111" t="s">
        <v>255</v>
      </c>
      <c r="B111" s="11">
        <v>43811</v>
      </c>
      <c r="C111" t="s">
        <v>256</v>
      </c>
      <c r="D111" t="s">
        <v>128</v>
      </c>
      <c r="E111">
        <v>1</v>
      </c>
      <c r="F111" t="str">
        <f>_xlfn.XLOOKUP(C111,Customers!$A$2:$A$1001,Customers!$B$2:$B$1001)</f>
        <v>Terry Sheryn</v>
      </c>
      <c r="G111" t="str">
        <f>_xlfn.XLOOKUP(C111,Customers!$A$2:$A$1001,Customers!$C$2:$C$1001)</f>
        <v>tsheryn31@mtv.com</v>
      </c>
      <c r="H111" t="str">
        <f>_xlfn.XLOOKUP(C111,Customers!$A$2:$A$1001,Customers!$G$2:$G$1001)</f>
        <v>United States</v>
      </c>
      <c r="I111" t="str" cm="1">
        <f t="array" ref="I111:L111">_xlfn.XLOOKUP(D111,products!$A$2:$A$49,products!$B$2:$E$49)</f>
        <v>Lib</v>
      </c>
      <c r="J111" t="str">
        <v>D</v>
      </c>
      <c r="K111" s="8">
        <v>0.5</v>
      </c>
      <c r="L111" s="6">
        <v>7.77</v>
      </c>
      <c r="M111" s="7">
        <f t="shared" si="3"/>
        <v>7.77</v>
      </c>
      <c r="N111" t="str">
        <f t="shared" si="4"/>
        <v>Liberica</v>
      </c>
      <c r="O111" t="str">
        <f t="shared" si="5"/>
        <v>Dark</v>
      </c>
      <c r="P111" t="str">
        <f>_xlfn.XLOOKUP(Orders!C111,Customers!$A$2:$A$1001,Customers!$I$2:$I$1001)</f>
        <v>Yes</v>
      </c>
    </row>
    <row r="112" spans="1:16" x14ac:dyDescent="0.3">
      <c r="A112" t="s">
        <v>257</v>
      </c>
      <c r="B112" s="11">
        <v>44727</v>
      </c>
      <c r="C112" t="s">
        <v>258</v>
      </c>
      <c r="D112" t="s">
        <v>259</v>
      </c>
      <c r="E112">
        <v>3</v>
      </c>
      <c r="F112" t="str">
        <f>_xlfn.XLOOKUP(C112,Customers!$A$2:$A$1001,Customers!$B$2:$B$1001)</f>
        <v>Marie-jeanne Redgrave</v>
      </c>
      <c r="G112" t="str">
        <f>_xlfn.XLOOKUP(C112,Customers!$A$2:$A$1001,Customers!$C$2:$C$1001)</f>
        <v>mredgrave32@cargocollective.com</v>
      </c>
      <c r="H112" t="str">
        <f>_xlfn.XLOOKUP(C112,Customers!$A$2:$A$1001,Customers!$G$2:$G$1001)</f>
        <v>United States</v>
      </c>
      <c r="I112" t="str" cm="1">
        <f t="array" ref="I112:L112">_xlfn.XLOOKUP(D112,products!$A$2:$A$49,products!$B$2:$E$49)</f>
        <v>Exc</v>
      </c>
      <c r="J112" t="str">
        <v>L</v>
      </c>
      <c r="K112" s="8">
        <v>0.2</v>
      </c>
      <c r="L112" s="6">
        <v>4.4550000000000001</v>
      </c>
      <c r="M112" s="7">
        <f t="shared" si="3"/>
        <v>13.365</v>
      </c>
      <c r="N112" t="str">
        <f t="shared" si="4"/>
        <v>Excelsa</v>
      </c>
      <c r="O112" t="str">
        <f t="shared" si="5"/>
        <v>Lite</v>
      </c>
      <c r="P112" t="str">
        <f>_xlfn.XLOOKUP(Orders!C112,Customers!$A$2:$A$1001,Customers!$I$2:$I$1001)</f>
        <v>Yes</v>
      </c>
    </row>
    <row r="113" spans="1:16" x14ac:dyDescent="0.3">
      <c r="A113" t="s">
        <v>260</v>
      </c>
      <c r="B113" s="11">
        <v>43642</v>
      </c>
      <c r="C113" t="s">
        <v>261</v>
      </c>
      <c r="D113" t="s">
        <v>151</v>
      </c>
      <c r="E113">
        <v>5</v>
      </c>
      <c r="F113" t="str">
        <f>_xlfn.XLOOKUP(C113,Customers!$A$2:$A$1001,Customers!$B$2:$B$1001)</f>
        <v>Betty Fominov</v>
      </c>
      <c r="G113" t="str">
        <f>_xlfn.XLOOKUP(C113,Customers!$A$2:$A$1001,Customers!$C$2:$C$1001)</f>
        <v>bfominov33@yale.edu</v>
      </c>
      <c r="H113" t="str">
        <f>_xlfn.XLOOKUP(C113,Customers!$A$2:$A$1001,Customers!$G$2:$G$1001)</f>
        <v>United States</v>
      </c>
      <c r="I113" t="str" cm="1">
        <f t="array" ref="I113:L113">_xlfn.XLOOKUP(D113,products!$A$2:$A$49,products!$B$2:$E$49)</f>
        <v>Rob</v>
      </c>
      <c r="J113" t="str">
        <v>D</v>
      </c>
      <c r="K113" s="8">
        <v>0.5</v>
      </c>
      <c r="L113" s="6">
        <v>5.3699999999999992</v>
      </c>
      <c r="M113" s="7">
        <f t="shared" si="3"/>
        <v>26.849999999999994</v>
      </c>
      <c r="N113" t="str">
        <f t="shared" si="4"/>
        <v>Robusta</v>
      </c>
      <c r="O113" t="str">
        <f t="shared" si="5"/>
        <v>Dark</v>
      </c>
      <c r="P113" t="str">
        <f>_xlfn.XLOOKUP(Orders!C113,Customers!$A$2:$A$1001,Customers!$I$2:$I$1001)</f>
        <v>No</v>
      </c>
    </row>
    <row r="114" spans="1:16" x14ac:dyDescent="0.3">
      <c r="A114" t="s">
        <v>262</v>
      </c>
      <c r="B114" s="11">
        <v>44481</v>
      </c>
      <c r="C114" t="s">
        <v>263</v>
      </c>
      <c r="D114" t="s">
        <v>66</v>
      </c>
      <c r="E114">
        <v>1</v>
      </c>
      <c r="F114" t="str">
        <f>_xlfn.XLOOKUP(C114,Customers!$A$2:$A$1001,Customers!$B$2:$B$1001)</f>
        <v>Shawnee Critchlow</v>
      </c>
      <c r="G114" t="str">
        <f>_xlfn.XLOOKUP(C114,Customers!$A$2:$A$1001,Customers!$C$2:$C$1001)</f>
        <v>scritchlow34@un.org</v>
      </c>
      <c r="H114" t="str">
        <f>_xlfn.XLOOKUP(C114,Customers!$A$2:$A$1001,Customers!$G$2:$G$1001)</f>
        <v>United States</v>
      </c>
      <c r="I114" t="str" cm="1">
        <f t="array" ref="I114:L114">_xlfn.XLOOKUP(D114,products!$A$2:$A$49,products!$B$2:$E$49)</f>
        <v>Ara</v>
      </c>
      <c r="J114" t="str">
        <v>M</v>
      </c>
      <c r="K114" s="8">
        <v>1</v>
      </c>
      <c r="L114" s="6">
        <v>11.25</v>
      </c>
      <c r="M114" s="7">
        <f t="shared" si="3"/>
        <v>11.25</v>
      </c>
      <c r="N114" t="str">
        <f t="shared" si="4"/>
        <v>Arasbica</v>
      </c>
      <c r="O114" t="str">
        <f t="shared" si="5"/>
        <v>Medium</v>
      </c>
      <c r="P114" t="str">
        <f>_xlfn.XLOOKUP(Orders!C114,Customers!$A$2:$A$1001,Customers!$I$2:$I$1001)</f>
        <v>No</v>
      </c>
    </row>
    <row r="115" spans="1:16" x14ac:dyDescent="0.3">
      <c r="A115" t="s">
        <v>264</v>
      </c>
      <c r="B115" s="11">
        <v>43556</v>
      </c>
      <c r="C115" t="s">
        <v>265</v>
      </c>
      <c r="D115" t="s">
        <v>101</v>
      </c>
      <c r="E115">
        <v>1</v>
      </c>
      <c r="F115" t="str">
        <f>_xlfn.XLOOKUP(C115,Customers!$A$2:$A$1001,Customers!$B$2:$B$1001)</f>
        <v>Merrel Steptow</v>
      </c>
      <c r="G115" t="str">
        <f>_xlfn.XLOOKUP(C115,Customers!$A$2:$A$1001,Customers!$C$2:$C$1001)</f>
        <v>msteptow35@earthlink.net</v>
      </c>
      <c r="H115" t="str">
        <f>_xlfn.XLOOKUP(C115,Customers!$A$2:$A$1001,Customers!$G$2:$G$1001)</f>
        <v>Ireland</v>
      </c>
      <c r="I115" t="str" cm="1">
        <f t="array" ref="I115:L115">_xlfn.XLOOKUP(D115,products!$A$2:$A$49,products!$B$2:$E$49)</f>
        <v>Lib</v>
      </c>
      <c r="J115" t="str">
        <v>M</v>
      </c>
      <c r="K115" s="8">
        <v>1</v>
      </c>
      <c r="L115" s="6">
        <v>14.55</v>
      </c>
      <c r="M115" s="7">
        <f t="shared" si="3"/>
        <v>14.55</v>
      </c>
      <c r="N115" t="str">
        <f t="shared" si="4"/>
        <v>Liberica</v>
      </c>
      <c r="O115" t="str">
        <f t="shared" si="5"/>
        <v>Medium</v>
      </c>
      <c r="P115" t="str">
        <f>_xlfn.XLOOKUP(Orders!C115,Customers!$A$2:$A$1001,Customers!$I$2:$I$1001)</f>
        <v>No</v>
      </c>
    </row>
    <row r="116" spans="1:16" x14ac:dyDescent="0.3">
      <c r="A116" t="s">
        <v>266</v>
      </c>
      <c r="B116" s="11">
        <v>44265</v>
      </c>
      <c r="C116" t="s">
        <v>267</v>
      </c>
      <c r="D116" t="s">
        <v>187</v>
      </c>
      <c r="E116">
        <v>4</v>
      </c>
      <c r="F116" t="str">
        <f>_xlfn.XLOOKUP(C116,Customers!$A$2:$A$1001,Customers!$B$2:$B$1001)</f>
        <v>Carmina Hubbuck</v>
      </c>
      <c r="G116">
        <f>_xlfn.XLOOKUP(C116,Customers!$A$2:$A$1001,Customers!$C$2:$C$1001)</f>
        <v>0</v>
      </c>
      <c r="H116" t="str">
        <f>_xlfn.XLOOKUP(C116,Customers!$A$2:$A$1001,Customers!$G$2:$G$1001)</f>
        <v>United States</v>
      </c>
      <c r="I116" t="str" cm="1">
        <f t="array" ref="I116:L116">_xlfn.XLOOKUP(D116,products!$A$2:$A$49,products!$B$2:$E$49)</f>
        <v>Rob</v>
      </c>
      <c r="J116" t="str">
        <v>L</v>
      </c>
      <c r="K116" s="8">
        <v>0.2</v>
      </c>
      <c r="L116" s="6">
        <v>3.5849999999999995</v>
      </c>
      <c r="M116" s="7">
        <f t="shared" si="3"/>
        <v>14.339999999999998</v>
      </c>
      <c r="N116" t="str">
        <f t="shared" si="4"/>
        <v>Robusta</v>
      </c>
      <c r="O116" t="str">
        <f t="shared" si="5"/>
        <v>Lite</v>
      </c>
      <c r="P116" t="str">
        <f>_xlfn.XLOOKUP(Orders!C116,Customers!$A$2:$A$1001,Customers!$I$2:$I$1001)</f>
        <v>No</v>
      </c>
    </row>
    <row r="117" spans="1:16" x14ac:dyDescent="0.3">
      <c r="A117" t="s">
        <v>268</v>
      </c>
      <c r="B117" s="11">
        <v>43693</v>
      </c>
      <c r="C117" t="s">
        <v>269</v>
      </c>
      <c r="D117" t="s">
        <v>137</v>
      </c>
      <c r="E117">
        <v>1</v>
      </c>
      <c r="F117" t="str">
        <f>_xlfn.XLOOKUP(C117,Customers!$A$2:$A$1001,Customers!$B$2:$B$1001)</f>
        <v>Ingeberg Mulliner</v>
      </c>
      <c r="G117" t="str">
        <f>_xlfn.XLOOKUP(C117,Customers!$A$2:$A$1001,Customers!$C$2:$C$1001)</f>
        <v>imulliner37@pinterest.com</v>
      </c>
      <c r="H117" t="str">
        <f>_xlfn.XLOOKUP(C117,Customers!$A$2:$A$1001,Customers!$G$2:$G$1001)</f>
        <v>United Kingdom</v>
      </c>
      <c r="I117" t="str" cm="1">
        <f t="array" ref="I117:L117">_xlfn.XLOOKUP(D117,products!$A$2:$A$49,products!$B$2:$E$49)</f>
        <v>Lib</v>
      </c>
      <c r="J117" t="str">
        <v>L</v>
      </c>
      <c r="K117" s="8">
        <v>1</v>
      </c>
      <c r="L117" s="6">
        <v>15.85</v>
      </c>
      <c r="M117" s="7">
        <f t="shared" si="3"/>
        <v>15.85</v>
      </c>
      <c r="N117" t="str">
        <f t="shared" si="4"/>
        <v>Liberica</v>
      </c>
      <c r="O117" t="str">
        <f t="shared" si="5"/>
        <v>Lite</v>
      </c>
      <c r="P117" t="str">
        <f>_xlfn.XLOOKUP(Orders!C117,Customers!$A$2:$A$1001,Customers!$I$2:$I$1001)</f>
        <v>No</v>
      </c>
    </row>
    <row r="118" spans="1:16" x14ac:dyDescent="0.3">
      <c r="A118" t="s">
        <v>270</v>
      </c>
      <c r="B118" s="11">
        <v>44054</v>
      </c>
      <c r="C118" t="s">
        <v>271</v>
      </c>
      <c r="D118" t="s">
        <v>24</v>
      </c>
      <c r="E118">
        <v>4</v>
      </c>
      <c r="F118" t="str">
        <f>_xlfn.XLOOKUP(C118,Customers!$A$2:$A$1001,Customers!$B$2:$B$1001)</f>
        <v>Geneva Standley</v>
      </c>
      <c r="G118" t="str">
        <f>_xlfn.XLOOKUP(C118,Customers!$A$2:$A$1001,Customers!$C$2:$C$1001)</f>
        <v>gstandley38@dion.ne.jp</v>
      </c>
      <c r="H118" t="str">
        <f>_xlfn.XLOOKUP(C118,Customers!$A$2:$A$1001,Customers!$G$2:$G$1001)</f>
        <v>Ireland</v>
      </c>
      <c r="I118" t="str" cm="1">
        <f t="array" ref="I118:L118">_xlfn.XLOOKUP(D118,products!$A$2:$A$49,products!$B$2:$E$49)</f>
        <v>Lib</v>
      </c>
      <c r="J118" t="str">
        <v>L</v>
      </c>
      <c r="K118" s="8">
        <v>0.2</v>
      </c>
      <c r="L118" s="6">
        <v>4.7549999999999999</v>
      </c>
      <c r="M118" s="7">
        <f t="shared" si="3"/>
        <v>19.02</v>
      </c>
      <c r="N118" t="str">
        <f t="shared" si="4"/>
        <v>Liberica</v>
      </c>
      <c r="O118" t="str">
        <f t="shared" si="5"/>
        <v>Lite</v>
      </c>
      <c r="P118" t="str">
        <f>_xlfn.XLOOKUP(Orders!C118,Customers!$A$2:$A$1001,Customers!$I$2:$I$1001)</f>
        <v>Yes</v>
      </c>
    </row>
    <row r="119" spans="1:16" x14ac:dyDescent="0.3">
      <c r="A119" t="s">
        <v>272</v>
      </c>
      <c r="B119" s="11">
        <v>44656</v>
      </c>
      <c r="C119" t="s">
        <v>273</v>
      </c>
      <c r="D119" t="s">
        <v>88</v>
      </c>
      <c r="E119">
        <v>4</v>
      </c>
      <c r="F119" t="str">
        <f>_xlfn.XLOOKUP(C119,Customers!$A$2:$A$1001,Customers!$B$2:$B$1001)</f>
        <v>Brook Drage</v>
      </c>
      <c r="G119" t="str">
        <f>_xlfn.XLOOKUP(C119,Customers!$A$2:$A$1001,Customers!$C$2:$C$1001)</f>
        <v>bdrage39@youku.com</v>
      </c>
      <c r="H119" t="str">
        <f>_xlfn.XLOOKUP(C119,Customers!$A$2:$A$1001,Customers!$G$2:$G$1001)</f>
        <v>United States</v>
      </c>
      <c r="I119" t="str" cm="1">
        <f t="array" ref="I119:L119">_xlfn.XLOOKUP(D119,products!$A$2:$A$49,products!$B$2:$E$49)</f>
        <v>Lib</v>
      </c>
      <c r="J119" t="str">
        <v>L</v>
      </c>
      <c r="K119" s="8">
        <v>0.5</v>
      </c>
      <c r="L119" s="6">
        <v>9.51</v>
      </c>
      <c r="M119" s="7">
        <f t="shared" si="3"/>
        <v>38.04</v>
      </c>
      <c r="N119" t="str">
        <f t="shared" si="4"/>
        <v>Liberica</v>
      </c>
      <c r="O119" t="str">
        <f t="shared" si="5"/>
        <v>Lite</v>
      </c>
      <c r="P119" t="str">
        <f>_xlfn.XLOOKUP(Orders!C119,Customers!$A$2:$A$1001,Customers!$I$2:$I$1001)</f>
        <v>No</v>
      </c>
    </row>
    <row r="120" spans="1:16" x14ac:dyDescent="0.3">
      <c r="A120" t="s">
        <v>274</v>
      </c>
      <c r="B120" s="11">
        <v>43760</v>
      </c>
      <c r="C120" t="s">
        <v>275</v>
      </c>
      <c r="D120" t="s">
        <v>21</v>
      </c>
      <c r="E120">
        <v>3</v>
      </c>
      <c r="F120" t="str">
        <f>_xlfn.XLOOKUP(C120,Customers!$A$2:$A$1001,Customers!$B$2:$B$1001)</f>
        <v>Muffin Yallop</v>
      </c>
      <c r="G120" t="str">
        <f>_xlfn.XLOOKUP(C120,Customers!$A$2:$A$1001,Customers!$C$2:$C$1001)</f>
        <v>myallop3a@fema.gov</v>
      </c>
      <c r="H120" t="str">
        <f>_xlfn.XLOOKUP(C120,Customers!$A$2:$A$1001,Customers!$G$2:$G$1001)</f>
        <v>United States</v>
      </c>
      <c r="I120" t="str" cm="1">
        <f t="array" ref="I120:L120">_xlfn.XLOOKUP(D120,products!$A$2:$A$49,products!$B$2:$E$49)</f>
        <v>Exc</v>
      </c>
      <c r="J120" t="str">
        <v>D</v>
      </c>
      <c r="K120" s="8">
        <v>0.5</v>
      </c>
      <c r="L120" s="6">
        <v>7.29</v>
      </c>
      <c r="M120" s="7">
        <f t="shared" si="3"/>
        <v>21.87</v>
      </c>
      <c r="N120" t="str">
        <f t="shared" si="4"/>
        <v>Excelsa</v>
      </c>
      <c r="O120" t="str">
        <f t="shared" si="5"/>
        <v>Dark</v>
      </c>
      <c r="P120" t="str">
        <f>_xlfn.XLOOKUP(Orders!C120,Customers!$A$2:$A$1001,Customers!$I$2:$I$1001)</f>
        <v>Yes</v>
      </c>
    </row>
    <row r="121" spans="1:16" x14ac:dyDescent="0.3">
      <c r="A121" t="s">
        <v>276</v>
      </c>
      <c r="B121" s="11">
        <v>44471</v>
      </c>
      <c r="C121" t="s">
        <v>277</v>
      </c>
      <c r="D121" t="s">
        <v>69</v>
      </c>
      <c r="E121">
        <v>1</v>
      </c>
      <c r="F121" t="str">
        <f>_xlfn.XLOOKUP(C121,Customers!$A$2:$A$1001,Customers!$B$2:$B$1001)</f>
        <v>Cordi Switsur</v>
      </c>
      <c r="G121" t="str">
        <f>_xlfn.XLOOKUP(C121,Customers!$A$2:$A$1001,Customers!$C$2:$C$1001)</f>
        <v>cswitsur3b@chronoengine.com</v>
      </c>
      <c r="H121" t="str">
        <f>_xlfn.XLOOKUP(C121,Customers!$A$2:$A$1001,Customers!$G$2:$G$1001)</f>
        <v>United States</v>
      </c>
      <c r="I121" t="str" cm="1">
        <f t="array" ref="I121:L121">_xlfn.XLOOKUP(D121,products!$A$2:$A$49,products!$B$2:$E$49)</f>
        <v>Exc</v>
      </c>
      <c r="J121" t="str">
        <v>M</v>
      </c>
      <c r="K121" s="8">
        <v>0.2</v>
      </c>
      <c r="L121" s="6">
        <v>4.125</v>
      </c>
      <c r="M121" s="7">
        <f t="shared" si="3"/>
        <v>4.125</v>
      </c>
      <c r="N121" t="str">
        <f t="shared" si="4"/>
        <v>Excelsa</v>
      </c>
      <c r="O121" t="str">
        <f t="shared" si="5"/>
        <v>Medium</v>
      </c>
      <c r="P121" t="str">
        <f>_xlfn.XLOOKUP(Orders!C121,Customers!$A$2:$A$1001,Customers!$I$2:$I$1001)</f>
        <v>No</v>
      </c>
    </row>
    <row r="122" spans="1:16" x14ac:dyDescent="0.3">
      <c r="A122" t="s">
        <v>276</v>
      </c>
      <c r="B122" s="11">
        <v>44471</v>
      </c>
      <c r="C122" t="s">
        <v>277</v>
      </c>
      <c r="D122" t="s">
        <v>120</v>
      </c>
      <c r="E122">
        <v>1</v>
      </c>
      <c r="F122" t="str">
        <f>_xlfn.XLOOKUP(C122,Customers!$A$2:$A$1001,Customers!$B$2:$B$1001)</f>
        <v>Cordi Switsur</v>
      </c>
      <c r="G122" t="str">
        <f>_xlfn.XLOOKUP(C122,Customers!$A$2:$A$1001,Customers!$C$2:$C$1001)</f>
        <v>cswitsur3b@chronoengine.com</v>
      </c>
      <c r="H122" t="str">
        <f>_xlfn.XLOOKUP(C122,Customers!$A$2:$A$1001,Customers!$G$2:$G$1001)</f>
        <v>United States</v>
      </c>
      <c r="I122" t="str" cm="1">
        <f t="array" ref="I122:L122">_xlfn.XLOOKUP(D122,products!$A$2:$A$49,products!$B$2:$E$49)</f>
        <v>Ara</v>
      </c>
      <c r="J122" t="str">
        <v>L</v>
      </c>
      <c r="K122" s="8">
        <v>0.2</v>
      </c>
      <c r="L122" s="6">
        <v>3.8849999999999998</v>
      </c>
      <c r="M122" s="7">
        <f t="shared" si="3"/>
        <v>3.8849999999999998</v>
      </c>
      <c r="N122" t="str">
        <f t="shared" si="4"/>
        <v>Arasbica</v>
      </c>
      <c r="O122" t="str">
        <f t="shared" si="5"/>
        <v>Lite</v>
      </c>
      <c r="P122" t="str">
        <f>_xlfn.XLOOKUP(Orders!C122,Customers!$A$2:$A$1001,Customers!$I$2:$I$1001)</f>
        <v>No</v>
      </c>
    </row>
    <row r="123" spans="1:16" x14ac:dyDescent="0.3">
      <c r="A123" t="s">
        <v>276</v>
      </c>
      <c r="B123" s="11">
        <v>44471</v>
      </c>
      <c r="C123" t="s">
        <v>277</v>
      </c>
      <c r="D123" t="s">
        <v>14</v>
      </c>
      <c r="E123">
        <v>5</v>
      </c>
      <c r="F123" t="str">
        <f>_xlfn.XLOOKUP(C123,Customers!$A$2:$A$1001,Customers!$B$2:$B$1001)</f>
        <v>Cordi Switsur</v>
      </c>
      <c r="G123" t="str">
        <f>_xlfn.XLOOKUP(C123,Customers!$A$2:$A$1001,Customers!$C$2:$C$1001)</f>
        <v>cswitsur3b@chronoengine.com</v>
      </c>
      <c r="H123" t="str">
        <f>_xlfn.XLOOKUP(C123,Customers!$A$2:$A$1001,Customers!$G$2:$G$1001)</f>
        <v>United States</v>
      </c>
      <c r="I123" t="str" cm="1">
        <f t="array" ref="I123:L123">_xlfn.XLOOKUP(D123,products!$A$2:$A$49,products!$B$2:$E$49)</f>
        <v>Exc</v>
      </c>
      <c r="J123" t="str">
        <v>M</v>
      </c>
      <c r="K123" s="8">
        <v>1</v>
      </c>
      <c r="L123" s="6">
        <v>13.75</v>
      </c>
      <c r="M123" s="7">
        <f t="shared" si="3"/>
        <v>68.75</v>
      </c>
      <c r="N123" t="str">
        <f t="shared" si="4"/>
        <v>Excelsa</v>
      </c>
      <c r="O123" t="str">
        <f t="shared" si="5"/>
        <v>Medium</v>
      </c>
      <c r="P123" t="str">
        <f>_xlfn.XLOOKUP(Orders!C123,Customers!$A$2:$A$1001,Customers!$I$2:$I$1001)</f>
        <v>No</v>
      </c>
    </row>
    <row r="124" spans="1:16" x14ac:dyDescent="0.3">
      <c r="A124" t="s">
        <v>278</v>
      </c>
      <c r="B124" s="11">
        <v>44268</v>
      </c>
      <c r="C124" t="s">
        <v>279</v>
      </c>
      <c r="D124" t="s">
        <v>77</v>
      </c>
      <c r="E124">
        <v>4</v>
      </c>
      <c r="F124" t="str">
        <f>_xlfn.XLOOKUP(C124,Customers!$A$2:$A$1001,Customers!$B$2:$B$1001)</f>
        <v>Mahala Ludwell</v>
      </c>
      <c r="G124" t="str">
        <f>_xlfn.XLOOKUP(C124,Customers!$A$2:$A$1001,Customers!$C$2:$C$1001)</f>
        <v>mludwell3e@blogger.com</v>
      </c>
      <c r="H124" t="str">
        <f>_xlfn.XLOOKUP(C124,Customers!$A$2:$A$1001,Customers!$G$2:$G$1001)</f>
        <v>United States</v>
      </c>
      <c r="I124" t="str" cm="1">
        <f t="array" ref="I124:L124">_xlfn.XLOOKUP(D124,products!$A$2:$A$49,products!$B$2:$E$49)</f>
        <v>Ara</v>
      </c>
      <c r="J124" t="str">
        <v>D</v>
      </c>
      <c r="K124" s="8">
        <v>0.5</v>
      </c>
      <c r="L124" s="6">
        <v>5.97</v>
      </c>
      <c r="M124" s="7">
        <f t="shared" si="3"/>
        <v>23.88</v>
      </c>
      <c r="N124" t="str">
        <f t="shared" si="4"/>
        <v>Arasbica</v>
      </c>
      <c r="O124" t="str">
        <f t="shared" si="5"/>
        <v>Dark</v>
      </c>
      <c r="P124" t="str">
        <f>_xlfn.XLOOKUP(Orders!C124,Customers!$A$2:$A$1001,Customers!$I$2:$I$1001)</f>
        <v>Yes</v>
      </c>
    </row>
    <row r="125" spans="1:16" x14ac:dyDescent="0.3">
      <c r="A125" t="s">
        <v>280</v>
      </c>
      <c r="B125" s="11">
        <v>44724</v>
      </c>
      <c r="C125" t="s">
        <v>281</v>
      </c>
      <c r="D125" t="s">
        <v>109</v>
      </c>
      <c r="E125">
        <v>4</v>
      </c>
      <c r="F125" t="str">
        <f>_xlfn.XLOOKUP(C125,Customers!$A$2:$A$1001,Customers!$B$2:$B$1001)</f>
        <v>Doll Beauchamp</v>
      </c>
      <c r="G125" t="str">
        <f>_xlfn.XLOOKUP(C125,Customers!$A$2:$A$1001,Customers!$C$2:$C$1001)</f>
        <v>dbeauchamp3f@usda.gov</v>
      </c>
      <c r="H125" t="str">
        <f>_xlfn.XLOOKUP(C125,Customers!$A$2:$A$1001,Customers!$G$2:$G$1001)</f>
        <v>United States</v>
      </c>
      <c r="I125" t="str" cm="1">
        <f t="array" ref="I125:L125">_xlfn.XLOOKUP(D125,products!$A$2:$A$49,products!$B$2:$E$49)</f>
        <v>Lib</v>
      </c>
      <c r="J125" t="str">
        <v>L</v>
      </c>
      <c r="K125" s="8">
        <v>2.5</v>
      </c>
      <c r="L125" s="6">
        <v>36.454999999999998</v>
      </c>
      <c r="M125" s="7">
        <f t="shared" si="3"/>
        <v>145.82</v>
      </c>
      <c r="N125" t="str">
        <f t="shared" si="4"/>
        <v>Liberica</v>
      </c>
      <c r="O125" t="str">
        <f t="shared" si="5"/>
        <v>Lite</v>
      </c>
      <c r="P125" t="str">
        <f>_xlfn.XLOOKUP(Orders!C125,Customers!$A$2:$A$1001,Customers!$I$2:$I$1001)</f>
        <v>No</v>
      </c>
    </row>
    <row r="126" spans="1:16" x14ac:dyDescent="0.3">
      <c r="A126" t="s">
        <v>282</v>
      </c>
      <c r="B126" s="11">
        <v>43582</v>
      </c>
      <c r="C126" t="s">
        <v>283</v>
      </c>
      <c r="D126" t="s">
        <v>82</v>
      </c>
      <c r="E126">
        <v>5</v>
      </c>
      <c r="F126" t="str">
        <f>_xlfn.XLOOKUP(C126,Customers!$A$2:$A$1001,Customers!$B$2:$B$1001)</f>
        <v>Stanford Rodliff</v>
      </c>
      <c r="G126" t="str">
        <f>_xlfn.XLOOKUP(C126,Customers!$A$2:$A$1001,Customers!$C$2:$C$1001)</f>
        <v>srodliff3g@ted.com</v>
      </c>
      <c r="H126" t="str">
        <f>_xlfn.XLOOKUP(C126,Customers!$A$2:$A$1001,Customers!$G$2:$G$1001)</f>
        <v>United States</v>
      </c>
      <c r="I126" t="str" cm="1">
        <f t="array" ref="I126:L126">_xlfn.XLOOKUP(D126,products!$A$2:$A$49,products!$B$2:$E$49)</f>
        <v>Lib</v>
      </c>
      <c r="J126" t="str">
        <v>M</v>
      </c>
      <c r="K126" s="8">
        <v>0.2</v>
      </c>
      <c r="L126" s="6">
        <v>4.3650000000000002</v>
      </c>
      <c r="M126" s="7">
        <f t="shared" si="3"/>
        <v>21.825000000000003</v>
      </c>
      <c r="N126" t="str">
        <f t="shared" si="4"/>
        <v>Liberica</v>
      </c>
      <c r="O126" t="str">
        <f t="shared" si="5"/>
        <v>Medium</v>
      </c>
      <c r="P126" t="str">
        <f>_xlfn.XLOOKUP(Orders!C126,Customers!$A$2:$A$1001,Customers!$I$2:$I$1001)</f>
        <v>Yes</v>
      </c>
    </row>
    <row r="127" spans="1:16" x14ac:dyDescent="0.3">
      <c r="A127" t="s">
        <v>284</v>
      </c>
      <c r="B127" s="11">
        <v>43608</v>
      </c>
      <c r="C127" t="s">
        <v>285</v>
      </c>
      <c r="D127" t="s">
        <v>83</v>
      </c>
      <c r="E127">
        <v>3</v>
      </c>
      <c r="F127" t="str">
        <f>_xlfn.XLOOKUP(C127,Customers!$A$2:$A$1001,Customers!$B$2:$B$1001)</f>
        <v>Stevana Woodham</v>
      </c>
      <c r="G127" t="str">
        <f>_xlfn.XLOOKUP(C127,Customers!$A$2:$A$1001,Customers!$C$2:$C$1001)</f>
        <v>swoodham3h@businesswire.com</v>
      </c>
      <c r="H127" t="str">
        <f>_xlfn.XLOOKUP(C127,Customers!$A$2:$A$1001,Customers!$G$2:$G$1001)</f>
        <v>Ireland</v>
      </c>
      <c r="I127" t="str" cm="1">
        <f t="array" ref="I127:L127">_xlfn.XLOOKUP(D127,products!$A$2:$A$49,products!$B$2:$E$49)</f>
        <v>Lib</v>
      </c>
      <c r="J127" t="str">
        <v>M</v>
      </c>
      <c r="K127" s="8">
        <v>0.5</v>
      </c>
      <c r="L127" s="6">
        <v>8.73</v>
      </c>
      <c r="M127" s="7">
        <f t="shared" si="3"/>
        <v>26.19</v>
      </c>
      <c r="N127" t="str">
        <f t="shared" si="4"/>
        <v>Liberica</v>
      </c>
      <c r="O127" t="str">
        <f t="shared" si="5"/>
        <v>Medium</v>
      </c>
      <c r="P127" t="str">
        <f>_xlfn.XLOOKUP(Orders!C127,Customers!$A$2:$A$1001,Customers!$I$2:$I$1001)</f>
        <v>Yes</v>
      </c>
    </row>
    <row r="128" spans="1:16" x14ac:dyDescent="0.3">
      <c r="A128" t="s">
        <v>286</v>
      </c>
      <c r="B128" s="11">
        <v>44026</v>
      </c>
      <c r="C128" t="s">
        <v>287</v>
      </c>
      <c r="D128" t="s">
        <v>66</v>
      </c>
      <c r="E128">
        <v>1</v>
      </c>
      <c r="F128" t="str">
        <f>_xlfn.XLOOKUP(C128,Customers!$A$2:$A$1001,Customers!$B$2:$B$1001)</f>
        <v>Hewet Synnot</v>
      </c>
      <c r="G128" t="str">
        <f>_xlfn.XLOOKUP(C128,Customers!$A$2:$A$1001,Customers!$C$2:$C$1001)</f>
        <v>hsynnot3i@about.com</v>
      </c>
      <c r="H128" t="str">
        <f>_xlfn.XLOOKUP(C128,Customers!$A$2:$A$1001,Customers!$G$2:$G$1001)</f>
        <v>United States</v>
      </c>
      <c r="I128" t="str" cm="1">
        <f t="array" ref="I128:L128">_xlfn.XLOOKUP(D128,products!$A$2:$A$49,products!$B$2:$E$49)</f>
        <v>Ara</v>
      </c>
      <c r="J128" t="str">
        <v>M</v>
      </c>
      <c r="K128" s="8">
        <v>1</v>
      </c>
      <c r="L128" s="6">
        <v>11.25</v>
      </c>
      <c r="M128" s="7">
        <f t="shared" si="3"/>
        <v>11.25</v>
      </c>
      <c r="N128" t="str">
        <f t="shared" si="4"/>
        <v>Arasbica</v>
      </c>
      <c r="O128" t="str">
        <f t="shared" si="5"/>
        <v>Medium</v>
      </c>
      <c r="P128" t="str">
        <f>_xlfn.XLOOKUP(Orders!C128,Customers!$A$2:$A$1001,Customers!$I$2:$I$1001)</f>
        <v>No</v>
      </c>
    </row>
    <row r="129" spans="1:16" x14ac:dyDescent="0.3">
      <c r="A129" t="s">
        <v>288</v>
      </c>
      <c r="B129" s="11">
        <v>44510</v>
      </c>
      <c r="C129" t="s">
        <v>289</v>
      </c>
      <c r="D129" t="s">
        <v>18</v>
      </c>
      <c r="E129">
        <v>6</v>
      </c>
      <c r="F129" t="str">
        <f>_xlfn.XLOOKUP(C129,Customers!$A$2:$A$1001,Customers!$B$2:$B$1001)</f>
        <v>Raleigh Lepere</v>
      </c>
      <c r="G129" t="str">
        <f>_xlfn.XLOOKUP(C129,Customers!$A$2:$A$1001,Customers!$C$2:$C$1001)</f>
        <v>rlepere3j@shop-pro.jp</v>
      </c>
      <c r="H129" t="str">
        <f>_xlfn.XLOOKUP(C129,Customers!$A$2:$A$1001,Customers!$G$2:$G$1001)</f>
        <v>Ireland</v>
      </c>
      <c r="I129" t="str" cm="1">
        <f t="array" ref="I129:L129">_xlfn.XLOOKUP(D129,products!$A$2:$A$49,products!$B$2:$E$49)</f>
        <v>Lib</v>
      </c>
      <c r="J129" t="str">
        <v>D</v>
      </c>
      <c r="K129" s="8">
        <v>1</v>
      </c>
      <c r="L129" s="6">
        <v>12.95</v>
      </c>
      <c r="M129" s="7">
        <f t="shared" si="3"/>
        <v>77.699999999999989</v>
      </c>
      <c r="N129" t="str">
        <f t="shared" si="4"/>
        <v>Liberica</v>
      </c>
      <c r="O129" t="str">
        <f t="shared" si="5"/>
        <v>Dark</v>
      </c>
      <c r="P129" t="str">
        <f>_xlfn.XLOOKUP(Orders!C129,Customers!$A$2:$A$1001,Customers!$I$2:$I$1001)</f>
        <v>No</v>
      </c>
    </row>
    <row r="130" spans="1:16" x14ac:dyDescent="0.3">
      <c r="A130" t="s">
        <v>290</v>
      </c>
      <c r="B130" s="11">
        <v>44439</v>
      </c>
      <c r="C130" t="s">
        <v>291</v>
      </c>
      <c r="D130" t="s">
        <v>72</v>
      </c>
      <c r="E130">
        <v>1</v>
      </c>
      <c r="F130" t="str">
        <f>_xlfn.XLOOKUP(C130,Customers!$A$2:$A$1001,Customers!$B$2:$B$1001)</f>
        <v>Timofei Woofinden</v>
      </c>
      <c r="G130" t="str">
        <f>_xlfn.XLOOKUP(C130,Customers!$A$2:$A$1001,Customers!$C$2:$C$1001)</f>
        <v>twoofinden3k@businesswire.com</v>
      </c>
      <c r="H130" t="str">
        <f>_xlfn.XLOOKUP(C130,Customers!$A$2:$A$1001,Customers!$G$2:$G$1001)</f>
        <v>United States</v>
      </c>
      <c r="I130" t="str" cm="1">
        <f t="array" ref="I130:L130">_xlfn.XLOOKUP(D130,products!$A$2:$A$49,products!$B$2:$E$49)</f>
        <v>Ara</v>
      </c>
      <c r="J130" t="str">
        <v>M</v>
      </c>
      <c r="K130" s="8">
        <v>0.5</v>
      </c>
      <c r="L130" s="6">
        <v>6.75</v>
      </c>
      <c r="M130" s="7">
        <f t="shared" si="3"/>
        <v>6.75</v>
      </c>
      <c r="N130" t="str">
        <f t="shared" si="4"/>
        <v>Arasbica</v>
      </c>
      <c r="O130" t="str">
        <f t="shared" si="5"/>
        <v>Medium</v>
      </c>
      <c r="P130" t="str">
        <f>_xlfn.XLOOKUP(Orders!C130,Customers!$A$2:$A$1001,Customers!$I$2:$I$1001)</f>
        <v>No</v>
      </c>
    </row>
    <row r="131" spans="1:16" x14ac:dyDescent="0.3">
      <c r="A131" t="s">
        <v>292</v>
      </c>
      <c r="B131" s="11">
        <v>43652</v>
      </c>
      <c r="C131" t="s">
        <v>293</v>
      </c>
      <c r="D131" t="s">
        <v>250</v>
      </c>
      <c r="E131">
        <v>1</v>
      </c>
      <c r="F131" t="str">
        <f>_xlfn.XLOOKUP(C131,Customers!$A$2:$A$1001,Customers!$B$2:$B$1001)</f>
        <v>Evelina Dacca</v>
      </c>
      <c r="G131" t="str">
        <f>_xlfn.XLOOKUP(C131,Customers!$A$2:$A$1001,Customers!$C$2:$C$1001)</f>
        <v>edacca3l@google.pl</v>
      </c>
      <c r="H131" t="str">
        <f>_xlfn.XLOOKUP(C131,Customers!$A$2:$A$1001,Customers!$G$2:$G$1001)</f>
        <v>United States</v>
      </c>
      <c r="I131" t="str" cm="1">
        <f t="array" ref="I131:L131">_xlfn.XLOOKUP(D131,products!$A$2:$A$49,products!$B$2:$E$49)</f>
        <v>Exc</v>
      </c>
      <c r="J131" t="str">
        <v>D</v>
      </c>
      <c r="K131" s="8">
        <v>1</v>
      </c>
      <c r="L131" s="6">
        <v>12.15</v>
      </c>
      <c r="M131" s="7">
        <f t="shared" ref="M131:M194" si="6">E131*L131</f>
        <v>12.15</v>
      </c>
      <c r="N131" t="str">
        <f t="shared" ref="N131:N194" si="7">IF(I131="rob","Robusta",IF(I131="Exc","Excelsa",IF(I131="Ara","Arasbica",IF(I131="Lib","Liberica"))))</f>
        <v>Excelsa</v>
      </c>
      <c r="O131" t="str">
        <f t="shared" ref="O131:O194" si="8">IF(J131="M","Medium",IF(J131="L","Lite",IF(J131="D","Dark")))</f>
        <v>Dark</v>
      </c>
      <c r="P131" t="str">
        <f>_xlfn.XLOOKUP(Orders!C131,Customers!$A$2:$A$1001,Customers!$I$2:$I$1001)</f>
        <v>Yes</v>
      </c>
    </row>
    <row r="132" spans="1:16" x14ac:dyDescent="0.3">
      <c r="A132" t="s">
        <v>294</v>
      </c>
      <c r="B132" s="11">
        <v>44624</v>
      </c>
      <c r="C132" t="s">
        <v>295</v>
      </c>
      <c r="D132" t="s">
        <v>209</v>
      </c>
      <c r="E132">
        <v>5</v>
      </c>
      <c r="F132" t="str">
        <f>_xlfn.XLOOKUP(C132,Customers!$A$2:$A$1001,Customers!$B$2:$B$1001)</f>
        <v>Bidget Tremellier</v>
      </c>
      <c r="G132">
        <f>_xlfn.XLOOKUP(C132,Customers!$A$2:$A$1001,Customers!$C$2:$C$1001)</f>
        <v>0</v>
      </c>
      <c r="H132" t="str">
        <f>_xlfn.XLOOKUP(C132,Customers!$A$2:$A$1001,Customers!$G$2:$G$1001)</f>
        <v>Ireland</v>
      </c>
      <c r="I132" t="str" cm="1">
        <f t="array" ref="I132:L132">_xlfn.XLOOKUP(D132,products!$A$2:$A$49,products!$B$2:$E$49)</f>
        <v>Ara</v>
      </c>
      <c r="J132" t="str">
        <v>L</v>
      </c>
      <c r="K132" s="8">
        <v>2.5</v>
      </c>
      <c r="L132" s="6">
        <v>29.784999999999997</v>
      </c>
      <c r="M132" s="7">
        <f t="shared" si="6"/>
        <v>148.92499999999998</v>
      </c>
      <c r="N132" t="str">
        <f t="shared" si="7"/>
        <v>Arasbica</v>
      </c>
      <c r="O132" t="str">
        <f t="shared" si="8"/>
        <v>Lite</v>
      </c>
      <c r="P132" t="str">
        <f>_xlfn.XLOOKUP(Orders!C132,Customers!$A$2:$A$1001,Customers!$I$2:$I$1001)</f>
        <v>Yes</v>
      </c>
    </row>
    <row r="133" spans="1:16" x14ac:dyDescent="0.3">
      <c r="A133" t="s">
        <v>296</v>
      </c>
      <c r="B133" s="11">
        <v>44196</v>
      </c>
      <c r="C133" t="s">
        <v>297</v>
      </c>
      <c r="D133" t="s">
        <v>21</v>
      </c>
      <c r="E133">
        <v>2</v>
      </c>
      <c r="F133" t="str">
        <f>_xlfn.XLOOKUP(C133,Customers!$A$2:$A$1001,Customers!$B$2:$B$1001)</f>
        <v>Bobinette Hindsberg</v>
      </c>
      <c r="G133" t="str">
        <f>_xlfn.XLOOKUP(C133,Customers!$A$2:$A$1001,Customers!$C$2:$C$1001)</f>
        <v>bhindsberg3n@blogs.com</v>
      </c>
      <c r="H133" t="str">
        <f>_xlfn.XLOOKUP(C133,Customers!$A$2:$A$1001,Customers!$G$2:$G$1001)</f>
        <v>United States</v>
      </c>
      <c r="I133" t="str" cm="1">
        <f t="array" ref="I133:L133">_xlfn.XLOOKUP(D133,products!$A$2:$A$49,products!$B$2:$E$49)</f>
        <v>Exc</v>
      </c>
      <c r="J133" t="str">
        <v>D</v>
      </c>
      <c r="K133" s="8">
        <v>0.5</v>
      </c>
      <c r="L133" s="6">
        <v>7.29</v>
      </c>
      <c r="M133" s="7">
        <f t="shared" si="6"/>
        <v>14.58</v>
      </c>
      <c r="N133" t="str">
        <f t="shared" si="7"/>
        <v>Excelsa</v>
      </c>
      <c r="O133" t="str">
        <f t="shared" si="8"/>
        <v>Dark</v>
      </c>
      <c r="P133" t="str">
        <f>_xlfn.XLOOKUP(Orders!C133,Customers!$A$2:$A$1001,Customers!$I$2:$I$1001)</f>
        <v>Yes</v>
      </c>
    </row>
    <row r="134" spans="1:16" x14ac:dyDescent="0.3">
      <c r="A134" t="s">
        <v>298</v>
      </c>
      <c r="B134" s="11">
        <v>44043</v>
      </c>
      <c r="C134" t="s">
        <v>299</v>
      </c>
      <c r="D134" t="s">
        <v>209</v>
      </c>
      <c r="E134">
        <v>5</v>
      </c>
      <c r="F134" t="str">
        <f>_xlfn.XLOOKUP(C134,Customers!$A$2:$A$1001,Customers!$B$2:$B$1001)</f>
        <v>Osbert Robins</v>
      </c>
      <c r="G134" t="str">
        <f>_xlfn.XLOOKUP(C134,Customers!$A$2:$A$1001,Customers!$C$2:$C$1001)</f>
        <v>orobins3o@salon.com</v>
      </c>
      <c r="H134" t="str">
        <f>_xlfn.XLOOKUP(C134,Customers!$A$2:$A$1001,Customers!$G$2:$G$1001)</f>
        <v>United States</v>
      </c>
      <c r="I134" t="str" cm="1">
        <f t="array" ref="I134:L134">_xlfn.XLOOKUP(D134,products!$A$2:$A$49,products!$B$2:$E$49)</f>
        <v>Ara</v>
      </c>
      <c r="J134" t="str">
        <v>L</v>
      </c>
      <c r="K134" s="8">
        <v>2.5</v>
      </c>
      <c r="L134" s="6">
        <v>29.784999999999997</v>
      </c>
      <c r="M134" s="7">
        <f t="shared" si="6"/>
        <v>148.92499999999998</v>
      </c>
      <c r="N134" t="str">
        <f t="shared" si="7"/>
        <v>Arasbica</v>
      </c>
      <c r="O134" t="str">
        <f t="shared" si="8"/>
        <v>Lite</v>
      </c>
      <c r="P134" t="str">
        <f>_xlfn.XLOOKUP(Orders!C134,Customers!$A$2:$A$1001,Customers!$I$2:$I$1001)</f>
        <v>Yes</v>
      </c>
    </row>
    <row r="135" spans="1:16" x14ac:dyDescent="0.3">
      <c r="A135" t="s">
        <v>300</v>
      </c>
      <c r="B135" s="11">
        <v>44340</v>
      </c>
      <c r="C135" t="s">
        <v>301</v>
      </c>
      <c r="D135" t="s">
        <v>18</v>
      </c>
      <c r="E135">
        <v>1</v>
      </c>
      <c r="F135" t="str">
        <f>_xlfn.XLOOKUP(C135,Customers!$A$2:$A$1001,Customers!$B$2:$B$1001)</f>
        <v>Othello Syseland</v>
      </c>
      <c r="G135" t="str">
        <f>_xlfn.XLOOKUP(C135,Customers!$A$2:$A$1001,Customers!$C$2:$C$1001)</f>
        <v>osyseland3p@independent.co.uk</v>
      </c>
      <c r="H135" t="str">
        <f>_xlfn.XLOOKUP(C135,Customers!$A$2:$A$1001,Customers!$G$2:$G$1001)</f>
        <v>United States</v>
      </c>
      <c r="I135" t="str" cm="1">
        <f t="array" ref="I135:L135">_xlfn.XLOOKUP(D135,products!$A$2:$A$49,products!$B$2:$E$49)</f>
        <v>Lib</v>
      </c>
      <c r="J135" t="str">
        <v>D</v>
      </c>
      <c r="K135" s="8">
        <v>1</v>
      </c>
      <c r="L135" s="6">
        <v>12.95</v>
      </c>
      <c r="M135" s="7">
        <f t="shared" si="6"/>
        <v>12.95</v>
      </c>
      <c r="N135" t="str">
        <f t="shared" si="7"/>
        <v>Liberica</v>
      </c>
      <c r="O135" t="str">
        <f t="shared" si="8"/>
        <v>Dark</v>
      </c>
      <c r="P135" t="str">
        <f>_xlfn.XLOOKUP(Orders!C135,Customers!$A$2:$A$1001,Customers!$I$2:$I$1001)</f>
        <v>No</v>
      </c>
    </row>
    <row r="136" spans="1:16" x14ac:dyDescent="0.3">
      <c r="A136" t="s">
        <v>302</v>
      </c>
      <c r="B136" s="11">
        <v>44758</v>
      </c>
      <c r="C136" t="s">
        <v>303</v>
      </c>
      <c r="D136" t="s">
        <v>117</v>
      </c>
      <c r="E136">
        <v>3</v>
      </c>
      <c r="F136" t="str">
        <f>_xlfn.XLOOKUP(C136,Customers!$A$2:$A$1001,Customers!$B$2:$B$1001)</f>
        <v>Ewell Hanby</v>
      </c>
      <c r="G136">
        <f>_xlfn.XLOOKUP(C136,Customers!$A$2:$A$1001,Customers!$C$2:$C$1001)</f>
        <v>0</v>
      </c>
      <c r="H136" t="str">
        <f>_xlfn.XLOOKUP(C136,Customers!$A$2:$A$1001,Customers!$G$2:$G$1001)</f>
        <v>United States</v>
      </c>
      <c r="I136" t="str" cm="1">
        <f t="array" ref="I136:L136">_xlfn.XLOOKUP(D136,products!$A$2:$A$49,products!$B$2:$E$49)</f>
        <v>Exc</v>
      </c>
      <c r="J136" t="str">
        <v>M</v>
      </c>
      <c r="K136" s="8">
        <v>2.5</v>
      </c>
      <c r="L136" s="6">
        <v>31.624999999999996</v>
      </c>
      <c r="M136" s="7">
        <f t="shared" si="6"/>
        <v>94.874999999999986</v>
      </c>
      <c r="N136" t="str">
        <f t="shared" si="7"/>
        <v>Excelsa</v>
      </c>
      <c r="O136" t="str">
        <f t="shared" si="8"/>
        <v>Medium</v>
      </c>
      <c r="P136" t="str">
        <f>_xlfn.XLOOKUP(Orders!C136,Customers!$A$2:$A$1001,Customers!$I$2:$I$1001)</f>
        <v>Yes</v>
      </c>
    </row>
    <row r="137" spans="1:16" x14ac:dyDescent="0.3">
      <c r="A137" t="s">
        <v>304</v>
      </c>
      <c r="B137" s="11">
        <v>44232</v>
      </c>
      <c r="C137" t="s">
        <v>305</v>
      </c>
      <c r="D137" t="s">
        <v>197</v>
      </c>
      <c r="E137">
        <v>5</v>
      </c>
      <c r="F137" t="str">
        <f>_xlfn.XLOOKUP(C137,Customers!$A$2:$A$1001,Customers!$B$2:$B$1001)</f>
        <v>Blancha McAmish</v>
      </c>
      <c r="G137" t="str">
        <f>_xlfn.XLOOKUP(C137,Customers!$A$2:$A$1001,Customers!$C$2:$C$1001)</f>
        <v>bmcamish2e@tripadvisor.com</v>
      </c>
      <c r="H137" t="str">
        <f>_xlfn.XLOOKUP(C137,Customers!$A$2:$A$1001,Customers!$G$2:$G$1001)</f>
        <v>United States</v>
      </c>
      <c r="I137" t="str" cm="1">
        <f t="array" ref="I137:L137">_xlfn.XLOOKUP(D137,products!$A$2:$A$49,products!$B$2:$E$49)</f>
        <v>Ara</v>
      </c>
      <c r="J137" t="str">
        <v>L</v>
      </c>
      <c r="K137" s="8">
        <v>0.5</v>
      </c>
      <c r="L137" s="6">
        <v>7.77</v>
      </c>
      <c r="M137" s="7">
        <f t="shared" si="6"/>
        <v>38.849999999999994</v>
      </c>
      <c r="N137" t="str">
        <f t="shared" si="7"/>
        <v>Arasbica</v>
      </c>
      <c r="O137" t="str">
        <f t="shared" si="8"/>
        <v>Lite</v>
      </c>
      <c r="P137" t="str">
        <f>_xlfn.XLOOKUP(Orders!C137,Customers!$A$2:$A$1001,Customers!$I$2:$I$1001)</f>
        <v>Yes</v>
      </c>
    </row>
    <row r="138" spans="1:16" x14ac:dyDescent="0.3">
      <c r="A138" t="s">
        <v>306</v>
      </c>
      <c r="B138" s="11">
        <v>44406</v>
      </c>
      <c r="C138" t="s">
        <v>307</v>
      </c>
      <c r="D138" t="s">
        <v>59</v>
      </c>
      <c r="E138">
        <v>4</v>
      </c>
      <c r="F138" t="str">
        <f>_xlfn.XLOOKUP(C138,Customers!$A$2:$A$1001,Customers!$B$2:$B$1001)</f>
        <v>Lowell Keenleyside</v>
      </c>
      <c r="G138" t="str">
        <f>_xlfn.XLOOKUP(C138,Customers!$A$2:$A$1001,Customers!$C$2:$C$1001)</f>
        <v>lkeenleyside3s@topsy.com</v>
      </c>
      <c r="H138" t="str">
        <f>_xlfn.XLOOKUP(C138,Customers!$A$2:$A$1001,Customers!$G$2:$G$1001)</f>
        <v>United States</v>
      </c>
      <c r="I138" t="str" cm="1">
        <f t="array" ref="I138:L138">_xlfn.XLOOKUP(D138,products!$A$2:$A$49,products!$B$2:$E$49)</f>
        <v>Ara</v>
      </c>
      <c r="J138" t="str">
        <v>D</v>
      </c>
      <c r="K138" s="8">
        <v>0.2</v>
      </c>
      <c r="L138" s="6">
        <v>2.9849999999999999</v>
      </c>
      <c r="M138" s="7">
        <f t="shared" si="6"/>
        <v>11.94</v>
      </c>
      <c r="N138" t="str">
        <f t="shared" si="7"/>
        <v>Arasbica</v>
      </c>
      <c r="O138" t="str">
        <f t="shared" si="8"/>
        <v>Dark</v>
      </c>
      <c r="P138" t="str">
        <f>_xlfn.XLOOKUP(Orders!C138,Customers!$A$2:$A$1001,Customers!$I$2:$I$1001)</f>
        <v>No</v>
      </c>
    </row>
    <row r="139" spans="1:16" x14ac:dyDescent="0.3">
      <c r="A139" t="s">
        <v>308</v>
      </c>
      <c r="B139" s="11">
        <v>44637</v>
      </c>
      <c r="C139" t="s">
        <v>309</v>
      </c>
      <c r="D139" t="s">
        <v>35</v>
      </c>
      <c r="E139">
        <v>3</v>
      </c>
      <c r="F139" t="str">
        <f>_xlfn.XLOOKUP(C139,Customers!$A$2:$A$1001,Customers!$B$2:$B$1001)</f>
        <v>Elonore Joliffe</v>
      </c>
      <c r="G139">
        <f>_xlfn.XLOOKUP(C139,Customers!$A$2:$A$1001,Customers!$C$2:$C$1001)</f>
        <v>0</v>
      </c>
      <c r="H139" t="str">
        <f>_xlfn.XLOOKUP(C139,Customers!$A$2:$A$1001,Customers!$G$2:$G$1001)</f>
        <v>Ireland</v>
      </c>
      <c r="I139" t="str" cm="1">
        <f t="array" ref="I139:L139">_xlfn.XLOOKUP(D139,products!$A$2:$A$49,products!$B$2:$E$49)</f>
        <v>Exc</v>
      </c>
      <c r="J139" t="str">
        <v>L</v>
      </c>
      <c r="K139" s="8">
        <v>2.5</v>
      </c>
      <c r="L139" s="6">
        <v>34.154999999999994</v>
      </c>
      <c r="M139" s="7">
        <f t="shared" si="6"/>
        <v>102.46499999999997</v>
      </c>
      <c r="N139" t="str">
        <f t="shared" si="7"/>
        <v>Excelsa</v>
      </c>
      <c r="O139" t="str">
        <f t="shared" si="8"/>
        <v>Lite</v>
      </c>
      <c r="P139" t="str">
        <f>_xlfn.XLOOKUP(Orders!C139,Customers!$A$2:$A$1001,Customers!$I$2:$I$1001)</f>
        <v>No</v>
      </c>
    </row>
    <row r="140" spans="1:16" x14ac:dyDescent="0.3">
      <c r="A140" t="s">
        <v>310</v>
      </c>
      <c r="B140" s="11">
        <v>44238</v>
      </c>
      <c r="C140" t="s">
        <v>311</v>
      </c>
      <c r="D140" t="s">
        <v>250</v>
      </c>
      <c r="E140">
        <v>4</v>
      </c>
      <c r="F140" t="str">
        <f>_xlfn.XLOOKUP(C140,Customers!$A$2:$A$1001,Customers!$B$2:$B$1001)</f>
        <v>Abraham Coleman</v>
      </c>
      <c r="G140">
        <f>_xlfn.XLOOKUP(C140,Customers!$A$2:$A$1001,Customers!$C$2:$C$1001)</f>
        <v>0</v>
      </c>
      <c r="H140" t="str">
        <f>_xlfn.XLOOKUP(C140,Customers!$A$2:$A$1001,Customers!$G$2:$G$1001)</f>
        <v>United States</v>
      </c>
      <c r="I140" t="str" cm="1">
        <f t="array" ref="I140:L140">_xlfn.XLOOKUP(D140,products!$A$2:$A$49,products!$B$2:$E$49)</f>
        <v>Exc</v>
      </c>
      <c r="J140" t="str">
        <v>D</v>
      </c>
      <c r="K140" s="8">
        <v>1</v>
      </c>
      <c r="L140" s="6">
        <v>12.15</v>
      </c>
      <c r="M140" s="7">
        <f t="shared" si="6"/>
        <v>48.6</v>
      </c>
      <c r="N140" t="str">
        <f t="shared" si="7"/>
        <v>Excelsa</v>
      </c>
      <c r="O140" t="str">
        <f t="shared" si="8"/>
        <v>Dark</v>
      </c>
      <c r="P140" t="str">
        <f>_xlfn.XLOOKUP(Orders!C140,Customers!$A$2:$A$1001,Customers!$I$2:$I$1001)</f>
        <v>No</v>
      </c>
    </row>
    <row r="141" spans="1:16" x14ac:dyDescent="0.3">
      <c r="A141" t="s">
        <v>312</v>
      </c>
      <c r="B141" s="11">
        <v>43509</v>
      </c>
      <c r="C141" t="s">
        <v>313</v>
      </c>
      <c r="D141" t="s">
        <v>18</v>
      </c>
      <c r="E141">
        <v>6</v>
      </c>
      <c r="F141" t="str">
        <f>_xlfn.XLOOKUP(C141,Customers!$A$2:$A$1001,Customers!$B$2:$B$1001)</f>
        <v>Rivy Farington</v>
      </c>
      <c r="G141">
        <f>_xlfn.XLOOKUP(C141,Customers!$A$2:$A$1001,Customers!$C$2:$C$1001)</f>
        <v>0</v>
      </c>
      <c r="H141" t="str">
        <f>_xlfn.XLOOKUP(C141,Customers!$A$2:$A$1001,Customers!$G$2:$G$1001)</f>
        <v>United States</v>
      </c>
      <c r="I141" t="str" cm="1">
        <f t="array" ref="I141:L141">_xlfn.XLOOKUP(D141,products!$A$2:$A$49,products!$B$2:$E$49)</f>
        <v>Lib</v>
      </c>
      <c r="J141" t="str">
        <v>D</v>
      </c>
      <c r="K141" s="8">
        <v>1</v>
      </c>
      <c r="L141" s="6">
        <v>12.95</v>
      </c>
      <c r="M141" s="7">
        <f t="shared" si="6"/>
        <v>77.699999999999989</v>
      </c>
      <c r="N141" t="str">
        <f t="shared" si="7"/>
        <v>Liberica</v>
      </c>
      <c r="O141" t="str">
        <f t="shared" si="8"/>
        <v>Dark</v>
      </c>
      <c r="P141" t="str">
        <f>_xlfn.XLOOKUP(Orders!C141,Customers!$A$2:$A$1001,Customers!$I$2:$I$1001)</f>
        <v>Yes</v>
      </c>
    </row>
    <row r="142" spans="1:16" x14ac:dyDescent="0.3">
      <c r="A142" t="s">
        <v>314</v>
      </c>
      <c r="B142" s="11">
        <v>44694</v>
      </c>
      <c r="C142" t="s">
        <v>315</v>
      </c>
      <c r="D142" t="s">
        <v>114</v>
      </c>
      <c r="E142">
        <v>1</v>
      </c>
      <c r="F142" t="str">
        <f>_xlfn.XLOOKUP(C142,Customers!$A$2:$A$1001,Customers!$B$2:$B$1001)</f>
        <v>Vallie Kundt</v>
      </c>
      <c r="G142" t="str">
        <f>_xlfn.XLOOKUP(C142,Customers!$A$2:$A$1001,Customers!$C$2:$C$1001)</f>
        <v>vkundt3w@bigcartel.com</v>
      </c>
      <c r="H142" t="str">
        <f>_xlfn.XLOOKUP(C142,Customers!$A$2:$A$1001,Customers!$G$2:$G$1001)</f>
        <v>Ireland</v>
      </c>
      <c r="I142" t="str" cm="1">
        <f t="array" ref="I142:L142">_xlfn.XLOOKUP(D142,products!$A$2:$A$49,products!$B$2:$E$49)</f>
        <v>Lib</v>
      </c>
      <c r="J142" t="str">
        <v>D</v>
      </c>
      <c r="K142" s="8">
        <v>2.5</v>
      </c>
      <c r="L142" s="6">
        <v>29.784999999999997</v>
      </c>
      <c r="M142" s="7">
        <f t="shared" si="6"/>
        <v>29.784999999999997</v>
      </c>
      <c r="N142" t="str">
        <f t="shared" si="7"/>
        <v>Liberica</v>
      </c>
      <c r="O142" t="str">
        <f t="shared" si="8"/>
        <v>Dark</v>
      </c>
      <c r="P142" t="str">
        <f>_xlfn.XLOOKUP(Orders!C142,Customers!$A$2:$A$1001,Customers!$I$2:$I$1001)</f>
        <v>Yes</v>
      </c>
    </row>
    <row r="143" spans="1:16" x14ac:dyDescent="0.3">
      <c r="A143" t="s">
        <v>316</v>
      </c>
      <c r="B143" s="11">
        <v>43970</v>
      </c>
      <c r="C143" t="s">
        <v>317</v>
      </c>
      <c r="D143" t="s">
        <v>120</v>
      </c>
      <c r="E143">
        <v>4</v>
      </c>
      <c r="F143" t="str">
        <f>_xlfn.XLOOKUP(C143,Customers!$A$2:$A$1001,Customers!$B$2:$B$1001)</f>
        <v>Boyd Bett</v>
      </c>
      <c r="G143" t="str">
        <f>_xlfn.XLOOKUP(C143,Customers!$A$2:$A$1001,Customers!$C$2:$C$1001)</f>
        <v>bbett3x@google.de</v>
      </c>
      <c r="H143" t="str">
        <f>_xlfn.XLOOKUP(C143,Customers!$A$2:$A$1001,Customers!$G$2:$G$1001)</f>
        <v>United States</v>
      </c>
      <c r="I143" t="str" cm="1">
        <f t="array" ref="I143:L143">_xlfn.XLOOKUP(D143,products!$A$2:$A$49,products!$B$2:$E$49)</f>
        <v>Ara</v>
      </c>
      <c r="J143" t="str">
        <v>L</v>
      </c>
      <c r="K143" s="8">
        <v>0.2</v>
      </c>
      <c r="L143" s="6">
        <v>3.8849999999999998</v>
      </c>
      <c r="M143" s="7">
        <f t="shared" si="6"/>
        <v>15.54</v>
      </c>
      <c r="N143" t="str">
        <f t="shared" si="7"/>
        <v>Arasbica</v>
      </c>
      <c r="O143" t="str">
        <f t="shared" si="8"/>
        <v>Lite</v>
      </c>
      <c r="P143" t="str">
        <f>_xlfn.XLOOKUP(Orders!C143,Customers!$A$2:$A$1001,Customers!$I$2:$I$1001)</f>
        <v>Yes</v>
      </c>
    </row>
    <row r="144" spans="1:16" x14ac:dyDescent="0.3">
      <c r="A144" t="s">
        <v>318</v>
      </c>
      <c r="B144" s="11">
        <v>44678</v>
      </c>
      <c r="C144" t="s">
        <v>319</v>
      </c>
      <c r="D144" t="s">
        <v>35</v>
      </c>
      <c r="E144">
        <v>4</v>
      </c>
      <c r="F144" t="str">
        <f>_xlfn.XLOOKUP(C144,Customers!$A$2:$A$1001,Customers!$B$2:$B$1001)</f>
        <v>Julio Armytage</v>
      </c>
      <c r="G144">
        <f>_xlfn.XLOOKUP(C144,Customers!$A$2:$A$1001,Customers!$C$2:$C$1001)</f>
        <v>0</v>
      </c>
      <c r="H144" t="str">
        <f>_xlfn.XLOOKUP(C144,Customers!$A$2:$A$1001,Customers!$G$2:$G$1001)</f>
        <v>Ireland</v>
      </c>
      <c r="I144" t="str" cm="1">
        <f t="array" ref="I144:L144">_xlfn.XLOOKUP(D144,products!$A$2:$A$49,products!$B$2:$E$49)</f>
        <v>Exc</v>
      </c>
      <c r="J144" t="str">
        <v>L</v>
      </c>
      <c r="K144" s="8">
        <v>2.5</v>
      </c>
      <c r="L144" s="6">
        <v>34.154999999999994</v>
      </c>
      <c r="M144" s="7">
        <f t="shared" si="6"/>
        <v>136.61999999999998</v>
      </c>
      <c r="N144" t="str">
        <f t="shared" si="7"/>
        <v>Excelsa</v>
      </c>
      <c r="O144" t="str">
        <f t="shared" si="8"/>
        <v>Lite</v>
      </c>
      <c r="P144" t="str">
        <f>_xlfn.XLOOKUP(Orders!C144,Customers!$A$2:$A$1001,Customers!$I$2:$I$1001)</f>
        <v>Yes</v>
      </c>
    </row>
    <row r="145" spans="1:16" x14ac:dyDescent="0.3">
      <c r="A145" t="s">
        <v>320</v>
      </c>
      <c r="B145" s="11">
        <v>44083</v>
      </c>
      <c r="C145" t="s">
        <v>321</v>
      </c>
      <c r="D145" t="s">
        <v>83</v>
      </c>
      <c r="E145">
        <v>2</v>
      </c>
      <c r="F145" t="str">
        <f>_xlfn.XLOOKUP(C145,Customers!$A$2:$A$1001,Customers!$B$2:$B$1001)</f>
        <v>Deana Staite</v>
      </c>
      <c r="G145" t="str">
        <f>_xlfn.XLOOKUP(C145,Customers!$A$2:$A$1001,Customers!$C$2:$C$1001)</f>
        <v>dstaite3z@scientificamerican.com</v>
      </c>
      <c r="H145" t="str">
        <f>_xlfn.XLOOKUP(C145,Customers!$A$2:$A$1001,Customers!$G$2:$G$1001)</f>
        <v>United States</v>
      </c>
      <c r="I145" t="str" cm="1">
        <f t="array" ref="I145:L145">_xlfn.XLOOKUP(D145,products!$A$2:$A$49,products!$B$2:$E$49)</f>
        <v>Lib</v>
      </c>
      <c r="J145" t="str">
        <v>M</v>
      </c>
      <c r="K145" s="8">
        <v>0.5</v>
      </c>
      <c r="L145" s="6">
        <v>8.73</v>
      </c>
      <c r="M145" s="7">
        <f t="shared" si="6"/>
        <v>17.46</v>
      </c>
      <c r="N145" t="str">
        <f t="shared" si="7"/>
        <v>Liberica</v>
      </c>
      <c r="O145" t="str">
        <f t="shared" si="8"/>
        <v>Medium</v>
      </c>
      <c r="P145" t="str">
        <f>_xlfn.XLOOKUP(Orders!C145,Customers!$A$2:$A$1001,Customers!$I$2:$I$1001)</f>
        <v>No</v>
      </c>
    </row>
    <row r="146" spans="1:16" x14ac:dyDescent="0.3">
      <c r="A146" t="s">
        <v>322</v>
      </c>
      <c r="B146" s="11">
        <v>44265</v>
      </c>
      <c r="C146" t="s">
        <v>323</v>
      </c>
      <c r="D146" t="s">
        <v>35</v>
      </c>
      <c r="E146">
        <v>2</v>
      </c>
      <c r="F146" t="str">
        <f>_xlfn.XLOOKUP(C146,Customers!$A$2:$A$1001,Customers!$B$2:$B$1001)</f>
        <v>Winn Keyse</v>
      </c>
      <c r="G146" t="str">
        <f>_xlfn.XLOOKUP(C146,Customers!$A$2:$A$1001,Customers!$C$2:$C$1001)</f>
        <v>wkeyse40@apple.com</v>
      </c>
      <c r="H146" t="str">
        <f>_xlfn.XLOOKUP(C146,Customers!$A$2:$A$1001,Customers!$G$2:$G$1001)</f>
        <v>United States</v>
      </c>
      <c r="I146" t="str" cm="1">
        <f t="array" ref="I146:L146">_xlfn.XLOOKUP(D146,products!$A$2:$A$49,products!$B$2:$E$49)</f>
        <v>Exc</v>
      </c>
      <c r="J146" t="str">
        <v>L</v>
      </c>
      <c r="K146" s="8">
        <v>2.5</v>
      </c>
      <c r="L146" s="6">
        <v>34.154999999999994</v>
      </c>
      <c r="M146" s="7">
        <f t="shared" si="6"/>
        <v>68.309999999999988</v>
      </c>
      <c r="N146" t="str">
        <f t="shared" si="7"/>
        <v>Excelsa</v>
      </c>
      <c r="O146" t="str">
        <f t="shared" si="8"/>
        <v>Lite</v>
      </c>
      <c r="P146" t="str">
        <f>_xlfn.XLOOKUP(Orders!C146,Customers!$A$2:$A$1001,Customers!$I$2:$I$1001)</f>
        <v>Yes</v>
      </c>
    </row>
    <row r="147" spans="1:16" x14ac:dyDescent="0.3">
      <c r="A147" t="s">
        <v>324</v>
      </c>
      <c r="B147" s="11">
        <v>43562</v>
      </c>
      <c r="C147" t="s">
        <v>325</v>
      </c>
      <c r="D147" t="s">
        <v>82</v>
      </c>
      <c r="E147">
        <v>4</v>
      </c>
      <c r="F147" t="str">
        <f>_xlfn.XLOOKUP(C147,Customers!$A$2:$A$1001,Customers!$B$2:$B$1001)</f>
        <v>Osmund Clausen-Thue</v>
      </c>
      <c r="G147" t="str">
        <f>_xlfn.XLOOKUP(C147,Customers!$A$2:$A$1001,Customers!$C$2:$C$1001)</f>
        <v>oclausenthue41@marriott.com</v>
      </c>
      <c r="H147" t="str">
        <f>_xlfn.XLOOKUP(C147,Customers!$A$2:$A$1001,Customers!$G$2:$G$1001)</f>
        <v>United States</v>
      </c>
      <c r="I147" t="str" cm="1">
        <f t="array" ref="I147:L147">_xlfn.XLOOKUP(D147,products!$A$2:$A$49,products!$B$2:$E$49)</f>
        <v>Lib</v>
      </c>
      <c r="J147" t="str">
        <v>M</v>
      </c>
      <c r="K147" s="8">
        <v>0.2</v>
      </c>
      <c r="L147" s="6">
        <v>4.3650000000000002</v>
      </c>
      <c r="M147" s="7">
        <f t="shared" si="6"/>
        <v>17.46</v>
      </c>
      <c r="N147" t="str">
        <f t="shared" si="7"/>
        <v>Liberica</v>
      </c>
      <c r="O147" t="str">
        <f t="shared" si="8"/>
        <v>Medium</v>
      </c>
      <c r="P147" t="str">
        <f>_xlfn.XLOOKUP(Orders!C147,Customers!$A$2:$A$1001,Customers!$I$2:$I$1001)</f>
        <v>No</v>
      </c>
    </row>
    <row r="148" spans="1:16" x14ac:dyDescent="0.3">
      <c r="A148" t="s">
        <v>326</v>
      </c>
      <c r="B148" s="11">
        <v>44024</v>
      </c>
      <c r="C148" t="s">
        <v>327</v>
      </c>
      <c r="D148" t="s">
        <v>101</v>
      </c>
      <c r="E148">
        <v>3</v>
      </c>
      <c r="F148" t="str">
        <f>_xlfn.XLOOKUP(C148,Customers!$A$2:$A$1001,Customers!$B$2:$B$1001)</f>
        <v>Leonore Francisco</v>
      </c>
      <c r="G148" t="str">
        <f>_xlfn.XLOOKUP(C148,Customers!$A$2:$A$1001,Customers!$C$2:$C$1001)</f>
        <v>lfrancisco42@fema.gov</v>
      </c>
      <c r="H148" t="str">
        <f>_xlfn.XLOOKUP(C148,Customers!$A$2:$A$1001,Customers!$G$2:$G$1001)</f>
        <v>United States</v>
      </c>
      <c r="I148" t="str" cm="1">
        <f t="array" ref="I148:L148">_xlfn.XLOOKUP(D148,products!$A$2:$A$49,products!$B$2:$E$49)</f>
        <v>Lib</v>
      </c>
      <c r="J148" t="str">
        <v>M</v>
      </c>
      <c r="K148" s="8">
        <v>1</v>
      </c>
      <c r="L148" s="6">
        <v>14.55</v>
      </c>
      <c r="M148" s="7">
        <f t="shared" si="6"/>
        <v>43.650000000000006</v>
      </c>
      <c r="N148" t="str">
        <f t="shared" si="7"/>
        <v>Liberica</v>
      </c>
      <c r="O148" t="str">
        <f t="shared" si="8"/>
        <v>Medium</v>
      </c>
      <c r="P148" t="str">
        <f>_xlfn.XLOOKUP(Orders!C148,Customers!$A$2:$A$1001,Customers!$I$2:$I$1001)</f>
        <v>No</v>
      </c>
    </row>
    <row r="149" spans="1:16" x14ac:dyDescent="0.3">
      <c r="A149" t="s">
        <v>326</v>
      </c>
      <c r="B149" s="11">
        <v>44024</v>
      </c>
      <c r="C149" t="s">
        <v>327</v>
      </c>
      <c r="D149" t="s">
        <v>14</v>
      </c>
      <c r="E149">
        <v>2</v>
      </c>
      <c r="F149" t="str">
        <f>_xlfn.XLOOKUP(C149,Customers!$A$2:$A$1001,Customers!$B$2:$B$1001)</f>
        <v>Leonore Francisco</v>
      </c>
      <c r="G149" t="str">
        <f>_xlfn.XLOOKUP(C149,Customers!$A$2:$A$1001,Customers!$C$2:$C$1001)</f>
        <v>lfrancisco42@fema.gov</v>
      </c>
      <c r="H149" t="str">
        <f>_xlfn.XLOOKUP(C149,Customers!$A$2:$A$1001,Customers!$G$2:$G$1001)</f>
        <v>United States</v>
      </c>
      <c r="I149" t="str" cm="1">
        <f t="array" ref="I149:L149">_xlfn.XLOOKUP(D149,products!$A$2:$A$49,products!$B$2:$E$49)</f>
        <v>Exc</v>
      </c>
      <c r="J149" t="str">
        <v>M</v>
      </c>
      <c r="K149" s="8">
        <v>1</v>
      </c>
      <c r="L149" s="6">
        <v>13.75</v>
      </c>
      <c r="M149" s="7">
        <f t="shared" si="6"/>
        <v>27.5</v>
      </c>
      <c r="N149" t="str">
        <f t="shared" si="7"/>
        <v>Excelsa</v>
      </c>
      <c r="O149" t="str">
        <f t="shared" si="8"/>
        <v>Medium</v>
      </c>
      <c r="P149" t="str">
        <f>_xlfn.XLOOKUP(Orders!C149,Customers!$A$2:$A$1001,Customers!$I$2:$I$1001)</f>
        <v>No</v>
      </c>
    </row>
    <row r="150" spans="1:16" x14ac:dyDescent="0.3">
      <c r="A150" t="s">
        <v>328</v>
      </c>
      <c r="B150" s="11">
        <v>44551</v>
      </c>
      <c r="C150" t="s">
        <v>329</v>
      </c>
      <c r="D150" t="s">
        <v>56</v>
      </c>
      <c r="E150">
        <v>5</v>
      </c>
      <c r="F150" t="str">
        <f>_xlfn.XLOOKUP(C150,Customers!$A$2:$A$1001,Customers!$B$2:$B$1001)</f>
        <v>Giacobo Skingle</v>
      </c>
      <c r="G150" t="str">
        <f>_xlfn.XLOOKUP(C150,Customers!$A$2:$A$1001,Customers!$C$2:$C$1001)</f>
        <v>gskingle44@clickbank.net</v>
      </c>
      <c r="H150" t="str">
        <f>_xlfn.XLOOKUP(C150,Customers!$A$2:$A$1001,Customers!$G$2:$G$1001)</f>
        <v>United States</v>
      </c>
      <c r="I150" t="str" cm="1">
        <f t="array" ref="I150:L150">_xlfn.XLOOKUP(D150,products!$A$2:$A$49,products!$B$2:$E$49)</f>
        <v>Exc</v>
      </c>
      <c r="J150" t="str">
        <v>D</v>
      </c>
      <c r="K150" s="8">
        <v>0.2</v>
      </c>
      <c r="L150" s="6">
        <v>3.645</v>
      </c>
      <c r="M150" s="7">
        <f t="shared" si="6"/>
        <v>18.225000000000001</v>
      </c>
      <c r="N150" t="str">
        <f t="shared" si="7"/>
        <v>Excelsa</v>
      </c>
      <c r="O150" t="str">
        <f t="shared" si="8"/>
        <v>Dark</v>
      </c>
      <c r="P150" t="str">
        <f>_xlfn.XLOOKUP(Orders!C150,Customers!$A$2:$A$1001,Customers!$I$2:$I$1001)</f>
        <v>Yes</v>
      </c>
    </row>
    <row r="151" spans="1:16" x14ac:dyDescent="0.3">
      <c r="A151" t="s">
        <v>330</v>
      </c>
      <c r="B151" s="11">
        <v>44108</v>
      </c>
      <c r="C151" t="s">
        <v>331</v>
      </c>
      <c r="D151" t="s">
        <v>176</v>
      </c>
      <c r="E151">
        <v>2</v>
      </c>
      <c r="F151" t="str">
        <f>_xlfn.XLOOKUP(C151,Customers!$A$2:$A$1001,Customers!$B$2:$B$1001)</f>
        <v>Gerard Pirdy</v>
      </c>
      <c r="G151">
        <f>_xlfn.XLOOKUP(C151,Customers!$A$2:$A$1001,Customers!$C$2:$C$1001)</f>
        <v>0</v>
      </c>
      <c r="H151" t="str">
        <f>_xlfn.XLOOKUP(C151,Customers!$A$2:$A$1001,Customers!$G$2:$G$1001)</f>
        <v>United States</v>
      </c>
      <c r="I151" t="str" cm="1">
        <f t="array" ref="I151:L151">_xlfn.XLOOKUP(D151,products!$A$2:$A$49,products!$B$2:$E$49)</f>
        <v>Ara</v>
      </c>
      <c r="J151" t="str">
        <v>M</v>
      </c>
      <c r="K151" s="8">
        <v>2.5</v>
      </c>
      <c r="L151" s="6">
        <v>25.874999999999996</v>
      </c>
      <c r="M151" s="7">
        <f t="shared" si="6"/>
        <v>51.749999999999993</v>
      </c>
      <c r="N151" t="str">
        <f t="shared" si="7"/>
        <v>Arasbica</v>
      </c>
      <c r="O151" t="str">
        <f t="shared" si="8"/>
        <v>Medium</v>
      </c>
      <c r="P151" t="str">
        <f>_xlfn.XLOOKUP(Orders!C151,Customers!$A$2:$A$1001,Customers!$I$2:$I$1001)</f>
        <v>Yes</v>
      </c>
    </row>
    <row r="152" spans="1:16" x14ac:dyDescent="0.3">
      <c r="A152" t="s">
        <v>332</v>
      </c>
      <c r="B152" s="11">
        <v>44051</v>
      </c>
      <c r="C152" t="s">
        <v>333</v>
      </c>
      <c r="D152" t="s">
        <v>18</v>
      </c>
      <c r="E152">
        <v>1</v>
      </c>
      <c r="F152" t="str">
        <f>_xlfn.XLOOKUP(C152,Customers!$A$2:$A$1001,Customers!$B$2:$B$1001)</f>
        <v>Jacinthe Balsillie</v>
      </c>
      <c r="G152" t="str">
        <f>_xlfn.XLOOKUP(C152,Customers!$A$2:$A$1001,Customers!$C$2:$C$1001)</f>
        <v>jbalsillie46@princeton.edu</v>
      </c>
      <c r="H152" t="str">
        <f>_xlfn.XLOOKUP(C152,Customers!$A$2:$A$1001,Customers!$G$2:$G$1001)</f>
        <v>United States</v>
      </c>
      <c r="I152" t="str" cm="1">
        <f t="array" ref="I152:L152">_xlfn.XLOOKUP(D152,products!$A$2:$A$49,products!$B$2:$E$49)</f>
        <v>Lib</v>
      </c>
      <c r="J152" t="str">
        <v>D</v>
      </c>
      <c r="K152" s="8">
        <v>1</v>
      </c>
      <c r="L152" s="6">
        <v>12.95</v>
      </c>
      <c r="M152" s="7">
        <f t="shared" si="6"/>
        <v>12.95</v>
      </c>
      <c r="N152" t="str">
        <f t="shared" si="7"/>
        <v>Liberica</v>
      </c>
      <c r="O152" t="str">
        <f t="shared" si="8"/>
        <v>Dark</v>
      </c>
      <c r="P152" t="str">
        <f>_xlfn.XLOOKUP(Orders!C152,Customers!$A$2:$A$1001,Customers!$I$2:$I$1001)</f>
        <v>Yes</v>
      </c>
    </row>
    <row r="153" spans="1:16" x14ac:dyDescent="0.3">
      <c r="A153" t="s">
        <v>334</v>
      </c>
      <c r="B153" s="11">
        <v>44115</v>
      </c>
      <c r="C153" t="s">
        <v>335</v>
      </c>
      <c r="D153" t="s">
        <v>66</v>
      </c>
      <c r="E153">
        <v>3</v>
      </c>
      <c r="F153" t="str">
        <f>_xlfn.XLOOKUP(C153,Customers!$A$2:$A$1001,Customers!$B$2:$B$1001)</f>
        <v>Quinton Fouracres</v>
      </c>
      <c r="G153">
        <f>_xlfn.XLOOKUP(C153,Customers!$A$2:$A$1001,Customers!$C$2:$C$1001)</f>
        <v>0</v>
      </c>
      <c r="H153" t="str">
        <f>_xlfn.XLOOKUP(C153,Customers!$A$2:$A$1001,Customers!$G$2:$G$1001)</f>
        <v>United States</v>
      </c>
      <c r="I153" t="str" cm="1">
        <f t="array" ref="I153:L153">_xlfn.XLOOKUP(D153,products!$A$2:$A$49,products!$B$2:$E$49)</f>
        <v>Ara</v>
      </c>
      <c r="J153" t="str">
        <v>M</v>
      </c>
      <c r="K153" s="8">
        <v>1</v>
      </c>
      <c r="L153" s="6">
        <v>11.25</v>
      </c>
      <c r="M153" s="7">
        <f t="shared" si="6"/>
        <v>33.75</v>
      </c>
      <c r="N153" t="str">
        <f t="shared" si="7"/>
        <v>Arasbica</v>
      </c>
      <c r="O153" t="str">
        <f t="shared" si="8"/>
        <v>Medium</v>
      </c>
      <c r="P153" t="str">
        <f>_xlfn.XLOOKUP(Orders!C153,Customers!$A$2:$A$1001,Customers!$I$2:$I$1001)</f>
        <v>Yes</v>
      </c>
    </row>
    <row r="154" spans="1:16" x14ac:dyDescent="0.3">
      <c r="A154" t="s">
        <v>336</v>
      </c>
      <c r="B154" s="11">
        <v>44510</v>
      </c>
      <c r="C154" t="s">
        <v>337</v>
      </c>
      <c r="D154" t="s">
        <v>46</v>
      </c>
      <c r="E154">
        <v>3</v>
      </c>
      <c r="F154" t="str">
        <f>_xlfn.XLOOKUP(C154,Customers!$A$2:$A$1001,Customers!$B$2:$B$1001)</f>
        <v>Bettina Leffek</v>
      </c>
      <c r="G154" t="str">
        <f>_xlfn.XLOOKUP(C154,Customers!$A$2:$A$1001,Customers!$C$2:$C$1001)</f>
        <v>bleffek48@ning.com</v>
      </c>
      <c r="H154" t="str">
        <f>_xlfn.XLOOKUP(C154,Customers!$A$2:$A$1001,Customers!$G$2:$G$1001)</f>
        <v>United States</v>
      </c>
      <c r="I154" t="str" cm="1">
        <f t="array" ref="I154:L154">_xlfn.XLOOKUP(D154,products!$A$2:$A$49,products!$B$2:$E$49)</f>
        <v>Rob</v>
      </c>
      <c r="J154" t="str">
        <v>M</v>
      </c>
      <c r="K154" s="8">
        <v>2.5</v>
      </c>
      <c r="L154" s="6">
        <v>22.884999999999998</v>
      </c>
      <c r="M154" s="7">
        <f t="shared" si="6"/>
        <v>68.655000000000001</v>
      </c>
      <c r="N154" t="str">
        <f t="shared" si="7"/>
        <v>Robusta</v>
      </c>
      <c r="O154" t="str">
        <f t="shared" si="8"/>
        <v>Medium</v>
      </c>
      <c r="P154" t="str">
        <f>_xlfn.XLOOKUP(Orders!C154,Customers!$A$2:$A$1001,Customers!$I$2:$I$1001)</f>
        <v>Yes</v>
      </c>
    </row>
    <row r="155" spans="1:16" x14ac:dyDescent="0.3">
      <c r="A155" t="s">
        <v>338</v>
      </c>
      <c r="B155" s="11">
        <v>44367</v>
      </c>
      <c r="C155" t="s">
        <v>339</v>
      </c>
      <c r="D155" t="s">
        <v>106</v>
      </c>
      <c r="E155">
        <v>1</v>
      </c>
      <c r="F155" t="str">
        <f>_xlfn.XLOOKUP(C155,Customers!$A$2:$A$1001,Customers!$B$2:$B$1001)</f>
        <v>Hetti Penson</v>
      </c>
      <c r="G155">
        <f>_xlfn.XLOOKUP(C155,Customers!$A$2:$A$1001,Customers!$C$2:$C$1001)</f>
        <v>0</v>
      </c>
      <c r="H155" t="str">
        <f>_xlfn.XLOOKUP(C155,Customers!$A$2:$A$1001,Customers!$G$2:$G$1001)</f>
        <v>United States</v>
      </c>
      <c r="I155" t="str" cm="1">
        <f t="array" ref="I155:L155">_xlfn.XLOOKUP(D155,products!$A$2:$A$49,products!$B$2:$E$49)</f>
        <v>Rob</v>
      </c>
      <c r="J155" t="str">
        <v>D</v>
      </c>
      <c r="K155" s="8">
        <v>0.2</v>
      </c>
      <c r="L155" s="6">
        <v>2.6849999999999996</v>
      </c>
      <c r="M155" s="7">
        <f t="shared" si="6"/>
        <v>2.6849999999999996</v>
      </c>
      <c r="N155" t="str">
        <f t="shared" si="7"/>
        <v>Robusta</v>
      </c>
      <c r="O155" t="str">
        <f t="shared" si="8"/>
        <v>Dark</v>
      </c>
      <c r="P155" t="str">
        <f>_xlfn.XLOOKUP(Orders!C155,Customers!$A$2:$A$1001,Customers!$I$2:$I$1001)</f>
        <v>No</v>
      </c>
    </row>
    <row r="156" spans="1:16" x14ac:dyDescent="0.3">
      <c r="A156" t="s">
        <v>340</v>
      </c>
      <c r="B156" s="11">
        <v>44473</v>
      </c>
      <c r="C156" t="s">
        <v>341</v>
      </c>
      <c r="D156" t="s">
        <v>123</v>
      </c>
      <c r="E156">
        <v>5</v>
      </c>
      <c r="F156" t="str">
        <f>_xlfn.XLOOKUP(C156,Customers!$A$2:$A$1001,Customers!$B$2:$B$1001)</f>
        <v>Jocko Pray</v>
      </c>
      <c r="G156" t="str">
        <f>_xlfn.XLOOKUP(C156,Customers!$A$2:$A$1001,Customers!$C$2:$C$1001)</f>
        <v>jpray4a@youtube.com</v>
      </c>
      <c r="H156" t="str">
        <f>_xlfn.XLOOKUP(C156,Customers!$A$2:$A$1001,Customers!$G$2:$G$1001)</f>
        <v>United States</v>
      </c>
      <c r="I156" t="str" cm="1">
        <f t="array" ref="I156:L156">_xlfn.XLOOKUP(D156,products!$A$2:$A$49,products!$B$2:$E$49)</f>
        <v>Ara</v>
      </c>
      <c r="J156" t="str">
        <v>D</v>
      </c>
      <c r="K156" s="8">
        <v>2.5</v>
      </c>
      <c r="L156" s="6">
        <v>22.884999999999998</v>
      </c>
      <c r="M156" s="7">
        <f t="shared" si="6"/>
        <v>114.42499999999998</v>
      </c>
      <c r="N156" t="str">
        <f t="shared" si="7"/>
        <v>Arasbica</v>
      </c>
      <c r="O156" t="str">
        <f t="shared" si="8"/>
        <v>Dark</v>
      </c>
      <c r="P156" t="str">
        <f>_xlfn.XLOOKUP(Orders!C156,Customers!$A$2:$A$1001,Customers!$I$2:$I$1001)</f>
        <v>No</v>
      </c>
    </row>
    <row r="157" spans="1:16" x14ac:dyDescent="0.3">
      <c r="A157" t="s">
        <v>342</v>
      </c>
      <c r="B157" s="11">
        <v>43640</v>
      </c>
      <c r="C157" t="s">
        <v>343</v>
      </c>
      <c r="D157" t="s">
        <v>176</v>
      </c>
      <c r="E157">
        <v>6</v>
      </c>
      <c r="F157" t="str">
        <f>_xlfn.XLOOKUP(C157,Customers!$A$2:$A$1001,Customers!$B$2:$B$1001)</f>
        <v>Grete Holborn</v>
      </c>
      <c r="G157" t="str">
        <f>_xlfn.XLOOKUP(C157,Customers!$A$2:$A$1001,Customers!$C$2:$C$1001)</f>
        <v>gholborn4b@ow.ly</v>
      </c>
      <c r="H157" t="str">
        <f>_xlfn.XLOOKUP(C157,Customers!$A$2:$A$1001,Customers!$G$2:$G$1001)</f>
        <v>United States</v>
      </c>
      <c r="I157" t="str" cm="1">
        <f t="array" ref="I157:L157">_xlfn.XLOOKUP(D157,products!$A$2:$A$49,products!$B$2:$E$49)</f>
        <v>Ara</v>
      </c>
      <c r="J157" t="str">
        <v>M</v>
      </c>
      <c r="K157" s="8">
        <v>2.5</v>
      </c>
      <c r="L157" s="6">
        <v>25.874999999999996</v>
      </c>
      <c r="M157" s="7">
        <f t="shared" si="6"/>
        <v>155.24999999999997</v>
      </c>
      <c r="N157" t="str">
        <f t="shared" si="7"/>
        <v>Arasbica</v>
      </c>
      <c r="O157" t="str">
        <f t="shared" si="8"/>
        <v>Medium</v>
      </c>
      <c r="P157" t="str">
        <f>_xlfn.XLOOKUP(Orders!C157,Customers!$A$2:$A$1001,Customers!$I$2:$I$1001)</f>
        <v>Yes</v>
      </c>
    </row>
    <row r="158" spans="1:16" x14ac:dyDescent="0.3">
      <c r="A158" t="s">
        <v>344</v>
      </c>
      <c r="B158" s="11">
        <v>43764</v>
      </c>
      <c r="C158" t="s">
        <v>345</v>
      </c>
      <c r="D158" t="s">
        <v>176</v>
      </c>
      <c r="E158">
        <v>3</v>
      </c>
      <c r="F158" t="str">
        <f>_xlfn.XLOOKUP(C158,Customers!$A$2:$A$1001,Customers!$B$2:$B$1001)</f>
        <v>Fielding Keinrat</v>
      </c>
      <c r="G158" t="str">
        <f>_xlfn.XLOOKUP(C158,Customers!$A$2:$A$1001,Customers!$C$2:$C$1001)</f>
        <v>fkeinrat4c@dailymail.co.uk</v>
      </c>
      <c r="H158" t="str">
        <f>_xlfn.XLOOKUP(C158,Customers!$A$2:$A$1001,Customers!$G$2:$G$1001)</f>
        <v>United States</v>
      </c>
      <c r="I158" t="str" cm="1">
        <f t="array" ref="I158:L158">_xlfn.XLOOKUP(D158,products!$A$2:$A$49,products!$B$2:$E$49)</f>
        <v>Ara</v>
      </c>
      <c r="J158" t="str">
        <v>M</v>
      </c>
      <c r="K158" s="8">
        <v>2.5</v>
      </c>
      <c r="L158" s="6">
        <v>25.874999999999996</v>
      </c>
      <c r="M158" s="7">
        <f t="shared" si="6"/>
        <v>77.624999999999986</v>
      </c>
      <c r="N158" t="str">
        <f t="shared" si="7"/>
        <v>Arasbica</v>
      </c>
      <c r="O158" t="str">
        <f t="shared" si="8"/>
        <v>Medium</v>
      </c>
      <c r="P158" t="str">
        <f>_xlfn.XLOOKUP(Orders!C158,Customers!$A$2:$A$1001,Customers!$I$2:$I$1001)</f>
        <v>Yes</v>
      </c>
    </row>
    <row r="159" spans="1:16" x14ac:dyDescent="0.3">
      <c r="A159" t="s">
        <v>346</v>
      </c>
      <c r="B159" s="11">
        <v>44374</v>
      </c>
      <c r="C159" t="s">
        <v>347</v>
      </c>
      <c r="D159" t="s">
        <v>40</v>
      </c>
      <c r="E159">
        <v>3</v>
      </c>
      <c r="F159" t="str">
        <f>_xlfn.XLOOKUP(C159,Customers!$A$2:$A$1001,Customers!$B$2:$B$1001)</f>
        <v>Paulo Yea</v>
      </c>
      <c r="G159" t="str">
        <f>_xlfn.XLOOKUP(C159,Customers!$A$2:$A$1001,Customers!$C$2:$C$1001)</f>
        <v>pyea4d@aol.com</v>
      </c>
      <c r="H159" t="str">
        <f>_xlfn.XLOOKUP(C159,Customers!$A$2:$A$1001,Customers!$G$2:$G$1001)</f>
        <v>Ireland</v>
      </c>
      <c r="I159" t="str" cm="1">
        <f t="array" ref="I159:L159">_xlfn.XLOOKUP(D159,products!$A$2:$A$49,products!$B$2:$E$49)</f>
        <v>Rob</v>
      </c>
      <c r="J159" t="str">
        <v>D</v>
      </c>
      <c r="K159" s="8">
        <v>2.5</v>
      </c>
      <c r="L159" s="6">
        <v>20.584999999999997</v>
      </c>
      <c r="M159" s="7">
        <f t="shared" si="6"/>
        <v>61.754999999999995</v>
      </c>
      <c r="N159" t="str">
        <f t="shared" si="7"/>
        <v>Robusta</v>
      </c>
      <c r="O159" t="str">
        <f t="shared" si="8"/>
        <v>Dark</v>
      </c>
      <c r="P159" t="str">
        <f>_xlfn.XLOOKUP(Orders!C159,Customers!$A$2:$A$1001,Customers!$I$2:$I$1001)</f>
        <v>No</v>
      </c>
    </row>
    <row r="160" spans="1:16" x14ac:dyDescent="0.3">
      <c r="A160" t="s">
        <v>348</v>
      </c>
      <c r="B160" s="11">
        <v>43714</v>
      </c>
      <c r="C160" t="s">
        <v>349</v>
      </c>
      <c r="D160" t="s">
        <v>40</v>
      </c>
      <c r="E160">
        <v>6</v>
      </c>
      <c r="F160" t="str">
        <f>_xlfn.XLOOKUP(C160,Customers!$A$2:$A$1001,Customers!$B$2:$B$1001)</f>
        <v>Say Risborough</v>
      </c>
      <c r="G160">
        <f>_xlfn.XLOOKUP(C160,Customers!$A$2:$A$1001,Customers!$C$2:$C$1001)</f>
        <v>0</v>
      </c>
      <c r="H160" t="str">
        <f>_xlfn.XLOOKUP(C160,Customers!$A$2:$A$1001,Customers!$G$2:$G$1001)</f>
        <v>United States</v>
      </c>
      <c r="I160" t="str" cm="1">
        <f t="array" ref="I160:L160">_xlfn.XLOOKUP(D160,products!$A$2:$A$49,products!$B$2:$E$49)</f>
        <v>Rob</v>
      </c>
      <c r="J160" t="str">
        <v>D</v>
      </c>
      <c r="K160" s="8">
        <v>2.5</v>
      </c>
      <c r="L160" s="6">
        <v>20.584999999999997</v>
      </c>
      <c r="M160" s="7">
        <f t="shared" si="6"/>
        <v>123.50999999999999</v>
      </c>
      <c r="N160" t="str">
        <f t="shared" si="7"/>
        <v>Robusta</v>
      </c>
      <c r="O160" t="str">
        <f t="shared" si="8"/>
        <v>Dark</v>
      </c>
      <c r="P160" t="str">
        <f>_xlfn.XLOOKUP(Orders!C160,Customers!$A$2:$A$1001,Customers!$I$2:$I$1001)</f>
        <v>Yes</v>
      </c>
    </row>
    <row r="161" spans="1:16" x14ac:dyDescent="0.3">
      <c r="A161" t="s">
        <v>350</v>
      </c>
      <c r="B161" s="11">
        <v>44316</v>
      </c>
      <c r="C161" t="s">
        <v>351</v>
      </c>
      <c r="D161" t="s">
        <v>109</v>
      </c>
      <c r="E161">
        <v>6</v>
      </c>
      <c r="F161" t="str">
        <f>_xlfn.XLOOKUP(C161,Customers!$A$2:$A$1001,Customers!$B$2:$B$1001)</f>
        <v>Alexa Sizey</v>
      </c>
      <c r="G161">
        <f>_xlfn.XLOOKUP(C161,Customers!$A$2:$A$1001,Customers!$C$2:$C$1001)</f>
        <v>0</v>
      </c>
      <c r="H161" t="str">
        <f>_xlfn.XLOOKUP(C161,Customers!$A$2:$A$1001,Customers!$G$2:$G$1001)</f>
        <v>United States</v>
      </c>
      <c r="I161" t="str" cm="1">
        <f t="array" ref="I161:L161">_xlfn.XLOOKUP(D161,products!$A$2:$A$49,products!$B$2:$E$49)</f>
        <v>Lib</v>
      </c>
      <c r="J161" t="str">
        <v>L</v>
      </c>
      <c r="K161" s="8">
        <v>2.5</v>
      </c>
      <c r="L161" s="6">
        <v>36.454999999999998</v>
      </c>
      <c r="M161" s="7">
        <f t="shared" si="6"/>
        <v>218.73</v>
      </c>
      <c r="N161" t="str">
        <f t="shared" si="7"/>
        <v>Liberica</v>
      </c>
      <c r="O161" t="str">
        <f t="shared" si="8"/>
        <v>Lite</v>
      </c>
      <c r="P161" t="str">
        <f>_xlfn.XLOOKUP(Orders!C161,Customers!$A$2:$A$1001,Customers!$I$2:$I$1001)</f>
        <v>No</v>
      </c>
    </row>
    <row r="162" spans="1:16" x14ac:dyDescent="0.3">
      <c r="A162" t="s">
        <v>352</v>
      </c>
      <c r="B162" s="11">
        <v>43837</v>
      </c>
      <c r="C162" t="s">
        <v>353</v>
      </c>
      <c r="D162" t="s">
        <v>8</v>
      </c>
      <c r="E162">
        <v>4</v>
      </c>
      <c r="F162" t="str">
        <f>_xlfn.XLOOKUP(C162,Customers!$A$2:$A$1001,Customers!$B$2:$B$1001)</f>
        <v>Kari Swede</v>
      </c>
      <c r="G162" t="str">
        <f>_xlfn.XLOOKUP(C162,Customers!$A$2:$A$1001,Customers!$C$2:$C$1001)</f>
        <v>kswede4g@addthis.com</v>
      </c>
      <c r="H162" t="str">
        <f>_xlfn.XLOOKUP(C162,Customers!$A$2:$A$1001,Customers!$G$2:$G$1001)</f>
        <v>United States</v>
      </c>
      <c r="I162" t="str" cm="1">
        <f t="array" ref="I162:L162">_xlfn.XLOOKUP(D162,products!$A$2:$A$49,products!$B$2:$E$49)</f>
        <v>Exc</v>
      </c>
      <c r="J162" t="str">
        <v>M</v>
      </c>
      <c r="K162" s="8">
        <v>0.5</v>
      </c>
      <c r="L162" s="6">
        <v>8.25</v>
      </c>
      <c r="M162" s="7">
        <f t="shared" si="6"/>
        <v>33</v>
      </c>
      <c r="N162" t="str">
        <f t="shared" si="7"/>
        <v>Excelsa</v>
      </c>
      <c r="O162" t="str">
        <f t="shared" si="8"/>
        <v>Medium</v>
      </c>
      <c r="P162" t="str">
        <f>_xlfn.XLOOKUP(Orders!C162,Customers!$A$2:$A$1001,Customers!$I$2:$I$1001)</f>
        <v>No</v>
      </c>
    </row>
    <row r="163" spans="1:16" x14ac:dyDescent="0.3">
      <c r="A163" t="s">
        <v>354</v>
      </c>
      <c r="B163" s="11">
        <v>44207</v>
      </c>
      <c r="C163" t="s">
        <v>355</v>
      </c>
      <c r="D163" t="s">
        <v>197</v>
      </c>
      <c r="E163">
        <v>3</v>
      </c>
      <c r="F163" t="str">
        <f>_xlfn.XLOOKUP(C163,Customers!$A$2:$A$1001,Customers!$B$2:$B$1001)</f>
        <v>Leontine Rubrow</v>
      </c>
      <c r="G163" t="str">
        <f>_xlfn.XLOOKUP(C163,Customers!$A$2:$A$1001,Customers!$C$2:$C$1001)</f>
        <v>lrubrow4h@microsoft.com</v>
      </c>
      <c r="H163" t="str">
        <f>_xlfn.XLOOKUP(C163,Customers!$A$2:$A$1001,Customers!$G$2:$G$1001)</f>
        <v>United States</v>
      </c>
      <c r="I163" t="str" cm="1">
        <f t="array" ref="I163:L163">_xlfn.XLOOKUP(D163,products!$A$2:$A$49,products!$B$2:$E$49)</f>
        <v>Ara</v>
      </c>
      <c r="J163" t="str">
        <v>L</v>
      </c>
      <c r="K163" s="8">
        <v>0.5</v>
      </c>
      <c r="L163" s="6">
        <v>7.77</v>
      </c>
      <c r="M163" s="7">
        <f t="shared" si="6"/>
        <v>23.31</v>
      </c>
      <c r="N163" t="str">
        <f t="shared" si="7"/>
        <v>Arasbica</v>
      </c>
      <c r="O163" t="str">
        <f t="shared" si="8"/>
        <v>Lite</v>
      </c>
      <c r="P163" t="str">
        <f>_xlfn.XLOOKUP(Orders!C163,Customers!$A$2:$A$1001,Customers!$I$2:$I$1001)</f>
        <v>No</v>
      </c>
    </row>
    <row r="164" spans="1:16" x14ac:dyDescent="0.3">
      <c r="A164" t="s">
        <v>356</v>
      </c>
      <c r="B164" s="11">
        <v>44515</v>
      </c>
      <c r="C164" t="s">
        <v>357</v>
      </c>
      <c r="D164" t="s">
        <v>21</v>
      </c>
      <c r="E164">
        <v>3</v>
      </c>
      <c r="F164" t="str">
        <f>_xlfn.XLOOKUP(C164,Customers!$A$2:$A$1001,Customers!$B$2:$B$1001)</f>
        <v>Dottie Tift</v>
      </c>
      <c r="G164" t="str">
        <f>_xlfn.XLOOKUP(C164,Customers!$A$2:$A$1001,Customers!$C$2:$C$1001)</f>
        <v>dtift4i@netvibes.com</v>
      </c>
      <c r="H164" t="str">
        <f>_xlfn.XLOOKUP(C164,Customers!$A$2:$A$1001,Customers!$G$2:$G$1001)</f>
        <v>United States</v>
      </c>
      <c r="I164" t="str" cm="1">
        <f t="array" ref="I164:L164">_xlfn.XLOOKUP(D164,products!$A$2:$A$49,products!$B$2:$E$49)</f>
        <v>Exc</v>
      </c>
      <c r="J164" t="str">
        <v>D</v>
      </c>
      <c r="K164" s="8">
        <v>0.5</v>
      </c>
      <c r="L164" s="6">
        <v>7.29</v>
      </c>
      <c r="M164" s="7">
        <f t="shared" si="6"/>
        <v>21.87</v>
      </c>
      <c r="N164" t="str">
        <f t="shared" si="7"/>
        <v>Excelsa</v>
      </c>
      <c r="O164" t="str">
        <f t="shared" si="8"/>
        <v>Dark</v>
      </c>
      <c r="P164" t="str">
        <f>_xlfn.XLOOKUP(Orders!C164,Customers!$A$2:$A$1001,Customers!$I$2:$I$1001)</f>
        <v>Yes</v>
      </c>
    </row>
    <row r="165" spans="1:16" x14ac:dyDescent="0.3">
      <c r="A165" t="s">
        <v>358</v>
      </c>
      <c r="B165" s="11">
        <v>43619</v>
      </c>
      <c r="C165" t="s">
        <v>359</v>
      </c>
      <c r="D165" t="s">
        <v>106</v>
      </c>
      <c r="E165">
        <v>6</v>
      </c>
      <c r="F165" t="str">
        <f>_xlfn.XLOOKUP(C165,Customers!$A$2:$A$1001,Customers!$B$2:$B$1001)</f>
        <v>Gerardo Schonfeld</v>
      </c>
      <c r="G165" t="str">
        <f>_xlfn.XLOOKUP(C165,Customers!$A$2:$A$1001,Customers!$C$2:$C$1001)</f>
        <v>gschonfeld4j@oracle.com</v>
      </c>
      <c r="H165" t="str">
        <f>_xlfn.XLOOKUP(C165,Customers!$A$2:$A$1001,Customers!$G$2:$G$1001)</f>
        <v>United States</v>
      </c>
      <c r="I165" t="str" cm="1">
        <f t="array" ref="I165:L165">_xlfn.XLOOKUP(D165,products!$A$2:$A$49,products!$B$2:$E$49)</f>
        <v>Rob</v>
      </c>
      <c r="J165" t="str">
        <v>D</v>
      </c>
      <c r="K165" s="8">
        <v>0.2</v>
      </c>
      <c r="L165" s="6">
        <v>2.6849999999999996</v>
      </c>
      <c r="M165" s="7">
        <f t="shared" si="6"/>
        <v>16.11</v>
      </c>
      <c r="N165" t="str">
        <f t="shared" si="7"/>
        <v>Robusta</v>
      </c>
      <c r="O165" t="str">
        <f t="shared" si="8"/>
        <v>Dark</v>
      </c>
      <c r="P165" t="str">
        <f>_xlfn.XLOOKUP(Orders!C165,Customers!$A$2:$A$1001,Customers!$I$2:$I$1001)</f>
        <v>No</v>
      </c>
    </row>
    <row r="166" spans="1:16" x14ac:dyDescent="0.3">
      <c r="A166" t="s">
        <v>360</v>
      </c>
      <c r="B166" s="11">
        <v>44182</v>
      </c>
      <c r="C166" t="s">
        <v>361</v>
      </c>
      <c r="D166" t="s">
        <v>21</v>
      </c>
      <c r="E166">
        <v>4</v>
      </c>
      <c r="F166" t="str">
        <f>_xlfn.XLOOKUP(C166,Customers!$A$2:$A$1001,Customers!$B$2:$B$1001)</f>
        <v>Claiborne Feye</v>
      </c>
      <c r="G166" t="str">
        <f>_xlfn.XLOOKUP(C166,Customers!$A$2:$A$1001,Customers!$C$2:$C$1001)</f>
        <v>cfeye4k@google.co.jp</v>
      </c>
      <c r="H166" t="str">
        <f>_xlfn.XLOOKUP(C166,Customers!$A$2:$A$1001,Customers!$G$2:$G$1001)</f>
        <v>Ireland</v>
      </c>
      <c r="I166" t="str" cm="1">
        <f t="array" ref="I166:L166">_xlfn.XLOOKUP(D166,products!$A$2:$A$49,products!$B$2:$E$49)</f>
        <v>Exc</v>
      </c>
      <c r="J166" t="str">
        <v>D</v>
      </c>
      <c r="K166" s="8">
        <v>0.5</v>
      </c>
      <c r="L166" s="6">
        <v>7.29</v>
      </c>
      <c r="M166" s="7">
        <f t="shared" si="6"/>
        <v>29.16</v>
      </c>
      <c r="N166" t="str">
        <f t="shared" si="7"/>
        <v>Excelsa</v>
      </c>
      <c r="O166" t="str">
        <f t="shared" si="8"/>
        <v>Dark</v>
      </c>
      <c r="P166" t="str">
        <f>_xlfn.XLOOKUP(Orders!C166,Customers!$A$2:$A$1001,Customers!$I$2:$I$1001)</f>
        <v>No</v>
      </c>
    </row>
    <row r="167" spans="1:16" x14ac:dyDescent="0.3">
      <c r="A167" t="s">
        <v>362</v>
      </c>
      <c r="B167" s="11">
        <v>44234</v>
      </c>
      <c r="C167" t="s">
        <v>363</v>
      </c>
      <c r="D167" t="s">
        <v>184</v>
      </c>
      <c r="E167">
        <v>6</v>
      </c>
      <c r="F167" t="str">
        <f>_xlfn.XLOOKUP(C167,Customers!$A$2:$A$1001,Customers!$B$2:$B$1001)</f>
        <v>Mina Elstone</v>
      </c>
      <c r="G167">
        <f>_xlfn.XLOOKUP(C167,Customers!$A$2:$A$1001,Customers!$C$2:$C$1001)</f>
        <v>0</v>
      </c>
      <c r="H167" t="str">
        <f>_xlfn.XLOOKUP(C167,Customers!$A$2:$A$1001,Customers!$G$2:$G$1001)</f>
        <v>United States</v>
      </c>
      <c r="I167" t="str" cm="1">
        <f t="array" ref="I167:L167">_xlfn.XLOOKUP(D167,products!$A$2:$A$49,products!$B$2:$E$49)</f>
        <v>Rob</v>
      </c>
      <c r="J167" t="str">
        <v>D</v>
      </c>
      <c r="K167" s="8">
        <v>1</v>
      </c>
      <c r="L167" s="6">
        <v>8.9499999999999993</v>
      </c>
      <c r="M167" s="7">
        <f t="shared" si="6"/>
        <v>53.699999999999996</v>
      </c>
      <c r="N167" t="str">
        <f t="shared" si="7"/>
        <v>Robusta</v>
      </c>
      <c r="O167" t="str">
        <f t="shared" si="8"/>
        <v>Dark</v>
      </c>
      <c r="P167" t="str">
        <f>_xlfn.XLOOKUP(Orders!C167,Customers!$A$2:$A$1001,Customers!$I$2:$I$1001)</f>
        <v>Yes</v>
      </c>
    </row>
    <row r="168" spans="1:16" x14ac:dyDescent="0.3">
      <c r="A168" t="s">
        <v>364</v>
      </c>
      <c r="B168" s="11">
        <v>44270</v>
      </c>
      <c r="C168" t="s">
        <v>365</v>
      </c>
      <c r="D168" t="s">
        <v>151</v>
      </c>
      <c r="E168">
        <v>5</v>
      </c>
      <c r="F168" t="str">
        <f>_xlfn.XLOOKUP(C168,Customers!$A$2:$A$1001,Customers!$B$2:$B$1001)</f>
        <v>Sherman Mewrcik</v>
      </c>
      <c r="G168">
        <f>_xlfn.XLOOKUP(C168,Customers!$A$2:$A$1001,Customers!$C$2:$C$1001)</f>
        <v>0</v>
      </c>
      <c r="H168" t="str">
        <f>_xlfn.XLOOKUP(C168,Customers!$A$2:$A$1001,Customers!$G$2:$G$1001)</f>
        <v>United States</v>
      </c>
      <c r="I168" t="str" cm="1">
        <f t="array" ref="I168:L168">_xlfn.XLOOKUP(D168,products!$A$2:$A$49,products!$B$2:$E$49)</f>
        <v>Rob</v>
      </c>
      <c r="J168" t="str">
        <v>D</v>
      </c>
      <c r="K168" s="8">
        <v>0.5</v>
      </c>
      <c r="L168" s="6">
        <v>5.3699999999999992</v>
      </c>
      <c r="M168" s="7">
        <f t="shared" si="6"/>
        <v>26.849999999999994</v>
      </c>
      <c r="N168" t="str">
        <f t="shared" si="7"/>
        <v>Robusta</v>
      </c>
      <c r="O168" t="str">
        <f t="shared" si="8"/>
        <v>Dark</v>
      </c>
      <c r="P168" t="str">
        <f>_xlfn.XLOOKUP(Orders!C168,Customers!$A$2:$A$1001,Customers!$I$2:$I$1001)</f>
        <v>Yes</v>
      </c>
    </row>
    <row r="169" spans="1:16" x14ac:dyDescent="0.3">
      <c r="A169" t="s">
        <v>366</v>
      </c>
      <c r="B169" s="11">
        <v>44777</v>
      </c>
      <c r="C169" t="s">
        <v>367</v>
      </c>
      <c r="D169" t="s">
        <v>8</v>
      </c>
      <c r="E169">
        <v>5</v>
      </c>
      <c r="F169" t="str">
        <f>_xlfn.XLOOKUP(C169,Customers!$A$2:$A$1001,Customers!$B$2:$B$1001)</f>
        <v>Tamarah Fero</v>
      </c>
      <c r="G169" t="str">
        <f>_xlfn.XLOOKUP(C169,Customers!$A$2:$A$1001,Customers!$C$2:$C$1001)</f>
        <v>tfero4n@comsenz.com</v>
      </c>
      <c r="H169" t="str">
        <f>_xlfn.XLOOKUP(C169,Customers!$A$2:$A$1001,Customers!$G$2:$G$1001)</f>
        <v>United States</v>
      </c>
      <c r="I169" t="str" cm="1">
        <f t="array" ref="I169:L169">_xlfn.XLOOKUP(D169,products!$A$2:$A$49,products!$B$2:$E$49)</f>
        <v>Exc</v>
      </c>
      <c r="J169" t="str">
        <v>M</v>
      </c>
      <c r="K169" s="8">
        <v>0.5</v>
      </c>
      <c r="L169" s="6">
        <v>8.25</v>
      </c>
      <c r="M169" s="7">
        <f t="shared" si="6"/>
        <v>41.25</v>
      </c>
      <c r="N169" t="str">
        <f t="shared" si="7"/>
        <v>Excelsa</v>
      </c>
      <c r="O169" t="str">
        <f t="shared" si="8"/>
        <v>Medium</v>
      </c>
      <c r="P169" t="str">
        <f>_xlfn.XLOOKUP(Orders!C169,Customers!$A$2:$A$1001,Customers!$I$2:$I$1001)</f>
        <v>Yes</v>
      </c>
    </row>
    <row r="170" spans="1:16" x14ac:dyDescent="0.3">
      <c r="A170" t="s">
        <v>368</v>
      </c>
      <c r="B170" s="11">
        <v>43484</v>
      </c>
      <c r="C170" t="s">
        <v>369</v>
      </c>
      <c r="D170" t="s">
        <v>72</v>
      </c>
      <c r="E170">
        <v>6</v>
      </c>
      <c r="F170" t="str">
        <f>_xlfn.XLOOKUP(C170,Customers!$A$2:$A$1001,Customers!$B$2:$B$1001)</f>
        <v>Stanislaus Valsler</v>
      </c>
      <c r="G170">
        <f>_xlfn.XLOOKUP(C170,Customers!$A$2:$A$1001,Customers!$C$2:$C$1001)</f>
        <v>0</v>
      </c>
      <c r="H170" t="str">
        <f>_xlfn.XLOOKUP(C170,Customers!$A$2:$A$1001,Customers!$G$2:$G$1001)</f>
        <v>Ireland</v>
      </c>
      <c r="I170" t="str" cm="1">
        <f t="array" ref="I170:L170">_xlfn.XLOOKUP(D170,products!$A$2:$A$49,products!$B$2:$E$49)</f>
        <v>Ara</v>
      </c>
      <c r="J170" t="str">
        <v>M</v>
      </c>
      <c r="K170" s="8">
        <v>0.5</v>
      </c>
      <c r="L170" s="6">
        <v>6.75</v>
      </c>
      <c r="M170" s="7">
        <f t="shared" si="6"/>
        <v>40.5</v>
      </c>
      <c r="N170" t="str">
        <f t="shared" si="7"/>
        <v>Arasbica</v>
      </c>
      <c r="O170" t="str">
        <f t="shared" si="8"/>
        <v>Medium</v>
      </c>
      <c r="P170" t="str">
        <f>_xlfn.XLOOKUP(Orders!C170,Customers!$A$2:$A$1001,Customers!$I$2:$I$1001)</f>
        <v>No</v>
      </c>
    </row>
    <row r="171" spans="1:16" x14ac:dyDescent="0.3">
      <c r="A171" t="s">
        <v>370</v>
      </c>
      <c r="B171" s="11">
        <v>44643</v>
      </c>
      <c r="C171" t="s">
        <v>371</v>
      </c>
      <c r="D171" t="s">
        <v>184</v>
      </c>
      <c r="E171">
        <v>2</v>
      </c>
      <c r="F171" t="str">
        <f>_xlfn.XLOOKUP(C171,Customers!$A$2:$A$1001,Customers!$B$2:$B$1001)</f>
        <v>Felita Dauney</v>
      </c>
      <c r="G171" t="str">
        <f>_xlfn.XLOOKUP(C171,Customers!$A$2:$A$1001,Customers!$C$2:$C$1001)</f>
        <v>fdauney4p@sphinn.com</v>
      </c>
      <c r="H171" t="str">
        <f>_xlfn.XLOOKUP(C171,Customers!$A$2:$A$1001,Customers!$G$2:$G$1001)</f>
        <v>Ireland</v>
      </c>
      <c r="I171" t="str" cm="1">
        <f t="array" ref="I171:L171">_xlfn.XLOOKUP(D171,products!$A$2:$A$49,products!$B$2:$E$49)</f>
        <v>Rob</v>
      </c>
      <c r="J171" t="str">
        <v>D</v>
      </c>
      <c r="K171" s="8">
        <v>1</v>
      </c>
      <c r="L171" s="6">
        <v>8.9499999999999993</v>
      </c>
      <c r="M171" s="7">
        <f t="shared" si="6"/>
        <v>17.899999999999999</v>
      </c>
      <c r="N171" t="str">
        <f t="shared" si="7"/>
        <v>Robusta</v>
      </c>
      <c r="O171" t="str">
        <f t="shared" si="8"/>
        <v>Dark</v>
      </c>
      <c r="P171" t="str">
        <f>_xlfn.XLOOKUP(Orders!C171,Customers!$A$2:$A$1001,Customers!$I$2:$I$1001)</f>
        <v>No</v>
      </c>
    </row>
    <row r="172" spans="1:16" x14ac:dyDescent="0.3">
      <c r="A172" t="s">
        <v>372</v>
      </c>
      <c r="B172" s="11">
        <v>44476</v>
      </c>
      <c r="C172" t="s">
        <v>373</v>
      </c>
      <c r="D172" t="s">
        <v>35</v>
      </c>
      <c r="E172">
        <v>2</v>
      </c>
      <c r="F172" t="str">
        <f>_xlfn.XLOOKUP(C172,Customers!$A$2:$A$1001,Customers!$B$2:$B$1001)</f>
        <v>Serena Earley</v>
      </c>
      <c r="G172" t="str">
        <f>_xlfn.XLOOKUP(C172,Customers!$A$2:$A$1001,Customers!$C$2:$C$1001)</f>
        <v>searley4q@youku.com</v>
      </c>
      <c r="H172" t="str">
        <f>_xlfn.XLOOKUP(C172,Customers!$A$2:$A$1001,Customers!$G$2:$G$1001)</f>
        <v>United Kingdom</v>
      </c>
      <c r="I172" t="str" cm="1">
        <f t="array" ref="I172:L172">_xlfn.XLOOKUP(D172,products!$A$2:$A$49,products!$B$2:$E$49)</f>
        <v>Exc</v>
      </c>
      <c r="J172" t="str">
        <v>L</v>
      </c>
      <c r="K172" s="8">
        <v>2.5</v>
      </c>
      <c r="L172" s="6">
        <v>34.154999999999994</v>
      </c>
      <c r="M172" s="7">
        <f t="shared" si="6"/>
        <v>68.309999999999988</v>
      </c>
      <c r="N172" t="str">
        <f t="shared" si="7"/>
        <v>Excelsa</v>
      </c>
      <c r="O172" t="str">
        <f t="shared" si="8"/>
        <v>Lite</v>
      </c>
      <c r="P172" t="str">
        <f>_xlfn.XLOOKUP(Orders!C172,Customers!$A$2:$A$1001,Customers!$I$2:$I$1001)</f>
        <v>No</v>
      </c>
    </row>
    <row r="173" spans="1:16" x14ac:dyDescent="0.3">
      <c r="A173" t="s">
        <v>374</v>
      </c>
      <c r="B173" s="11">
        <v>43544</v>
      </c>
      <c r="C173" t="s">
        <v>375</v>
      </c>
      <c r="D173" t="s">
        <v>117</v>
      </c>
      <c r="E173">
        <v>2</v>
      </c>
      <c r="F173" t="str">
        <f>_xlfn.XLOOKUP(C173,Customers!$A$2:$A$1001,Customers!$B$2:$B$1001)</f>
        <v>Minny Chamberlayne</v>
      </c>
      <c r="G173" t="str">
        <f>_xlfn.XLOOKUP(C173,Customers!$A$2:$A$1001,Customers!$C$2:$C$1001)</f>
        <v>mchamberlayne4r@bigcartel.com</v>
      </c>
      <c r="H173" t="str">
        <f>_xlfn.XLOOKUP(C173,Customers!$A$2:$A$1001,Customers!$G$2:$G$1001)</f>
        <v>United States</v>
      </c>
      <c r="I173" t="str" cm="1">
        <f t="array" ref="I173:L173">_xlfn.XLOOKUP(D173,products!$A$2:$A$49,products!$B$2:$E$49)</f>
        <v>Exc</v>
      </c>
      <c r="J173" t="str">
        <v>M</v>
      </c>
      <c r="K173" s="8">
        <v>2.5</v>
      </c>
      <c r="L173" s="6">
        <v>31.624999999999996</v>
      </c>
      <c r="M173" s="7">
        <f t="shared" si="6"/>
        <v>63.249999999999993</v>
      </c>
      <c r="N173" t="str">
        <f t="shared" si="7"/>
        <v>Excelsa</v>
      </c>
      <c r="O173" t="str">
        <f t="shared" si="8"/>
        <v>Medium</v>
      </c>
      <c r="P173" t="str">
        <f>_xlfn.XLOOKUP(Orders!C173,Customers!$A$2:$A$1001,Customers!$I$2:$I$1001)</f>
        <v>Yes</v>
      </c>
    </row>
    <row r="174" spans="1:16" x14ac:dyDescent="0.3">
      <c r="A174" t="s">
        <v>376</v>
      </c>
      <c r="B174" s="11">
        <v>44545</v>
      </c>
      <c r="C174" t="s">
        <v>377</v>
      </c>
      <c r="D174" t="s">
        <v>21</v>
      </c>
      <c r="E174">
        <v>3</v>
      </c>
      <c r="F174" t="str">
        <f>_xlfn.XLOOKUP(C174,Customers!$A$2:$A$1001,Customers!$B$2:$B$1001)</f>
        <v>Bartholemy Flaherty</v>
      </c>
      <c r="G174" t="str">
        <f>_xlfn.XLOOKUP(C174,Customers!$A$2:$A$1001,Customers!$C$2:$C$1001)</f>
        <v>bflaherty4s@moonfruit.com</v>
      </c>
      <c r="H174" t="str">
        <f>_xlfn.XLOOKUP(C174,Customers!$A$2:$A$1001,Customers!$G$2:$G$1001)</f>
        <v>Ireland</v>
      </c>
      <c r="I174" t="str" cm="1">
        <f t="array" ref="I174:L174">_xlfn.XLOOKUP(D174,products!$A$2:$A$49,products!$B$2:$E$49)</f>
        <v>Exc</v>
      </c>
      <c r="J174" t="str">
        <v>D</v>
      </c>
      <c r="K174" s="8">
        <v>0.5</v>
      </c>
      <c r="L174" s="6">
        <v>7.29</v>
      </c>
      <c r="M174" s="7">
        <f t="shared" si="6"/>
        <v>21.87</v>
      </c>
      <c r="N174" t="str">
        <f t="shared" si="7"/>
        <v>Excelsa</v>
      </c>
      <c r="O174" t="str">
        <f t="shared" si="8"/>
        <v>Dark</v>
      </c>
      <c r="P174" t="str">
        <f>_xlfn.XLOOKUP(Orders!C174,Customers!$A$2:$A$1001,Customers!$I$2:$I$1001)</f>
        <v>No</v>
      </c>
    </row>
    <row r="175" spans="1:16" x14ac:dyDescent="0.3">
      <c r="A175" t="s">
        <v>378</v>
      </c>
      <c r="B175" s="11">
        <v>44720</v>
      </c>
      <c r="C175" t="s">
        <v>379</v>
      </c>
      <c r="D175" t="s">
        <v>46</v>
      </c>
      <c r="E175">
        <v>4</v>
      </c>
      <c r="F175" t="str">
        <f>_xlfn.XLOOKUP(C175,Customers!$A$2:$A$1001,Customers!$B$2:$B$1001)</f>
        <v>Oran Colbeck</v>
      </c>
      <c r="G175" t="str">
        <f>_xlfn.XLOOKUP(C175,Customers!$A$2:$A$1001,Customers!$C$2:$C$1001)</f>
        <v>ocolbeck4t@sina.com.cn</v>
      </c>
      <c r="H175" t="str">
        <f>_xlfn.XLOOKUP(C175,Customers!$A$2:$A$1001,Customers!$G$2:$G$1001)</f>
        <v>United States</v>
      </c>
      <c r="I175" t="str" cm="1">
        <f t="array" ref="I175:L175">_xlfn.XLOOKUP(D175,products!$A$2:$A$49,products!$B$2:$E$49)</f>
        <v>Rob</v>
      </c>
      <c r="J175" t="str">
        <v>M</v>
      </c>
      <c r="K175" s="8">
        <v>2.5</v>
      </c>
      <c r="L175" s="6">
        <v>22.884999999999998</v>
      </c>
      <c r="M175" s="7">
        <f t="shared" si="6"/>
        <v>91.539999999999992</v>
      </c>
      <c r="N175" t="str">
        <f t="shared" si="7"/>
        <v>Robusta</v>
      </c>
      <c r="O175" t="str">
        <f t="shared" si="8"/>
        <v>Medium</v>
      </c>
      <c r="P175" t="str">
        <f>_xlfn.XLOOKUP(Orders!C175,Customers!$A$2:$A$1001,Customers!$I$2:$I$1001)</f>
        <v>No</v>
      </c>
    </row>
    <row r="176" spans="1:16" x14ac:dyDescent="0.3">
      <c r="A176" t="s">
        <v>380</v>
      </c>
      <c r="B176" s="11">
        <v>43813</v>
      </c>
      <c r="C176" t="s">
        <v>381</v>
      </c>
      <c r="D176" t="s">
        <v>35</v>
      </c>
      <c r="E176">
        <v>6</v>
      </c>
      <c r="F176" t="str">
        <f>_xlfn.XLOOKUP(C176,Customers!$A$2:$A$1001,Customers!$B$2:$B$1001)</f>
        <v>Elysee Sketch</v>
      </c>
      <c r="G176">
        <f>_xlfn.XLOOKUP(C176,Customers!$A$2:$A$1001,Customers!$C$2:$C$1001)</f>
        <v>0</v>
      </c>
      <c r="H176" t="str">
        <f>_xlfn.XLOOKUP(C176,Customers!$A$2:$A$1001,Customers!$G$2:$G$1001)</f>
        <v>United States</v>
      </c>
      <c r="I176" t="str" cm="1">
        <f t="array" ref="I176:L176">_xlfn.XLOOKUP(D176,products!$A$2:$A$49,products!$B$2:$E$49)</f>
        <v>Exc</v>
      </c>
      <c r="J176" t="str">
        <v>L</v>
      </c>
      <c r="K176" s="8">
        <v>2.5</v>
      </c>
      <c r="L176" s="6">
        <v>34.154999999999994</v>
      </c>
      <c r="M176" s="7">
        <f t="shared" si="6"/>
        <v>204.92999999999995</v>
      </c>
      <c r="N176" t="str">
        <f t="shared" si="7"/>
        <v>Excelsa</v>
      </c>
      <c r="O176" t="str">
        <f t="shared" si="8"/>
        <v>Lite</v>
      </c>
      <c r="P176" t="str">
        <f>_xlfn.XLOOKUP(Orders!C176,Customers!$A$2:$A$1001,Customers!$I$2:$I$1001)</f>
        <v>Yes</v>
      </c>
    </row>
    <row r="177" spans="1:16" x14ac:dyDescent="0.3">
      <c r="A177" t="s">
        <v>382</v>
      </c>
      <c r="B177" s="11">
        <v>44296</v>
      </c>
      <c r="C177" t="s">
        <v>383</v>
      </c>
      <c r="D177" t="s">
        <v>117</v>
      </c>
      <c r="E177">
        <v>2</v>
      </c>
      <c r="F177" t="str">
        <f>_xlfn.XLOOKUP(C177,Customers!$A$2:$A$1001,Customers!$B$2:$B$1001)</f>
        <v>Ethelda Hobbing</v>
      </c>
      <c r="G177" t="str">
        <f>_xlfn.XLOOKUP(C177,Customers!$A$2:$A$1001,Customers!$C$2:$C$1001)</f>
        <v>ehobbing4v@nsw.gov.au</v>
      </c>
      <c r="H177" t="str">
        <f>_xlfn.XLOOKUP(C177,Customers!$A$2:$A$1001,Customers!$G$2:$G$1001)</f>
        <v>United States</v>
      </c>
      <c r="I177" t="str" cm="1">
        <f t="array" ref="I177:L177">_xlfn.XLOOKUP(D177,products!$A$2:$A$49,products!$B$2:$E$49)</f>
        <v>Exc</v>
      </c>
      <c r="J177" t="str">
        <v>M</v>
      </c>
      <c r="K177" s="8">
        <v>2.5</v>
      </c>
      <c r="L177" s="6">
        <v>31.624999999999996</v>
      </c>
      <c r="M177" s="7">
        <f t="shared" si="6"/>
        <v>63.249999999999993</v>
      </c>
      <c r="N177" t="str">
        <f t="shared" si="7"/>
        <v>Excelsa</v>
      </c>
      <c r="O177" t="str">
        <f t="shared" si="8"/>
        <v>Medium</v>
      </c>
      <c r="P177" t="str">
        <f>_xlfn.XLOOKUP(Orders!C177,Customers!$A$2:$A$1001,Customers!$I$2:$I$1001)</f>
        <v>Yes</v>
      </c>
    </row>
    <row r="178" spans="1:16" x14ac:dyDescent="0.3">
      <c r="A178" t="s">
        <v>384</v>
      </c>
      <c r="B178" s="11">
        <v>43900</v>
      </c>
      <c r="C178" t="s">
        <v>385</v>
      </c>
      <c r="D178" t="s">
        <v>35</v>
      </c>
      <c r="E178">
        <v>1</v>
      </c>
      <c r="F178" t="str">
        <f>_xlfn.XLOOKUP(C178,Customers!$A$2:$A$1001,Customers!$B$2:$B$1001)</f>
        <v>Odille Thynne</v>
      </c>
      <c r="G178" t="str">
        <f>_xlfn.XLOOKUP(C178,Customers!$A$2:$A$1001,Customers!$C$2:$C$1001)</f>
        <v>othynne4w@auda.org.au</v>
      </c>
      <c r="H178" t="str">
        <f>_xlfn.XLOOKUP(C178,Customers!$A$2:$A$1001,Customers!$G$2:$G$1001)</f>
        <v>United States</v>
      </c>
      <c r="I178" t="str" cm="1">
        <f t="array" ref="I178:L178">_xlfn.XLOOKUP(D178,products!$A$2:$A$49,products!$B$2:$E$49)</f>
        <v>Exc</v>
      </c>
      <c r="J178" t="str">
        <v>L</v>
      </c>
      <c r="K178" s="8">
        <v>2.5</v>
      </c>
      <c r="L178" s="6">
        <v>34.154999999999994</v>
      </c>
      <c r="M178" s="7">
        <f t="shared" si="6"/>
        <v>34.154999999999994</v>
      </c>
      <c r="N178" t="str">
        <f t="shared" si="7"/>
        <v>Excelsa</v>
      </c>
      <c r="O178" t="str">
        <f t="shared" si="8"/>
        <v>Lite</v>
      </c>
      <c r="P178" t="str">
        <f>_xlfn.XLOOKUP(Orders!C178,Customers!$A$2:$A$1001,Customers!$I$2:$I$1001)</f>
        <v>Yes</v>
      </c>
    </row>
    <row r="179" spans="1:16" x14ac:dyDescent="0.3">
      <c r="A179" t="s">
        <v>386</v>
      </c>
      <c r="B179" s="11">
        <v>44120</v>
      </c>
      <c r="C179" t="s">
        <v>387</v>
      </c>
      <c r="D179" t="s">
        <v>15</v>
      </c>
      <c r="E179">
        <v>4</v>
      </c>
      <c r="F179" t="str">
        <f>_xlfn.XLOOKUP(C179,Customers!$A$2:$A$1001,Customers!$B$2:$B$1001)</f>
        <v>Emlynne Heining</v>
      </c>
      <c r="G179" t="str">
        <f>_xlfn.XLOOKUP(C179,Customers!$A$2:$A$1001,Customers!$C$2:$C$1001)</f>
        <v>eheining4x@flickr.com</v>
      </c>
      <c r="H179" t="str">
        <f>_xlfn.XLOOKUP(C179,Customers!$A$2:$A$1001,Customers!$G$2:$G$1001)</f>
        <v>United States</v>
      </c>
      <c r="I179" t="str" cm="1">
        <f t="array" ref="I179:L179">_xlfn.XLOOKUP(D179,products!$A$2:$A$49,products!$B$2:$E$49)</f>
        <v>Rob</v>
      </c>
      <c r="J179" t="str">
        <v>L</v>
      </c>
      <c r="K179" s="8">
        <v>2.5</v>
      </c>
      <c r="L179" s="6">
        <v>27.484999999999996</v>
      </c>
      <c r="M179" s="7">
        <f t="shared" si="6"/>
        <v>109.93999999999998</v>
      </c>
      <c r="N179" t="str">
        <f t="shared" si="7"/>
        <v>Robusta</v>
      </c>
      <c r="O179" t="str">
        <f t="shared" si="8"/>
        <v>Lite</v>
      </c>
      <c r="P179" t="str">
        <f>_xlfn.XLOOKUP(Orders!C179,Customers!$A$2:$A$1001,Customers!$I$2:$I$1001)</f>
        <v>Yes</v>
      </c>
    </row>
    <row r="180" spans="1:16" x14ac:dyDescent="0.3">
      <c r="A180" t="s">
        <v>388</v>
      </c>
      <c r="B180" s="11">
        <v>43746</v>
      </c>
      <c r="C180" t="s">
        <v>389</v>
      </c>
      <c r="D180" t="s">
        <v>11</v>
      </c>
      <c r="E180">
        <v>2</v>
      </c>
      <c r="F180" t="str">
        <f>_xlfn.XLOOKUP(C180,Customers!$A$2:$A$1001,Customers!$B$2:$B$1001)</f>
        <v>Katerina Melloi</v>
      </c>
      <c r="G180" t="str">
        <f>_xlfn.XLOOKUP(C180,Customers!$A$2:$A$1001,Customers!$C$2:$C$1001)</f>
        <v>kmelloi4y@imdb.com</v>
      </c>
      <c r="H180" t="str">
        <f>_xlfn.XLOOKUP(C180,Customers!$A$2:$A$1001,Customers!$G$2:$G$1001)</f>
        <v>United States</v>
      </c>
      <c r="I180" t="str" cm="1">
        <f t="array" ref="I180:L180">_xlfn.XLOOKUP(D180,products!$A$2:$A$49,products!$B$2:$E$49)</f>
        <v>Ara</v>
      </c>
      <c r="J180" t="str">
        <v>L</v>
      </c>
      <c r="K180" s="8">
        <v>1</v>
      </c>
      <c r="L180" s="6">
        <v>12.95</v>
      </c>
      <c r="M180" s="7">
        <f t="shared" si="6"/>
        <v>25.9</v>
      </c>
      <c r="N180" t="str">
        <f t="shared" si="7"/>
        <v>Arasbica</v>
      </c>
      <c r="O180" t="str">
        <f t="shared" si="8"/>
        <v>Lite</v>
      </c>
      <c r="P180" t="str">
        <f>_xlfn.XLOOKUP(Orders!C180,Customers!$A$2:$A$1001,Customers!$I$2:$I$1001)</f>
        <v>No</v>
      </c>
    </row>
    <row r="181" spans="1:16" x14ac:dyDescent="0.3">
      <c r="A181" t="s">
        <v>390</v>
      </c>
      <c r="B181" s="11">
        <v>43830</v>
      </c>
      <c r="C181" t="s">
        <v>391</v>
      </c>
      <c r="D181" t="s">
        <v>59</v>
      </c>
      <c r="E181">
        <v>1</v>
      </c>
      <c r="F181" t="str">
        <f>_xlfn.XLOOKUP(C181,Customers!$A$2:$A$1001,Customers!$B$2:$B$1001)</f>
        <v>Tiffany Scardafield</v>
      </c>
      <c r="G181">
        <f>_xlfn.XLOOKUP(C181,Customers!$A$2:$A$1001,Customers!$C$2:$C$1001)</f>
        <v>0</v>
      </c>
      <c r="H181" t="str">
        <f>_xlfn.XLOOKUP(C181,Customers!$A$2:$A$1001,Customers!$G$2:$G$1001)</f>
        <v>Ireland</v>
      </c>
      <c r="I181" t="str" cm="1">
        <f t="array" ref="I181:L181">_xlfn.XLOOKUP(D181,products!$A$2:$A$49,products!$B$2:$E$49)</f>
        <v>Ara</v>
      </c>
      <c r="J181" t="str">
        <v>D</v>
      </c>
      <c r="K181" s="8">
        <v>0.2</v>
      </c>
      <c r="L181" s="6">
        <v>2.9849999999999999</v>
      </c>
      <c r="M181" s="7">
        <f t="shared" si="6"/>
        <v>2.9849999999999999</v>
      </c>
      <c r="N181" t="str">
        <f t="shared" si="7"/>
        <v>Arasbica</v>
      </c>
      <c r="O181" t="str">
        <f t="shared" si="8"/>
        <v>Dark</v>
      </c>
      <c r="P181" t="str">
        <f>_xlfn.XLOOKUP(Orders!C181,Customers!$A$2:$A$1001,Customers!$I$2:$I$1001)</f>
        <v>No</v>
      </c>
    </row>
    <row r="182" spans="1:16" x14ac:dyDescent="0.3">
      <c r="A182" t="s">
        <v>392</v>
      </c>
      <c r="B182" s="11">
        <v>43910</v>
      </c>
      <c r="C182" t="s">
        <v>393</v>
      </c>
      <c r="D182" t="s">
        <v>259</v>
      </c>
      <c r="E182">
        <v>5</v>
      </c>
      <c r="F182" t="str">
        <f>_xlfn.XLOOKUP(C182,Customers!$A$2:$A$1001,Customers!$B$2:$B$1001)</f>
        <v>Abrahan Mussen</v>
      </c>
      <c r="G182" t="str">
        <f>_xlfn.XLOOKUP(C182,Customers!$A$2:$A$1001,Customers!$C$2:$C$1001)</f>
        <v>amussen50@51.la</v>
      </c>
      <c r="H182" t="str">
        <f>_xlfn.XLOOKUP(C182,Customers!$A$2:$A$1001,Customers!$G$2:$G$1001)</f>
        <v>United States</v>
      </c>
      <c r="I182" t="str" cm="1">
        <f t="array" ref="I182:L182">_xlfn.XLOOKUP(D182,products!$A$2:$A$49,products!$B$2:$E$49)</f>
        <v>Exc</v>
      </c>
      <c r="J182" t="str">
        <v>L</v>
      </c>
      <c r="K182" s="8">
        <v>0.2</v>
      </c>
      <c r="L182" s="6">
        <v>4.4550000000000001</v>
      </c>
      <c r="M182" s="7">
        <f t="shared" si="6"/>
        <v>22.274999999999999</v>
      </c>
      <c r="N182" t="str">
        <f t="shared" si="7"/>
        <v>Excelsa</v>
      </c>
      <c r="O182" t="str">
        <f t="shared" si="8"/>
        <v>Lite</v>
      </c>
      <c r="P182" t="str">
        <f>_xlfn.XLOOKUP(Orders!C182,Customers!$A$2:$A$1001,Customers!$I$2:$I$1001)</f>
        <v>No</v>
      </c>
    </row>
    <row r="183" spans="1:16" x14ac:dyDescent="0.3">
      <c r="A183" t="s">
        <v>392</v>
      </c>
      <c r="B183" s="11">
        <v>43910</v>
      </c>
      <c r="C183" t="s">
        <v>393</v>
      </c>
      <c r="D183" t="s">
        <v>77</v>
      </c>
      <c r="E183">
        <v>5</v>
      </c>
      <c r="F183" t="str">
        <f>_xlfn.XLOOKUP(C183,Customers!$A$2:$A$1001,Customers!$B$2:$B$1001)</f>
        <v>Abrahan Mussen</v>
      </c>
      <c r="G183" t="str">
        <f>_xlfn.XLOOKUP(C183,Customers!$A$2:$A$1001,Customers!$C$2:$C$1001)</f>
        <v>amussen50@51.la</v>
      </c>
      <c r="H183" t="str">
        <f>_xlfn.XLOOKUP(C183,Customers!$A$2:$A$1001,Customers!$G$2:$G$1001)</f>
        <v>United States</v>
      </c>
      <c r="I183" t="str" cm="1">
        <f t="array" ref="I183:L183">_xlfn.XLOOKUP(D183,products!$A$2:$A$49,products!$B$2:$E$49)</f>
        <v>Ara</v>
      </c>
      <c r="J183" t="str">
        <v>D</v>
      </c>
      <c r="K183" s="8">
        <v>0.5</v>
      </c>
      <c r="L183" s="6">
        <v>5.97</v>
      </c>
      <c r="M183" s="7">
        <f t="shared" si="6"/>
        <v>29.849999999999998</v>
      </c>
      <c r="N183" t="str">
        <f t="shared" si="7"/>
        <v>Arasbica</v>
      </c>
      <c r="O183" t="str">
        <f t="shared" si="8"/>
        <v>Dark</v>
      </c>
      <c r="P183" t="str">
        <f>_xlfn.XLOOKUP(Orders!C183,Customers!$A$2:$A$1001,Customers!$I$2:$I$1001)</f>
        <v>No</v>
      </c>
    </row>
    <row r="184" spans="1:16" x14ac:dyDescent="0.3">
      <c r="A184" t="s">
        <v>394</v>
      </c>
      <c r="B184" s="11">
        <v>44284</v>
      </c>
      <c r="C184" t="s">
        <v>395</v>
      </c>
      <c r="D184" t="s">
        <v>151</v>
      </c>
      <c r="E184">
        <v>6</v>
      </c>
      <c r="F184" t="str">
        <f>_xlfn.XLOOKUP(C184,Customers!$A$2:$A$1001,Customers!$B$2:$B$1001)</f>
        <v>Anny Mundford</v>
      </c>
      <c r="G184" t="str">
        <f>_xlfn.XLOOKUP(C184,Customers!$A$2:$A$1001,Customers!$C$2:$C$1001)</f>
        <v>amundford52@nbcnews.com</v>
      </c>
      <c r="H184" t="str">
        <f>_xlfn.XLOOKUP(C184,Customers!$A$2:$A$1001,Customers!$G$2:$G$1001)</f>
        <v>United States</v>
      </c>
      <c r="I184" t="str" cm="1">
        <f t="array" ref="I184:L184">_xlfn.XLOOKUP(D184,products!$A$2:$A$49,products!$B$2:$E$49)</f>
        <v>Rob</v>
      </c>
      <c r="J184" t="str">
        <v>D</v>
      </c>
      <c r="K184" s="8">
        <v>0.5</v>
      </c>
      <c r="L184" s="6">
        <v>5.3699999999999992</v>
      </c>
      <c r="M184" s="7">
        <f t="shared" si="6"/>
        <v>32.22</v>
      </c>
      <c r="N184" t="str">
        <f t="shared" si="7"/>
        <v>Robusta</v>
      </c>
      <c r="O184" t="str">
        <f t="shared" si="8"/>
        <v>Dark</v>
      </c>
      <c r="P184" t="str">
        <f>_xlfn.XLOOKUP(Orders!C184,Customers!$A$2:$A$1001,Customers!$I$2:$I$1001)</f>
        <v>No</v>
      </c>
    </row>
    <row r="185" spans="1:16" x14ac:dyDescent="0.3">
      <c r="A185" t="s">
        <v>396</v>
      </c>
      <c r="B185" s="11">
        <v>44512</v>
      </c>
      <c r="C185" t="s">
        <v>397</v>
      </c>
      <c r="D185" t="s">
        <v>69</v>
      </c>
      <c r="E185">
        <v>2</v>
      </c>
      <c r="F185" t="str">
        <f>_xlfn.XLOOKUP(C185,Customers!$A$2:$A$1001,Customers!$B$2:$B$1001)</f>
        <v>Tory Walas</v>
      </c>
      <c r="G185" t="str">
        <f>_xlfn.XLOOKUP(C185,Customers!$A$2:$A$1001,Customers!$C$2:$C$1001)</f>
        <v>twalas53@google.ca</v>
      </c>
      <c r="H185" t="str">
        <f>_xlfn.XLOOKUP(C185,Customers!$A$2:$A$1001,Customers!$G$2:$G$1001)</f>
        <v>United States</v>
      </c>
      <c r="I185" t="str" cm="1">
        <f t="array" ref="I185:L185">_xlfn.XLOOKUP(D185,products!$A$2:$A$49,products!$B$2:$E$49)</f>
        <v>Exc</v>
      </c>
      <c r="J185" t="str">
        <v>M</v>
      </c>
      <c r="K185" s="8">
        <v>0.2</v>
      </c>
      <c r="L185" s="6">
        <v>4.125</v>
      </c>
      <c r="M185" s="7">
        <f t="shared" si="6"/>
        <v>8.25</v>
      </c>
      <c r="N185" t="str">
        <f t="shared" si="7"/>
        <v>Excelsa</v>
      </c>
      <c r="O185" t="str">
        <f t="shared" si="8"/>
        <v>Medium</v>
      </c>
      <c r="P185" t="str">
        <f>_xlfn.XLOOKUP(Orders!C185,Customers!$A$2:$A$1001,Customers!$I$2:$I$1001)</f>
        <v>No</v>
      </c>
    </row>
    <row r="186" spans="1:16" x14ac:dyDescent="0.3">
      <c r="A186" t="s">
        <v>398</v>
      </c>
      <c r="B186" s="11">
        <v>44397</v>
      </c>
      <c r="C186" t="s">
        <v>399</v>
      </c>
      <c r="D186" t="s">
        <v>197</v>
      </c>
      <c r="E186">
        <v>4</v>
      </c>
      <c r="F186" t="str">
        <f>_xlfn.XLOOKUP(C186,Customers!$A$2:$A$1001,Customers!$B$2:$B$1001)</f>
        <v>Isa Blazewicz</v>
      </c>
      <c r="G186" t="str">
        <f>_xlfn.XLOOKUP(C186,Customers!$A$2:$A$1001,Customers!$C$2:$C$1001)</f>
        <v>iblazewicz54@thetimes.co.uk</v>
      </c>
      <c r="H186" t="str">
        <f>_xlfn.XLOOKUP(C186,Customers!$A$2:$A$1001,Customers!$G$2:$G$1001)</f>
        <v>United States</v>
      </c>
      <c r="I186" t="str" cm="1">
        <f t="array" ref="I186:L186">_xlfn.XLOOKUP(D186,products!$A$2:$A$49,products!$B$2:$E$49)</f>
        <v>Ara</v>
      </c>
      <c r="J186" t="str">
        <v>L</v>
      </c>
      <c r="K186" s="8">
        <v>0.5</v>
      </c>
      <c r="L186" s="6">
        <v>7.77</v>
      </c>
      <c r="M186" s="7">
        <f t="shared" si="6"/>
        <v>31.08</v>
      </c>
      <c r="N186" t="str">
        <f t="shared" si="7"/>
        <v>Arasbica</v>
      </c>
      <c r="O186" t="str">
        <f t="shared" si="8"/>
        <v>Lite</v>
      </c>
      <c r="P186" t="str">
        <f>_xlfn.XLOOKUP(Orders!C186,Customers!$A$2:$A$1001,Customers!$I$2:$I$1001)</f>
        <v>No</v>
      </c>
    </row>
    <row r="187" spans="1:16" x14ac:dyDescent="0.3">
      <c r="A187" t="s">
        <v>400</v>
      </c>
      <c r="B187" s="11">
        <v>43483</v>
      </c>
      <c r="C187" t="s">
        <v>401</v>
      </c>
      <c r="D187" t="s">
        <v>21</v>
      </c>
      <c r="E187">
        <v>5</v>
      </c>
      <c r="F187" t="str">
        <f>_xlfn.XLOOKUP(C187,Customers!$A$2:$A$1001,Customers!$B$2:$B$1001)</f>
        <v>Angie Rizzetti</v>
      </c>
      <c r="G187" t="str">
        <f>_xlfn.XLOOKUP(C187,Customers!$A$2:$A$1001,Customers!$C$2:$C$1001)</f>
        <v>arizzetti55@naver.com</v>
      </c>
      <c r="H187" t="str">
        <f>_xlfn.XLOOKUP(C187,Customers!$A$2:$A$1001,Customers!$G$2:$G$1001)</f>
        <v>United States</v>
      </c>
      <c r="I187" t="str" cm="1">
        <f t="array" ref="I187:L187">_xlfn.XLOOKUP(D187,products!$A$2:$A$49,products!$B$2:$E$49)</f>
        <v>Exc</v>
      </c>
      <c r="J187" t="str">
        <v>D</v>
      </c>
      <c r="K187" s="8">
        <v>0.5</v>
      </c>
      <c r="L187" s="6">
        <v>7.29</v>
      </c>
      <c r="M187" s="7">
        <f t="shared" si="6"/>
        <v>36.450000000000003</v>
      </c>
      <c r="N187" t="str">
        <f t="shared" si="7"/>
        <v>Excelsa</v>
      </c>
      <c r="O187" t="str">
        <f t="shared" si="8"/>
        <v>Dark</v>
      </c>
      <c r="P187" t="str">
        <f>_xlfn.XLOOKUP(Orders!C187,Customers!$A$2:$A$1001,Customers!$I$2:$I$1001)</f>
        <v>Yes</v>
      </c>
    </row>
    <row r="188" spans="1:16" x14ac:dyDescent="0.3">
      <c r="A188" t="s">
        <v>402</v>
      </c>
      <c r="B188" s="11">
        <v>43684</v>
      </c>
      <c r="C188" t="s">
        <v>403</v>
      </c>
      <c r="D188" t="s">
        <v>46</v>
      </c>
      <c r="E188">
        <v>3</v>
      </c>
      <c r="F188" t="str">
        <f>_xlfn.XLOOKUP(C188,Customers!$A$2:$A$1001,Customers!$B$2:$B$1001)</f>
        <v>Mord Meriet</v>
      </c>
      <c r="G188" t="str">
        <f>_xlfn.XLOOKUP(C188,Customers!$A$2:$A$1001,Customers!$C$2:$C$1001)</f>
        <v>mmeriet56@noaa.gov</v>
      </c>
      <c r="H188" t="str">
        <f>_xlfn.XLOOKUP(C188,Customers!$A$2:$A$1001,Customers!$G$2:$G$1001)</f>
        <v>United States</v>
      </c>
      <c r="I188" t="str" cm="1">
        <f t="array" ref="I188:L188">_xlfn.XLOOKUP(D188,products!$A$2:$A$49,products!$B$2:$E$49)</f>
        <v>Rob</v>
      </c>
      <c r="J188" t="str">
        <v>M</v>
      </c>
      <c r="K188" s="8">
        <v>2.5</v>
      </c>
      <c r="L188" s="6">
        <v>22.884999999999998</v>
      </c>
      <c r="M188" s="7">
        <f t="shared" si="6"/>
        <v>68.655000000000001</v>
      </c>
      <c r="N188" t="str">
        <f t="shared" si="7"/>
        <v>Robusta</v>
      </c>
      <c r="O188" t="str">
        <f t="shared" si="8"/>
        <v>Medium</v>
      </c>
      <c r="P188" t="str">
        <f>_xlfn.XLOOKUP(Orders!C188,Customers!$A$2:$A$1001,Customers!$I$2:$I$1001)</f>
        <v>No</v>
      </c>
    </row>
    <row r="189" spans="1:16" x14ac:dyDescent="0.3">
      <c r="A189" t="s">
        <v>404</v>
      </c>
      <c r="B189" s="11">
        <v>44633</v>
      </c>
      <c r="C189" t="s">
        <v>405</v>
      </c>
      <c r="D189" t="s">
        <v>83</v>
      </c>
      <c r="E189">
        <v>5</v>
      </c>
      <c r="F189" t="str">
        <f>_xlfn.XLOOKUP(C189,Customers!$A$2:$A$1001,Customers!$B$2:$B$1001)</f>
        <v>Lawrence Pratt</v>
      </c>
      <c r="G189" t="str">
        <f>_xlfn.XLOOKUP(C189,Customers!$A$2:$A$1001,Customers!$C$2:$C$1001)</f>
        <v>lpratt57@netvibes.com</v>
      </c>
      <c r="H189" t="str">
        <f>_xlfn.XLOOKUP(C189,Customers!$A$2:$A$1001,Customers!$G$2:$G$1001)</f>
        <v>United States</v>
      </c>
      <c r="I189" t="str" cm="1">
        <f t="array" ref="I189:L189">_xlfn.XLOOKUP(D189,products!$A$2:$A$49,products!$B$2:$E$49)</f>
        <v>Lib</v>
      </c>
      <c r="J189" t="str">
        <v>M</v>
      </c>
      <c r="K189" s="8">
        <v>0.5</v>
      </c>
      <c r="L189" s="6">
        <v>8.73</v>
      </c>
      <c r="M189" s="7">
        <f t="shared" si="6"/>
        <v>43.650000000000006</v>
      </c>
      <c r="N189" t="str">
        <f t="shared" si="7"/>
        <v>Liberica</v>
      </c>
      <c r="O189" t="str">
        <f t="shared" si="8"/>
        <v>Medium</v>
      </c>
      <c r="P189" t="str">
        <f>_xlfn.XLOOKUP(Orders!C189,Customers!$A$2:$A$1001,Customers!$I$2:$I$1001)</f>
        <v>Yes</v>
      </c>
    </row>
    <row r="190" spans="1:16" x14ac:dyDescent="0.3">
      <c r="A190" t="s">
        <v>406</v>
      </c>
      <c r="B190" s="11">
        <v>44698</v>
      </c>
      <c r="C190" t="s">
        <v>407</v>
      </c>
      <c r="D190" t="s">
        <v>259</v>
      </c>
      <c r="E190">
        <v>1</v>
      </c>
      <c r="F190" t="str">
        <f>_xlfn.XLOOKUP(C190,Customers!$A$2:$A$1001,Customers!$B$2:$B$1001)</f>
        <v>Astrix Kitchingham</v>
      </c>
      <c r="G190" t="str">
        <f>_xlfn.XLOOKUP(C190,Customers!$A$2:$A$1001,Customers!$C$2:$C$1001)</f>
        <v>akitchingham58@com.com</v>
      </c>
      <c r="H190" t="str">
        <f>_xlfn.XLOOKUP(C190,Customers!$A$2:$A$1001,Customers!$G$2:$G$1001)</f>
        <v>United States</v>
      </c>
      <c r="I190" t="str" cm="1">
        <f t="array" ref="I190:L190">_xlfn.XLOOKUP(D190,products!$A$2:$A$49,products!$B$2:$E$49)</f>
        <v>Exc</v>
      </c>
      <c r="J190" t="str">
        <v>L</v>
      </c>
      <c r="K190" s="8">
        <v>0.2</v>
      </c>
      <c r="L190" s="6">
        <v>4.4550000000000001</v>
      </c>
      <c r="M190" s="7">
        <f t="shared" si="6"/>
        <v>4.4550000000000001</v>
      </c>
      <c r="N190" t="str">
        <f t="shared" si="7"/>
        <v>Excelsa</v>
      </c>
      <c r="O190" t="str">
        <f t="shared" si="8"/>
        <v>Lite</v>
      </c>
      <c r="P190" t="str">
        <f>_xlfn.XLOOKUP(Orders!C190,Customers!$A$2:$A$1001,Customers!$I$2:$I$1001)</f>
        <v>Yes</v>
      </c>
    </row>
    <row r="191" spans="1:16" x14ac:dyDescent="0.3">
      <c r="A191" t="s">
        <v>408</v>
      </c>
      <c r="B191" s="11">
        <v>43813</v>
      </c>
      <c r="C191" t="s">
        <v>409</v>
      </c>
      <c r="D191" t="s">
        <v>101</v>
      </c>
      <c r="E191">
        <v>3</v>
      </c>
      <c r="F191" t="str">
        <f>_xlfn.XLOOKUP(C191,Customers!$A$2:$A$1001,Customers!$B$2:$B$1001)</f>
        <v>Burnard Bartholin</v>
      </c>
      <c r="G191" t="str">
        <f>_xlfn.XLOOKUP(C191,Customers!$A$2:$A$1001,Customers!$C$2:$C$1001)</f>
        <v>bbartholin59@xinhuanet.com</v>
      </c>
      <c r="H191" t="str">
        <f>_xlfn.XLOOKUP(C191,Customers!$A$2:$A$1001,Customers!$G$2:$G$1001)</f>
        <v>United States</v>
      </c>
      <c r="I191" t="str" cm="1">
        <f t="array" ref="I191:L191">_xlfn.XLOOKUP(D191,products!$A$2:$A$49,products!$B$2:$E$49)</f>
        <v>Lib</v>
      </c>
      <c r="J191" t="str">
        <v>M</v>
      </c>
      <c r="K191" s="8">
        <v>1</v>
      </c>
      <c r="L191" s="6">
        <v>14.55</v>
      </c>
      <c r="M191" s="7">
        <f t="shared" si="6"/>
        <v>43.650000000000006</v>
      </c>
      <c r="N191" t="str">
        <f t="shared" si="7"/>
        <v>Liberica</v>
      </c>
      <c r="O191" t="str">
        <f t="shared" si="8"/>
        <v>Medium</v>
      </c>
      <c r="P191" t="str">
        <f>_xlfn.XLOOKUP(Orders!C191,Customers!$A$2:$A$1001,Customers!$I$2:$I$1001)</f>
        <v>Yes</v>
      </c>
    </row>
    <row r="192" spans="1:16" x14ac:dyDescent="0.3">
      <c r="A192" t="s">
        <v>410</v>
      </c>
      <c r="B192" s="11">
        <v>43845</v>
      </c>
      <c r="C192" t="s">
        <v>411</v>
      </c>
      <c r="D192" t="s">
        <v>202</v>
      </c>
      <c r="E192">
        <v>1</v>
      </c>
      <c r="F192" t="str">
        <f>_xlfn.XLOOKUP(C192,Customers!$A$2:$A$1001,Customers!$B$2:$B$1001)</f>
        <v>Madelene Prinn</v>
      </c>
      <c r="G192" t="str">
        <f>_xlfn.XLOOKUP(C192,Customers!$A$2:$A$1001,Customers!$C$2:$C$1001)</f>
        <v>mprinn5a@usa.gov</v>
      </c>
      <c r="H192" t="str">
        <f>_xlfn.XLOOKUP(C192,Customers!$A$2:$A$1001,Customers!$G$2:$G$1001)</f>
        <v>United States</v>
      </c>
      <c r="I192" t="str" cm="1">
        <f t="array" ref="I192:L192">_xlfn.XLOOKUP(D192,products!$A$2:$A$49,products!$B$2:$E$49)</f>
        <v>Lib</v>
      </c>
      <c r="J192" t="str">
        <v>M</v>
      </c>
      <c r="K192" s="8">
        <v>2.5</v>
      </c>
      <c r="L192" s="6">
        <v>33.464999999999996</v>
      </c>
      <c r="M192" s="7">
        <f t="shared" si="6"/>
        <v>33.464999999999996</v>
      </c>
      <c r="N192" t="str">
        <f t="shared" si="7"/>
        <v>Liberica</v>
      </c>
      <c r="O192" t="str">
        <f t="shared" si="8"/>
        <v>Medium</v>
      </c>
      <c r="P192" t="str">
        <f>_xlfn.XLOOKUP(Orders!C192,Customers!$A$2:$A$1001,Customers!$I$2:$I$1001)</f>
        <v>Yes</v>
      </c>
    </row>
    <row r="193" spans="1:16" x14ac:dyDescent="0.3">
      <c r="A193" t="s">
        <v>412</v>
      </c>
      <c r="B193" s="11">
        <v>43567</v>
      </c>
      <c r="C193" t="s">
        <v>413</v>
      </c>
      <c r="D193" t="s">
        <v>43</v>
      </c>
      <c r="E193">
        <v>5</v>
      </c>
      <c r="F193" t="str">
        <f>_xlfn.XLOOKUP(C193,Customers!$A$2:$A$1001,Customers!$B$2:$B$1001)</f>
        <v>Alisun Baudino</v>
      </c>
      <c r="G193" t="str">
        <f>_xlfn.XLOOKUP(C193,Customers!$A$2:$A$1001,Customers!$C$2:$C$1001)</f>
        <v>abaudino5b@netvibes.com</v>
      </c>
      <c r="H193" t="str">
        <f>_xlfn.XLOOKUP(C193,Customers!$A$2:$A$1001,Customers!$G$2:$G$1001)</f>
        <v>United States</v>
      </c>
      <c r="I193" t="str" cm="1">
        <f t="array" ref="I193:L193">_xlfn.XLOOKUP(D193,products!$A$2:$A$49,products!$B$2:$E$49)</f>
        <v>Lib</v>
      </c>
      <c r="J193" t="str">
        <v>D</v>
      </c>
      <c r="K193" s="8">
        <v>0.2</v>
      </c>
      <c r="L193" s="6">
        <v>3.8849999999999998</v>
      </c>
      <c r="M193" s="7">
        <f t="shared" si="6"/>
        <v>19.424999999999997</v>
      </c>
      <c r="N193" t="str">
        <f t="shared" si="7"/>
        <v>Liberica</v>
      </c>
      <c r="O193" t="str">
        <f t="shared" si="8"/>
        <v>Dark</v>
      </c>
      <c r="P193" t="str">
        <f>_xlfn.XLOOKUP(Orders!C193,Customers!$A$2:$A$1001,Customers!$I$2:$I$1001)</f>
        <v>Yes</v>
      </c>
    </row>
    <row r="194" spans="1:16" x14ac:dyDescent="0.3">
      <c r="A194" t="s">
        <v>414</v>
      </c>
      <c r="B194" s="11">
        <v>43919</v>
      </c>
      <c r="C194" t="s">
        <v>415</v>
      </c>
      <c r="D194" t="s">
        <v>250</v>
      </c>
      <c r="E194">
        <v>6</v>
      </c>
      <c r="F194" t="str">
        <f>_xlfn.XLOOKUP(C194,Customers!$A$2:$A$1001,Customers!$B$2:$B$1001)</f>
        <v>Philipa Petrushanko</v>
      </c>
      <c r="G194" t="str">
        <f>_xlfn.XLOOKUP(C194,Customers!$A$2:$A$1001,Customers!$C$2:$C$1001)</f>
        <v>ppetrushanko5c@blinklist.com</v>
      </c>
      <c r="H194" t="str">
        <f>_xlfn.XLOOKUP(C194,Customers!$A$2:$A$1001,Customers!$G$2:$G$1001)</f>
        <v>Ireland</v>
      </c>
      <c r="I194" t="str" cm="1">
        <f t="array" ref="I194:L194">_xlfn.XLOOKUP(D194,products!$A$2:$A$49,products!$B$2:$E$49)</f>
        <v>Exc</v>
      </c>
      <c r="J194" t="str">
        <v>D</v>
      </c>
      <c r="K194" s="8">
        <v>1</v>
      </c>
      <c r="L194" s="6">
        <v>12.15</v>
      </c>
      <c r="M194" s="7">
        <f t="shared" si="6"/>
        <v>72.900000000000006</v>
      </c>
      <c r="N194" t="str">
        <f t="shared" si="7"/>
        <v>Excelsa</v>
      </c>
      <c r="O194" t="str">
        <f t="shared" si="8"/>
        <v>Dark</v>
      </c>
      <c r="P194" t="str">
        <f>_xlfn.XLOOKUP(Orders!C194,Customers!$A$2:$A$1001,Customers!$I$2:$I$1001)</f>
        <v>Yes</v>
      </c>
    </row>
    <row r="195" spans="1:16" x14ac:dyDescent="0.3">
      <c r="A195" t="s">
        <v>416</v>
      </c>
      <c r="B195" s="11">
        <v>44644</v>
      </c>
      <c r="C195" t="s">
        <v>417</v>
      </c>
      <c r="D195" t="s">
        <v>142</v>
      </c>
      <c r="E195">
        <v>3</v>
      </c>
      <c r="F195" t="str">
        <f>_xlfn.XLOOKUP(C195,Customers!$A$2:$A$1001,Customers!$B$2:$B$1001)</f>
        <v>Kimberli Mustchin</v>
      </c>
      <c r="G195">
        <f>_xlfn.XLOOKUP(C195,Customers!$A$2:$A$1001,Customers!$C$2:$C$1001)</f>
        <v>0</v>
      </c>
      <c r="H195" t="str">
        <f>_xlfn.XLOOKUP(C195,Customers!$A$2:$A$1001,Customers!$G$2:$G$1001)</f>
        <v>United States</v>
      </c>
      <c r="I195" t="str" cm="1">
        <f t="array" ref="I195:L195">_xlfn.XLOOKUP(D195,products!$A$2:$A$49,products!$B$2:$E$49)</f>
        <v>Exc</v>
      </c>
      <c r="J195" t="str">
        <v>L</v>
      </c>
      <c r="K195" s="8">
        <v>1</v>
      </c>
      <c r="L195" s="6">
        <v>14.85</v>
      </c>
      <c r="M195" s="7">
        <f t="shared" ref="M195:M258" si="9">E195*L195</f>
        <v>44.55</v>
      </c>
      <c r="N195" t="str">
        <f t="shared" ref="N195:N258" si="10">IF(I195="rob","Robusta",IF(I195="Exc","Excelsa",IF(I195="Ara","Arasbica",IF(I195="Lib","Liberica"))))</f>
        <v>Excelsa</v>
      </c>
      <c r="O195" t="str">
        <f t="shared" ref="O195:O258" si="11">IF(J195="M","Medium",IF(J195="L","Lite",IF(J195="D","Dark")))</f>
        <v>Lite</v>
      </c>
      <c r="P195" t="str">
        <f>_xlfn.XLOOKUP(Orders!C195,Customers!$A$2:$A$1001,Customers!$I$2:$I$1001)</f>
        <v>No</v>
      </c>
    </row>
    <row r="196" spans="1:16" x14ac:dyDescent="0.3">
      <c r="A196" t="s">
        <v>418</v>
      </c>
      <c r="B196" s="11">
        <v>44398</v>
      </c>
      <c r="C196" t="s">
        <v>419</v>
      </c>
      <c r="D196" t="s">
        <v>21</v>
      </c>
      <c r="E196">
        <v>5</v>
      </c>
      <c r="F196" t="str">
        <f>_xlfn.XLOOKUP(C196,Customers!$A$2:$A$1001,Customers!$B$2:$B$1001)</f>
        <v>Emlynne Laird</v>
      </c>
      <c r="G196" t="str">
        <f>_xlfn.XLOOKUP(C196,Customers!$A$2:$A$1001,Customers!$C$2:$C$1001)</f>
        <v>elaird5e@bing.com</v>
      </c>
      <c r="H196" t="str">
        <f>_xlfn.XLOOKUP(C196,Customers!$A$2:$A$1001,Customers!$G$2:$G$1001)</f>
        <v>United States</v>
      </c>
      <c r="I196" t="str" cm="1">
        <f t="array" ref="I196:L196">_xlfn.XLOOKUP(D196,products!$A$2:$A$49,products!$B$2:$E$49)</f>
        <v>Exc</v>
      </c>
      <c r="J196" t="str">
        <v>D</v>
      </c>
      <c r="K196" s="8">
        <v>0.5</v>
      </c>
      <c r="L196" s="6">
        <v>7.29</v>
      </c>
      <c r="M196" s="7">
        <f t="shared" si="9"/>
        <v>36.450000000000003</v>
      </c>
      <c r="N196" t="str">
        <f t="shared" si="10"/>
        <v>Excelsa</v>
      </c>
      <c r="O196" t="str">
        <f t="shared" si="11"/>
        <v>Dark</v>
      </c>
      <c r="P196" t="str">
        <f>_xlfn.XLOOKUP(Orders!C196,Customers!$A$2:$A$1001,Customers!$I$2:$I$1001)</f>
        <v>No</v>
      </c>
    </row>
    <row r="197" spans="1:16" x14ac:dyDescent="0.3">
      <c r="A197" t="s">
        <v>420</v>
      </c>
      <c r="B197" s="11">
        <v>43683</v>
      </c>
      <c r="C197" t="s">
        <v>421</v>
      </c>
      <c r="D197" t="s">
        <v>11</v>
      </c>
      <c r="E197">
        <v>3</v>
      </c>
      <c r="F197" t="str">
        <f>_xlfn.XLOOKUP(C197,Customers!$A$2:$A$1001,Customers!$B$2:$B$1001)</f>
        <v>Marlena Howsden</v>
      </c>
      <c r="G197" t="str">
        <f>_xlfn.XLOOKUP(C197,Customers!$A$2:$A$1001,Customers!$C$2:$C$1001)</f>
        <v>mhowsden5f@infoseek.co.jp</v>
      </c>
      <c r="H197" t="str">
        <f>_xlfn.XLOOKUP(C197,Customers!$A$2:$A$1001,Customers!$G$2:$G$1001)</f>
        <v>United States</v>
      </c>
      <c r="I197" t="str" cm="1">
        <f t="array" ref="I197:L197">_xlfn.XLOOKUP(D197,products!$A$2:$A$49,products!$B$2:$E$49)</f>
        <v>Ara</v>
      </c>
      <c r="J197" t="str">
        <v>L</v>
      </c>
      <c r="K197" s="8">
        <v>1</v>
      </c>
      <c r="L197" s="6">
        <v>12.95</v>
      </c>
      <c r="M197" s="7">
        <f t="shared" si="9"/>
        <v>38.849999999999994</v>
      </c>
      <c r="N197" t="str">
        <f t="shared" si="10"/>
        <v>Arasbica</v>
      </c>
      <c r="O197" t="str">
        <f t="shared" si="11"/>
        <v>Lite</v>
      </c>
      <c r="P197" t="str">
        <f>_xlfn.XLOOKUP(Orders!C197,Customers!$A$2:$A$1001,Customers!$I$2:$I$1001)</f>
        <v>No</v>
      </c>
    </row>
    <row r="198" spans="1:16" x14ac:dyDescent="0.3">
      <c r="A198" t="s">
        <v>422</v>
      </c>
      <c r="B198" s="11">
        <v>44339</v>
      </c>
      <c r="C198" t="s">
        <v>423</v>
      </c>
      <c r="D198" t="s">
        <v>181</v>
      </c>
      <c r="E198">
        <v>6</v>
      </c>
      <c r="F198" t="str">
        <f>_xlfn.XLOOKUP(C198,Customers!$A$2:$A$1001,Customers!$B$2:$B$1001)</f>
        <v>Nealson Cuttler</v>
      </c>
      <c r="G198" t="str">
        <f>_xlfn.XLOOKUP(C198,Customers!$A$2:$A$1001,Customers!$C$2:$C$1001)</f>
        <v>ncuttler5g@parallels.com</v>
      </c>
      <c r="H198" t="str">
        <f>_xlfn.XLOOKUP(C198,Customers!$A$2:$A$1001,Customers!$G$2:$G$1001)</f>
        <v>United States</v>
      </c>
      <c r="I198" t="str" cm="1">
        <f t="array" ref="I198:L198">_xlfn.XLOOKUP(D198,products!$A$2:$A$49,products!$B$2:$E$49)</f>
        <v>Exc</v>
      </c>
      <c r="J198" t="str">
        <v>L</v>
      </c>
      <c r="K198" s="8">
        <v>0.5</v>
      </c>
      <c r="L198" s="6">
        <v>8.91</v>
      </c>
      <c r="M198" s="7">
        <f t="shared" si="9"/>
        <v>53.46</v>
      </c>
      <c r="N198" t="str">
        <f t="shared" si="10"/>
        <v>Excelsa</v>
      </c>
      <c r="O198" t="str">
        <f t="shared" si="11"/>
        <v>Lite</v>
      </c>
      <c r="P198" t="str">
        <f>_xlfn.XLOOKUP(Orders!C198,Customers!$A$2:$A$1001,Customers!$I$2:$I$1001)</f>
        <v>No</v>
      </c>
    </row>
    <row r="199" spans="1:16" x14ac:dyDescent="0.3">
      <c r="A199" t="s">
        <v>422</v>
      </c>
      <c r="B199" s="11">
        <v>44339</v>
      </c>
      <c r="C199" t="s">
        <v>423</v>
      </c>
      <c r="D199" t="s">
        <v>114</v>
      </c>
      <c r="E199">
        <v>2</v>
      </c>
      <c r="F199" t="str">
        <f>_xlfn.XLOOKUP(C199,Customers!$A$2:$A$1001,Customers!$B$2:$B$1001)</f>
        <v>Nealson Cuttler</v>
      </c>
      <c r="G199" t="str">
        <f>_xlfn.XLOOKUP(C199,Customers!$A$2:$A$1001,Customers!$C$2:$C$1001)</f>
        <v>ncuttler5g@parallels.com</v>
      </c>
      <c r="H199" t="str">
        <f>_xlfn.XLOOKUP(C199,Customers!$A$2:$A$1001,Customers!$G$2:$G$1001)</f>
        <v>United States</v>
      </c>
      <c r="I199" t="str" cm="1">
        <f t="array" ref="I199:L199">_xlfn.XLOOKUP(D199,products!$A$2:$A$49,products!$B$2:$E$49)</f>
        <v>Lib</v>
      </c>
      <c r="J199" t="str">
        <v>D</v>
      </c>
      <c r="K199" s="8">
        <v>2.5</v>
      </c>
      <c r="L199" s="6">
        <v>29.784999999999997</v>
      </c>
      <c r="M199" s="7">
        <f t="shared" si="9"/>
        <v>59.569999999999993</v>
      </c>
      <c r="N199" t="str">
        <f t="shared" si="10"/>
        <v>Liberica</v>
      </c>
      <c r="O199" t="str">
        <f t="shared" si="11"/>
        <v>Dark</v>
      </c>
      <c r="P199" t="str">
        <f>_xlfn.XLOOKUP(Orders!C199,Customers!$A$2:$A$1001,Customers!$I$2:$I$1001)</f>
        <v>No</v>
      </c>
    </row>
    <row r="200" spans="1:16" x14ac:dyDescent="0.3">
      <c r="A200" t="s">
        <v>422</v>
      </c>
      <c r="B200" s="11">
        <v>44339</v>
      </c>
      <c r="C200" t="s">
        <v>423</v>
      </c>
      <c r="D200" t="s">
        <v>114</v>
      </c>
      <c r="E200">
        <v>3</v>
      </c>
      <c r="F200" t="str">
        <f>_xlfn.XLOOKUP(C200,Customers!$A$2:$A$1001,Customers!$B$2:$B$1001)</f>
        <v>Nealson Cuttler</v>
      </c>
      <c r="G200" t="str">
        <f>_xlfn.XLOOKUP(C200,Customers!$A$2:$A$1001,Customers!$C$2:$C$1001)</f>
        <v>ncuttler5g@parallels.com</v>
      </c>
      <c r="H200" t="str">
        <f>_xlfn.XLOOKUP(C200,Customers!$A$2:$A$1001,Customers!$G$2:$G$1001)</f>
        <v>United States</v>
      </c>
      <c r="I200" t="str" cm="1">
        <f t="array" ref="I200:L200">_xlfn.XLOOKUP(D200,products!$A$2:$A$49,products!$B$2:$E$49)</f>
        <v>Lib</v>
      </c>
      <c r="J200" t="str">
        <v>D</v>
      </c>
      <c r="K200" s="8">
        <v>2.5</v>
      </c>
      <c r="L200" s="6">
        <v>29.784999999999997</v>
      </c>
      <c r="M200" s="7">
        <f t="shared" si="9"/>
        <v>89.35499999999999</v>
      </c>
      <c r="N200" t="str">
        <f t="shared" si="10"/>
        <v>Liberica</v>
      </c>
      <c r="O200" t="str">
        <f t="shared" si="11"/>
        <v>Dark</v>
      </c>
      <c r="P200" t="str">
        <f>_xlfn.XLOOKUP(Orders!C200,Customers!$A$2:$A$1001,Customers!$I$2:$I$1001)</f>
        <v>No</v>
      </c>
    </row>
    <row r="201" spans="1:16" x14ac:dyDescent="0.3">
      <c r="A201" t="s">
        <v>422</v>
      </c>
      <c r="B201" s="11">
        <v>44339</v>
      </c>
      <c r="C201" t="s">
        <v>423</v>
      </c>
      <c r="D201" t="s">
        <v>88</v>
      </c>
      <c r="E201">
        <v>4</v>
      </c>
      <c r="F201" t="str">
        <f>_xlfn.XLOOKUP(C201,Customers!$A$2:$A$1001,Customers!$B$2:$B$1001)</f>
        <v>Nealson Cuttler</v>
      </c>
      <c r="G201" t="str">
        <f>_xlfn.XLOOKUP(C201,Customers!$A$2:$A$1001,Customers!$C$2:$C$1001)</f>
        <v>ncuttler5g@parallels.com</v>
      </c>
      <c r="H201" t="str">
        <f>_xlfn.XLOOKUP(C201,Customers!$A$2:$A$1001,Customers!$G$2:$G$1001)</f>
        <v>United States</v>
      </c>
      <c r="I201" t="str" cm="1">
        <f t="array" ref="I201:L201">_xlfn.XLOOKUP(D201,products!$A$2:$A$49,products!$B$2:$E$49)</f>
        <v>Lib</v>
      </c>
      <c r="J201" t="str">
        <v>L</v>
      </c>
      <c r="K201" s="8">
        <v>0.5</v>
      </c>
      <c r="L201" s="6">
        <v>9.51</v>
      </c>
      <c r="M201" s="7">
        <f t="shared" si="9"/>
        <v>38.04</v>
      </c>
      <c r="N201" t="str">
        <f t="shared" si="10"/>
        <v>Liberica</v>
      </c>
      <c r="O201" t="str">
        <f t="shared" si="11"/>
        <v>Lite</v>
      </c>
      <c r="P201" t="str">
        <f>_xlfn.XLOOKUP(Orders!C201,Customers!$A$2:$A$1001,Customers!$I$2:$I$1001)</f>
        <v>No</v>
      </c>
    </row>
    <row r="202" spans="1:16" x14ac:dyDescent="0.3">
      <c r="A202" t="s">
        <v>422</v>
      </c>
      <c r="B202" s="11">
        <v>44339</v>
      </c>
      <c r="C202" t="s">
        <v>423</v>
      </c>
      <c r="D202" t="s">
        <v>14</v>
      </c>
      <c r="E202">
        <v>3</v>
      </c>
      <c r="F202" t="str">
        <f>_xlfn.XLOOKUP(C202,Customers!$A$2:$A$1001,Customers!$B$2:$B$1001)</f>
        <v>Nealson Cuttler</v>
      </c>
      <c r="G202" t="str">
        <f>_xlfn.XLOOKUP(C202,Customers!$A$2:$A$1001,Customers!$C$2:$C$1001)</f>
        <v>ncuttler5g@parallels.com</v>
      </c>
      <c r="H202" t="str">
        <f>_xlfn.XLOOKUP(C202,Customers!$A$2:$A$1001,Customers!$G$2:$G$1001)</f>
        <v>United States</v>
      </c>
      <c r="I202" t="str" cm="1">
        <f t="array" ref="I202:L202">_xlfn.XLOOKUP(D202,products!$A$2:$A$49,products!$B$2:$E$49)</f>
        <v>Exc</v>
      </c>
      <c r="J202" t="str">
        <v>M</v>
      </c>
      <c r="K202" s="8">
        <v>1</v>
      </c>
      <c r="L202" s="6">
        <v>13.75</v>
      </c>
      <c r="M202" s="7">
        <f t="shared" si="9"/>
        <v>41.25</v>
      </c>
      <c r="N202" t="str">
        <f t="shared" si="10"/>
        <v>Excelsa</v>
      </c>
      <c r="O202" t="str">
        <f t="shared" si="11"/>
        <v>Medium</v>
      </c>
      <c r="P202" t="str">
        <f>_xlfn.XLOOKUP(Orders!C202,Customers!$A$2:$A$1001,Customers!$I$2:$I$1001)</f>
        <v>No</v>
      </c>
    </row>
    <row r="203" spans="1:16" x14ac:dyDescent="0.3">
      <c r="A203" t="s">
        <v>424</v>
      </c>
      <c r="B203" s="11">
        <v>44294</v>
      </c>
      <c r="C203" t="s">
        <v>425</v>
      </c>
      <c r="D203" t="s">
        <v>88</v>
      </c>
      <c r="E203">
        <v>6</v>
      </c>
      <c r="F203" t="str">
        <f>_xlfn.XLOOKUP(C203,Customers!$A$2:$A$1001,Customers!$B$2:$B$1001)</f>
        <v>Adriana Lazarus</v>
      </c>
      <c r="G203">
        <f>_xlfn.XLOOKUP(C203,Customers!$A$2:$A$1001,Customers!$C$2:$C$1001)</f>
        <v>0</v>
      </c>
      <c r="H203" t="str">
        <f>_xlfn.XLOOKUP(C203,Customers!$A$2:$A$1001,Customers!$G$2:$G$1001)</f>
        <v>United States</v>
      </c>
      <c r="I203" t="str" cm="1">
        <f t="array" ref="I203:L203">_xlfn.XLOOKUP(D203,products!$A$2:$A$49,products!$B$2:$E$49)</f>
        <v>Lib</v>
      </c>
      <c r="J203" t="str">
        <v>L</v>
      </c>
      <c r="K203" s="8">
        <v>0.5</v>
      </c>
      <c r="L203" s="6">
        <v>9.51</v>
      </c>
      <c r="M203" s="7">
        <f t="shared" si="9"/>
        <v>57.06</v>
      </c>
      <c r="N203" t="str">
        <f t="shared" si="10"/>
        <v>Liberica</v>
      </c>
      <c r="O203" t="str">
        <f t="shared" si="11"/>
        <v>Lite</v>
      </c>
      <c r="P203" t="str">
        <f>_xlfn.XLOOKUP(Orders!C203,Customers!$A$2:$A$1001,Customers!$I$2:$I$1001)</f>
        <v>No</v>
      </c>
    </row>
    <row r="204" spans="1:16" x14ac:dyDescent="0.3">
      <c r="A204" t="s">
        <v>426</v>
      </c>
      <c r="B204" s="11">
        <v>44486</v>
      </c>
      <c r="C204" t="s">
        <v>427</v>
      </c>
      <c r="D204" t="s">
        <v>114</v>
      </c>
      <c r="E204">
        <v>6</v>
      </c>
      <c r="F204" t="str">
        <f>_xlfn.XLOOKUP(C204,Customers!$A$2:$A$1001,Customers!$B$2:$B$1001)</f>
        <v>Tallie felip</v>
      </c>
      <c r="G204" t="str">
        <f>_xlfn.XLOOKUP(C204,Customers!$A$2:$A$1001,Customers!$C$2:$C$1001)</f>
        <v>tfelip5m@typepad.com</v>
      </c>
      <c r="H204" t="str">
        <f>_xlfn.XLOOKUP(C204,Customers!$A$2:$A$1001,Customers!$G$2:$G$1001)</f>
        <v>United States</v>
      </c>
      <c r="I204" t="str" cm="1">
        <f t="array" ref="I204:L204">_xlfn.XLOOKUP(D204,products!$A$2:$A$49,products!$B$2:$E$49)</f>
        <v>Lib</v>
      </c>
      <c r="J204" t="str">
        <v>D</v>
      </c>
      <c r="K204" s="8">
        <v>2.5</v>
      </c>
      <c r="L204" s="6">
        <v>29.784999999999997</v>
      </c>
      <c r="M204" s="7">
        <f t="shared" si="9"/>
        <v>178.70999999999998</v>
      </c>
      <c r="N204" t="str">
        <f t="shared" si="10"/>
        <v>Liberica</v>
      </c>
      <c r="O204" t="str">
        <f t="shared" si="11"/>
        <v>Dark</v>
      </c>
      <c r="P204" t="str">
        <f>_xlfn.XLOOKUP(Orders!C204,Customers!$A$2:$A$1001,Customers!$I$2:$I$1001)</f>
        <v>Yes</v>
      </c>
    </row>
    <row r="205" spans="1:16" x14ac:dyDescent="0.3">
      <c r="A205" t="s">
        <v>428</v>
      </c>
      <c r="B205" s="11">
        <v>44608</v>
      </c>
      <c r="C205" t="s">
        <v>429</v>
      </c>
      <c r="D205" t="s">
        <v>24</v>
      </c>
      <c r="E205">
        <v>1</v>
      </c>
      <c r="F205" t="str">
        <f>_xlfn.XLOOKUP(C205,Customers!$A$2:$A$1001,Customers!$B$2:$B$1001)</f>
        <v>Vanna Le - Count</v>
      </c>
      <c r="G205" t="str">
        <f>_xlfn.XLOOKUP(C205,Customers!$A$2:$A$1001,Customers!$C$2:$C$1001)</f>
        <v>vle5n@disqus.com</v>
      </c>
      <c r="H205" t="str">
        <f>_xlfn.XLOOKUP(C205,Customers!$A$2:$A$1001,Customers!$G$2:$G$1001)</f>
        <v>United States</v>
      </c>
      <c r="I205" t="str" cm="1">
        <f t="array" ref="I205:L205">_xlfn.XLOOKUP(D205,products!$A$2:$A$49,products!$B$2:$E$49)</f>
        <v>Lib</v>
      </c>
      <c r="J205" t="str">
        <v>L</v>
      </c>
      <c r="K205" s="8">
        <v>0.2</v>
      </c>
      <c r="L205" s="6">
        <v>4.7549999999999999</v>
      </c>
      <c r="M205" s="7">
        <f t="shared" si="9"/>
        <v>4.7549999999999999</v>
      </c>
      <c r="N205" t="str">
        <f t="shared" si="10"/>
        <v>Liberica</v>
      </c>
      <c r="O205" t="str">
        <f t="shared" si="11"/>
        <v>Lite</v>
      </c>
      <c r="P205" t="str">
        <f>_xlfn.XLOOKUP(Orders!C205,Customers!$A$2:$A$1001,Customers!$I$2:$I$1001)</f>
        <v>No</v>
      </c>
    </row>
    <row r="206" spans="1:16" x14ac:dyDescent="0.3">
      <c r="A206" t="s">
        <v>430</v>
      </c>
      <c r="B206" s="11">
        <v>44027</v>
      </c>
      <c r="C206" t="s">
        <v>431</v>
      </c>
      <c r="D206" t="s">
        <v>14</v>
      </c>
      <c r="E206">
        <v>6</v>
      </c>
      <c r="F206" t="str">
        <f>_xlfn.XLOOKUP(C206,Customers!$A$2:$A$1001,Customers!$B$2:$B$1001)</f>
        <v>Sarette Ducarel</v>
      </c>
      <c r="G206">
        <f>_xlfn.XLOOKUP(C206,Customers!$A$2:$A$1001,Customers!$C$2:$C$1001)</f>
        <v>0</v>
      </c>
      <c r="H206" t="str">
        <f>_xlfn.XLOOKUP(C206,Customers!$A$2:$A$1001,Customers!$G$2:$G$1001)</f>
        <v>United States</v>
      </c>
      <c r="I206" t="str" cm="1">
        <f t="array" ref="I206:L206">_xlfn.XLOOKUP(D206,products!$A$2:$A$49,products!$B$2:$E$49)</f>
        <v>Exc</v>
      </c>
      <c r="J206" t="str">
        <v>M</v>
      </c>
      <c r="K206" s="8">
        <v>1</v>
      </c>
      <c r="L206" s="6">
        <v>13.75</v>
      </c>
      <c r="M206" s="7">
        <f t="shared" si="9"/>
        <v>82.5</v>
      </c>
      <c r="N206" t="str">
        <f t="shared" si="10"/>
        <v>Excelsa</v>
      </c>
      <c r="O206" t="str">
        <f t="shared" si="11"/>
        <v>Medium</v>
      </c>
      <c r="P206" t="str">
        <f>_xlfn.XLOOKUP(Orders!C206,Customers!$A$2:$A$1001,Customers!$I$2:$I$1001)</f>
        <v>No</v>
      </c>
    </row>
    <row r="207" spans="1:16" x14ac:dyDescent="0.3">
      <c r="A207" t="s">
        <v>432</v>
      </c>
      <c r="B207" s="11">
        <v>43883</v>
      </c>
      <c r="C207" t="s">
        <v>433</v>
      </c>
      <c r="D207" t="s">
        <v>106</v>
      </c>
      <c r="E207">
        <v>3</v>
      </c>
      <c r="F207" t="str">
        <f>_xlfn.XLOOKUP(C207,Customers!$A$2:$A$1001,Customers!$B$2:$B$1001)</f>
        <v>Kendra Glison</v>
      </c>
      <c r="G207">
        <f>_xlfn.XLOOKUP(C207,Customers!$A$2:$A$1001,Customers!$C$2:$C$1001)</f>
        <v>0</v>
      </c>
      <c r="H207" t="str">
        <f>_xlfn.XLOOKUP(C207,Customers!$A$2:$A$1001,Customers!$G$2:$G$1001)</f>
        <v>United States</v>
      </c>
      <c r="I207" t="str" cm="1">
        <f t="array" ref="I207:L207">_xlfn.XLOOKUP(D207,products!$A$2:$A$49,products!$B$2:$E$49)</f>
        <v>Rob</v>
      </c>
      <c r="J207" t="str">
        <v>D</v>
      </c>
      <c r="K207" s="8">
        <v>0.2</v>
      </c>
      <c r="L207" s="6">
        <v>2.6849999999999996</v>
      </c>
      <c r="M207" s="7">
        <f t="shared" si="9"/>
        <v>8.0549999999999997</v>
      </c>
      <c r="N207" t="str">
        <f t="shared" si="10"/>
        <v>Robusta</v>
      </c>
      <c r="O207" t="str">
        <f t="shared" si="11"/>
        <v>Dark</v>
      </c>
      <c r="P207" t="str">
        <f>_xlfn.XLOOKUP(Orders!C207,Customers!$A$2:$A$1001,Customers!$I$2:$I$1001)</f>
        <v>Yes</v>
      </c>
    </row>
    <row r="208" spans="1:16" x14ac:dyDescent="0.3">
      <c r="A208" t="s">
        <v>434</v>
      </c>
      <c r="B208" s="11">
        <v>44211</v>
      </c>
      <c r="C208" t="s">
        <v>435</v>
      </c>
      <c r="D208" t="s">
        <v>66</v>
      </c>
      <c r="E208">
        <v>2</v>
      </c>
      <c r="F208" t="str">
        <f>_xlfn.XLOOKUP(C208,Customers!$A$2:$A$1001,Customers!$B$2:$B$1001)</f>
        <v>Nertie Poolman</v>
      </c>
      <c r="G208" t="str">
        <f>_xlfn.XLOOKUP(C208,Customers!$A$2:$A$1001,Customers!$C$2:$C$1001)</f>
        <v>npoolman5q@howstuffworks.com</v>
      </c>
      <c r="H208" t="str">
        <f>_xlfn.XLOOKUP(C208,Customers!$A$2:$A$1001,Customers!$G$2:$G$1001)</f>
        <v>United States</v>
      </c>
      <c r="I208" t="str" cm="1">
        <f t="array" ref="I208:L208">_xlfn.XLOOKUP(D208,products!$A$2:$A$49,products!$B$2:$E$49)</f>
        <v>Ara</v>
      </c>
      <c r="J208" t="str">
        <v>M</v>
      </c>
      <c r="K208" s="8">
        <v>1</v>
      </c>
      <c r="L208" s="6">
        <v>11.25</v>
      </c>
      <c r="M208" s="7">
        <f t="shared" si="9"/>
        <v>22.5</v>
      </c>
      <c r="N208" t="str">
        <f t="shared" si="10"/>
        <v>Arasbica</v>
      </c>
      <c r="O208" t="str">
        <f t="shared" si="11"/>
        <v>Medium</v>
      </c>
      <c r="P208" t="str">
        <f>_xlfn.XLOOKUP(Orders!C208,Customers!$A$2:$A$1001,Customers!$I$2:$I$1001)</f>
        <v>No</v>
      </c>
    </row>
    <row r="209" spans="1:16" x14ac:dyDescent="0.3">
      <c r="A209" t="s">
        <v>436</v>
      </c>
      <c r="B209" s="11">
        <v>44207</v>
      </c>
      <c r="C209" t="s">
        <v>437</v>
      </c>
      <c r="D209" t="s">
        <v>72</v>
      </c>
      <c r="E209">
        <v>6</v>
      </c>
      <c r="F209" t="str">
        <f>_xlfn.XLOOKUP(C209,Customers!$A$2:$A$1001,Customers!$B$2:$B$1001)</f>
        <v>Orbadiah Duny</v>
      </c>
      <c r="G209" t="str">
        <f>_xlfn.XLOOKUP(C209,Customers!$A$2:$A$1001,Customers!$C$2:$C$1001)</f>
        <v>oduny5r@constantcontact.com</v>
      </c>
      <c r="H209" t="str">
        <f>_xlfn.XLOOKUP(C209,Customers!$A$2:$A$1001,Customers!$G$2:$G$1001)</f>
        <v>United States</v>
      </c>
      <c r="I209" t="str" cm="1">
        <f t="array" ref="I209:L209">_xlfn.XLOOKUP(D209,products!$A$2:$A$49,products!$B$2:$E$49)</f>
        <v>Ara</v>
      </c>
      <c r="J209" t="str">
        <v>M</v>
      </c>
      <c r="K209" s="8">
        <v>0.5</v>
      </c>
      <c r="L209" s="6">
        <v>6.75</v>
      </c>
      <c r="M209" s="7">
        <f t="shared" si="9"/>
        <v>40.5</v>
      </c>
      <c r="N209" t="str">
        <f t="shared" si="10"/>
        <v>Arasbica</v>
      </c>
      <c r="O209" t="str">
        <f t="shared" si="11"/>
        <v>Medium</v>
      </c>
      <c r="P209" t="str">
        <f>_xlfn.XLOOKUP(Orders!C209,Customers!$A$2:$A$1001,Customers!$I$2:$I$1001)</f>
        <v>Yes</v>
      </c>
    </row>
    <row r="210" spans="1:16" x14ac:dyDescent="0.3">
      <c r="A210" t="s">
        <v>438</v>
      </c>
      <c r="B210" s="11">
        <v>44659</v>
      </c>
      <c r="C210" t="s">
        <v>439</v>
      </c>
      <c r="D210" t="s">
        <v>21</v>
      </c>
      <c r="E210">
        <v>4</v>
      </c>
      <c r="F210" t="str">
        <f>_xlfn.XLOOKUP(C210,Customers!$A$2:$A$1001,Customers!$B$2:$B$1001)</f>
        <v>Constance Halfhide</v>
      </c>
      <c r="G210" t="str">
        <f>_xlfn.XLOOKUP(C210,Customers!$A$2:$A$1001,Customers!$C$2:$C$1001)</f>
        <v>chalfhide5s@google.ru</v>
      </c>
      <c r="H210" t="str">
        <f>_xlfn.XLOOKUP(C210,Customers!$A$2:$A$1001,Customers!$G$2:$G$1001)</f>
        <v>Ireland</v>
      </c>
      <c r="I210" t="str" cm="1">
        <f t="array" ref="I210:L210">_xlfn.XLOOKUP(D210,products!$A$2:$A$49,products!$B$2:$E$49)</f>
        <v>Exc</v>
      </c>
      <c r="J210" t="str">
        <v>D</v>
      </c>
      <c r="K210" s="8">
        <v>0.5</v>
      </c>
      <c r="L210" s="6">
        <v>7.29</v>
      </c>
      <c r="M210" s="7">
        <f t="shared" si="9"/>
        <v>29.16</v>
      </c>
      <c r="N210" t="str">
        <f t="shared" si="10"/>
        <v>Excelsa</v>
      </c>
      <c r="O210" t="str">
        <f t="shared" si="11"/>
        <v>Dark</v>
      </c>
      <c r="P210" t="str">
        <f>_xlfn.XLOOKUP(Orders!C210,Customers!$A$2:$A$1001,Customers!$I$2:$I$1001)</f>
        <v>Yes</v>
      </c>
    </row>
    <row r="211" spans="1:16" x14ac:dyDescent="0.3">
      <c r="A211" t="s">
        <v>440</v>
      </c>
      <c r="B211" s="11">
        <v>44105</v>
      </c>
      <c r="C211" t="s">
        <v>441</v>
      </c>
      <c r="D211" t="s">
        <v>72</v>
      </c>
      <c r="E211">
        <v>1</v>
      </c>
      <c r="F211" t="str">
        <f>_xlfn.XLOOKUP(C211,Customers!$A$2:$A$1001,Customers!$B$2:$B$1001)</f>
        <v>Fransisco Malecky</v>
      </c>
      <c r="G211" t="str">
        <f>_xlfn.XLOOKUP(C211,Customers!$A$2:$A$1001,Customers!$C$2:$C$1001)</f>
        <v>fmalecky5t@list-manage.com</v>
      </c>
      <c r="H211" t="str">
        <f>_xlfn.XLOOKUP(C211,Customers!$A$2:$A$1001,Customers!$G$2:$G$1001)</f>
        <v>United Kingdom</v>
      </c>
      <c r="I211" t="str" cm="1">
        <f t="array" ref="I211:L211">_xlfn.XLOOKUP(D211,products!$A$2:$A$49,products!$B$2:$E$49)</f>
        <v>Ara</v>
      </c>
      <c r="J211" t="str">
        <v>M</v>
      </c>
      <c r="K211" s="8">
        <v>0.5</v>
      </c>
      <c r="L211" s="6">
        <v>6.75</v>
      </c>
      <c r="M211" s="7">
        <f t="shared" si="9"/>
        <v>6.75</v>
      </c>
      <c r="N211" t="str">
        <f t="shared" si="10"/>
        <v>Arasbica</v>
      </c>
      <c r="O211" t="str">
        <f t="shared" si="11"/>
        <v>Medium</v>
      </c>
      <c r="P211" t="str">
        <f>_xlfn.XLOOKUP(Orders!C211,Customers!$A$2:$A$1001,Customers!$I$2:$I$1001)</f>
        <v>No</v>
      </c>
    </row>
    <row r="212" spans="1:16" x14ac:dyDescent="0.3">
      <c r="A212" t="s">
        <v>442</v>
      </c>
      <c r="B212" s="11">
        <v>43766</v>
      </c>
      <c r="C212" t="s">
        <v>443</v>
      </c>
      <c r="D212" t="s">
        <v>18</v>
      </c>
      <c r="E212">
        <v>4</v>
      </c>
      <c r="F212" t="str">
        <f>_xlfn.XLOOKUP(C212,Customers!$A$2:$A$1001,Customers!$B$2:$B$1001)</f>
        <v>Anselma Attwater</v>
      </c>
      <c r="G212" t="str">
        <f>_xlfn.XLOOKUP(C212,Customers!$A$2:$A$1001,Customers!$C$2:$C$1001)</f>
        <v>aattwater5u@wikia.com</v>
      </c>
      <c r="H212" t="str">
        <f>_xlfn.XLOOKUP(C212,Customers!$A$2:$A$1001,Customers!$G$2:$G$1001)</f>
        <v>United States</v>
      </c>
      <c r="I212" t="str" cm="1">
        <f t="array" ref="I212:L212">_xlfn.XLOOKUP(D212,products!$A$2:$A$49,products!$B$2:$E$49)</f>
        <v>Lib</v>
      </c>
      <c r="J212" t="str">
        <v>D</v>
      </c>
      <c r="K212" s="8">
        <v>1</v>
      </c>
      <c r="L212" s="6">
        <v>12.95</v>
      </c>
      <c r="M212" s="7">
        <f t="shared" si="9"/>
        <v>51.8</v>
      </c>
      <c r="N212" t="str">
        <f t="shared" si="10"/>
        <v>Liberica</v>
      </c>
      <c r="O212" t="str">
        <f t="shared" si="11"/>
        <v>Dark</v>
      </c>
      <c r="P212" t="str">
        <f>_xlfn.XLOOKUP(Orders!C212,Customers!$A$2:$A$1001,Customers!$I$2:$I$1001)</f>
        <v>Yes</v>
      </c>
    </row>
    <row r="213" spans="1:16" x14ac:dyDescent="0.3">
      <c r="A213" t="s">
        <v>444</v>
      </c>
      <c r="B213" s="11">
        <v>44283</v>
      </c>
      <c r="C213" t="s">
        <v>445</v>
      </c>
      <c r="D213" t="s">
        <v>181</v>
      </c>
      <c r="E213">
        <v>6</v>
      </c>
      <c r="F213" t="str">
        <f>_xlfn.XLOOKUP(C213,Customers!$A$2:$A$1001,Customers!$B$2:$B$1001)</f>
        <v>Minette Whellans</v>
      </c>
      <c r="G213" t="str">
        <f>_xlfn.XLOOKUP(C213,Customers!$A$2:$A$1001,Customers!$C$2:$C$1001)</f>
        <v>mwhellans5v@mapquest.com</v>
      </c>
      <c r="H213" t="str">
        <f>_xlfn.XLOOKUP(C213,Customers!$A$2:$A$1001,Customers!$G$2:$G$1001)</f>
        <v>United States</v>
      </c>
      <c r="I213" t="str" cm="1">
        <f t="array" ref="I213:L213">_xlfn.XLOOKUP(D213,products!$A$2:$A$49,products!$B$2:$E$49)</f>
        <v>Exc</v>
      </c>
      <c r="J213" t="str">
        <v>L</v>
      </c>
      <c r="K213" s="8">
        <v>0.5</v>
      </c>
      <c r="L213" s="6">
        <v>8.91</v>
      </c>
      <c r="M213" s="7">
        <f t="shared" si="9"/>
        <v>53.46</v>
      </c>
      <c r="N213" t="str">
        <f t="shared" si="10"/>
        <v>Excelsa</v>
      </c>
      <c r="O213" t="str">
        <f t="shared" si="11"/>
        <v>Lite</v>
      </c>
      <c r="P213" t="str">
        <f>_xlfn.XLOOKUP(Orders!C213,Customers!$A$2:$A$1001,Customers!$I$2:$I$1001)</f>
        <v>No</v>
      </c>
    </row>
    <row r="214" spans="1:16" x14ac:dyDescent="0.3">
      <c r="A214" t="s">
        <v>446</v>
      </c>
      <c r="B214" s="11">
        <v>43921</v>
      </c>
      <c r="C214" t="s">
        <v>447</v>
      </c>
      <c r="D214" t="s">
        <v>56</v>
      </c>
      <c r="E214">
        <v>4</v>
      </c>
      <c r="F214" t="str">
        <f>_xlfn.XLOOKUP(C214,Customers!$A$2:$A$1001,Customers!$B$2:$B$1001)</f>
        <v>Dael Camilletti</v>
      </c>
      <c r="G214" t="str">
        <f>_xlfn.XLOOKUP(C214,Customers!$A$2:$A$1001,Customers!$C$2:$C$1001)</f>
        <v>dcamilletti5w@businesswire.com</v>
      </c>
      <c r="H214" t="str">
        <f>_xlfn.XLOOKUP(C214,Customers!$A$2:$A$1001,Customers!$G$2:$G$1001)</f>
        <v>United States</v>
      </c>
      <c r="I214" t="str" cm="1">
        <f t="array" ref="I214:L214">_xlfn.XLOOKUP(D214,products!$A$2:$A$49,products!$B$2:$E$49)</f>
        <v>Exc</v>
      </c>
      <c r="J214" t="str">
        <v>D</v>
      </c>
      <c r="K214" s="8">
        <v>0.2</v>
      </c>
      <c r="L214" s="6">
        <v>3.645</v>
      </c>
      <c r="M214" s="7">
        <f t="shared" si="9"/>
        <v>14.58</v>
      </c>
      <c r="N214" t="str">
        <f t="shared" si="10"/>
        <v>Excelsa</v>
      </c>
      <c r="O214" t="str">
        <f t="shared" si="11"/>
        <v>Dark</v>
      </c>
      <c r="P214" t="str">
        <f>_xlfn.XLOOKUP(Orders!C214,Customers!$A$2:$A$1001,Customers!$I$2:$I$1001)</f>
        <v>Yes</v>
      </c>
    </row>
    <row r="215" spans="1:16" x14ac:dyDescent="0.3">
      <c r="A215" t="s">
        <v>448</v>
      </c>
      <c r="B215" s="11">
        <v>44646</v>
      </c>
      <c r="C215" t="s">
        <v>449</v>
      </c>
      <c r="D215" t="s">
        <v>40</v>
      </c>
      <c r="E215">
        <v>1</v>
      </c>
      <c r="F215" t="str">
        <f>_xlfn.XLOOKUP(C215,Customers!$A$2:$A$1001,Customers!$B$2:$B$1001)</f>
        <v>Emiline Galgey</v>
      </c>
      <c r="G215" t="str">
        <f>_xlfn.XLOOKUP(C215,Customers!$A$2:$A$1001,Customers!$C$2:$C$1001)</f>
        <v>egalgey5x@wufoo.com</v>
      </c>
      <c r="H215" t="str">
        <f>_xlfn.XLOOKUP(C215,Customers!$A$2:$A$1001,Customers!$G$2:$G$1001)</f>
        <v>United States</v>
      </c>
      <c r="I215" t="str" cm="1">
        <f t="array" ref="I215:L215">_xlfn.XLOOKUP(D215,products!$A$2:$A$49,products!$B$2:$E$49)</f>
        <v>Rob</v>
      </c>
      <c r="J215" t="str">
        <v>D</v>
      </c>
      <c r="K215" s="8">
        <v>2.5</v>
      </c>
      <c r="L215" s="6">
        <v>20.584999999999997</v>
      </c>
      <c r="M215" s="7">
        <f t="shared" si="9"/>
        <v>20.584999999999997</v>
      </c>
      <c r="N215" t="str">
        <f t="shared" si="10"/>
        <v>Robusta</v>
      </c>
      <c r="O215" t="str">
        <f t="shared" si="11"/>
        <v>Dark</v>
      </c>
      <c r="P215" t="str">
        <f>_xlfn.XLOOKUP(Orders!C215,Customers!$A$2:$A$1001,Customers!$I$2:$I$1001)</f>
        <v>No</v>
      </c>
    </row>
    <row r="216" spans="1:16" x14ac:dyDescent="0.3">
      <c r="A216" t="s">
        <v>450</v>
      </c>
      <c r="B216" s="11">
        <v>43775</v>
      </c>
      <c r="C216" t="s">
        <v>451</v>
      </c>
      <c r="D216" t="s">
        <v>137</v>
      </c>
      <c r="E216">
        <v>2</v>
      </c>
      <c r="F216" t="str">
        <f>_xlfn.XLOOKUP(C216,Customers!$A$2:$A$1001,Customers!$B$2:$B$1001)</f>
        <v>Murdock Hame</v>
      </c>
      <c r="G216" t="str">
        <f>_xlfn.XLOOKUP(C216,Customers!$A$2:$A$1001,Customers!$C$2:$C$1001)</f>
        <v>mhame5y@newsvine.com</v>
      </c>
      <c r="H216" t="str">
        <f>_xlfn.XLOOKUP(C216,Customers!$A$2:$A$1001,Customers!$G$2:$G$1001)</f>
        <v>Ireland</v>
      </c>
      <c r="I216" t="str" cm="1">
        <f t="array" ref="I216:L216">_xlfn.XLOOKUP(D216,products!$A$2:$A$49,products!$B$2:$E$49)</f>
        <v>Lib</v>
      </c>
      <c r="J216" t="str">
        <v>L</v>
      </c>
      <c r="K216" s="8">
        <v>1</v>
      </c>
      <c r="L216" s="6">
        <v>15.85</v>
      </c>
      <c r="M216" s="7">
        <f t="shared" si="9"/>
        <v>31.7</v>
      </c>
      <c r="N216" t="str">
        <f t="shared" si="10"/>
        <v>Liberica</v>
      </c>
      <c r="O216" t="str">
        <f t="shared" si="11"/>
        <v>Lite</v>
      </c>
      <c r="P216" t="str">
        <f>_xlfn.XLOOKUP(Orders!C216,Customers!$A$2:$A$1001,Customers!$I$2:$I$1001)</f>
        <v>No</v>
      </c>
    </row>
    <row r="217" spans="1:16" x14ac:dyDescent="0.3">
      <c r="A217" t="s">
        <v>452</v>
      </c>
      <c r="B217" s="11">
        <v>43829</v>
      </c>
      <c r="C217" t="s">
        <v>453</v>
      </c>
      <c r="D217" t="s">
        <v>43</v>
      </c>
      <c r="E217">
        <v>6</v>
      </c>
      <c r="F217" t="str">
        <f>_xlfn.XLOOKUP(C217,Customers!$A$2:$A$1001,Customers!$B$2:$B$1001)</f>
        <v>Ilka Gurnee</v>
      </c>
      <c r="G217" t="str">
        <f>_xlfn.XLOOKUP(C217,Customers!$A$2:$A$1001,Customers!$C$2:$C$1001)</f>
        <v>igurnee5z@usnews.com</v>
      </c>
      <c r="H217" t="str">
        <f>_xlfn.XLOOKUP(C217,Customers!$A$2:$A$1001,Customers!$G$2:$G$1001)</f>
        <v>United States</v>
      </c>
      <c r="I217" t="str" cm="1">
        <f t="array" ref="I217:L217">_xlfn.XLOOKUP(D217,products!$A$2:$A$49,products!$B$2:$E$49)</f>
        <v>Lib</v>
      </c>
      <c r="J217" t="str">
        <v>D</v>
      </c>
      <c r="K217" s="8">
        <v>0.2</v>
      </c>
      <c r="L217" s="6">
        <v>3.8849999999999998</v>
      </c>
      <c r="M217" s="7">
        <f t="shared" si="9"/>
        <v>23.31</v>
      </c>
      <c r="N217" t="str">
        <f t="shared" si="10"/>
        <v>Liberica</v>
      </c>
      <c r="O217" t="str">
        <f t="shared" si="11"/>
        <v>Dark</v>
      </c>
      <c r="P217" t="str">
        <f>_xlfn.XLOOKUP(Orders!C217,Customers!$A$2:$A$1001,Customers!$I$2:$I$1001)</f>
        <v>No</v>
      </c>
    </row>
    <row r="218" spans="1:16" x14ac:dyDescent="0.3">
      <c r="A218" t="s">
        <v>454</v>
      </c>
      <c r="B218" s="11">
        <v>44470</v>
      </c>
      <c r="C218" t="s">
        <v>455</v>
      </c>
      <c r="D218" t="s">
        <v>101</v>
      </c>
      <c r="E218">
        <v>4</v>
      </c>
      <c r="F218" t="str">
        <f>_xlfn.XLOOKUP(C218,Customers!$A$2:$A$1001,Customers!$B$2:$B$1001)</f>
        <v>Alfy Snowding</v>
      </c>
      <c r="G218" t="str">
        <f>_xlfn.XLOOKUP(C218,Customers!$A$2:$A$1001,Customers!$C$2:$C$1001)</f>
        <v>asnowding60@comsenz.com</v>
      </c>
      <c r="H218" t="str">
        <f>_xlfn.XLOOKUP(C218,Customers!$A$2:$A$1001,Customers!$G$2:$G$1001)</f>
        <v>United States</v>
      </c>
      <c r="I218" t="str" cm="1">
        <f t="array" ref="I218:L218">_xlfn.XLOOKUP(D218,products!$A$2:$A$49,products!$B$2:$E$49)</f>
        <v>Lib</v>
      </c>
      <c r="J218" t="str">
        <v>M</v>
      </c>
      <c r="K218" s="8">
        <v>1</v>
      </c>
      <c r="L218" s="6">
        <v>14.55</v>
      </c>
      <c r="M218" s="7">
        <f t="shared" si="9"/>
        <v>58.2</v>
      </c>
      <c r="N218" t="str">
        <f t="shared" si="10"/>
        <v>Liberica</v>
      </c>
      <c r="O218" t="str">
        <f t="shared" si="11"/>
        <v>Medium</v>
      </c>
      <c r="P218" t="str">
        <f>_xlfn.XLOOKUP(Orders!C218,Customers!$A$2:$A$1001,Customers!$I$2:$I$1001)</f>
        <v>Yes</v>
      </c>
    </row>
    <row r="219" spans="1:16" x14ac:dyDescent="0.3">
      <c r="A219" t="s">
        <v>456</v>
      </c>
      <c r="B219" s="11">
        <v>44174</v>
      </c>
      <c r="C219" t="s">
        <v>457</v>
      </c>
      <c r="D219" t="s">
        <v>181</v>
      </c>
      <c r="E219">
        <v>4</v>
      </c>
      <c r="F219" t="str">
        <f>_xlfn.XLOOKUP(C219,Customers!$A$2:$A$1001,Customers!$B$2:$B$1001)</f>
        <v>Godfry Poinsett</v>
      </c>
      <c r="G219" t="str">
        <f>_xlfn.XLOOKUP(C219,Customers!$A$2:$A$1001,Customers!$C$2:$C$1001)</f>
        <v>gpoinsett61@berkeley.edu</v>
      </c>
      <c r="H219" t="str">
        <f>_xlfn.XLOOKUP(C219,Customers!$A$2:$A$1001,Customers!$G$2:$G$1001)</f>
        <v>United States</v>
      </c>
      <c r="I219" t="str" cm="1">
        <f t="array" ref="I219:L219">_xlfn.XLOOKUP(D219,products!$A$2:$A$49,products!$B$2:$E$49)</f>
        <v>Exc</v>
      </c>
      <c r="J219" t="str">
        <v>L</v>
      </c>
      <c r="K219" s="8">
        <v>0.5</v>
      </c>
      <c r="L219" s="6">
        <v>8.91</v>
      </c>
      <c r="M219" s="7">
        <f t="shared" si="9"/>
        <v>35.64</v>
      </c>
      <c r="N219" t="str">
        <f t="shared" si="10"/>
        <v>Excelsa</v>
      </c>
      <c r="O219" t="str">
        <f t="shared" si="11"/>
        <v>Lite</v>
      </c>
      <c r="P219" t="str">
        <f>_xlfn.XLOOKUP(Orders!C219,Customers!$A$2:$A$1001,Customers!$I$2:$I$1001)</f>
        <v>No</v>
      </c>
    </row>
    <row r="220" spans="1:16" x14ac:dyDescent="0.3">
      <c r="A220" t="s">
        <v>458</v>
      </c>
      <c r="B220" s="11">
        <v>44317</v>
      </c>
      <c r="C220" t="s">
        <v>459</v>
      </c>
      <c r="D220" t="s">
        <v>66</v>
      </c>
      <c r="E220">
        <v>5</v>
      </c>
      <c r="F220" t="str">
        <f>_xlfn.XLOOKUP(C220,Customers!$A$2:$A$1001,Customers!$B$2:$B$1001)</f>
        <v>Rem Furman</v>
      </c>
      <c r="G220" t="str">
        <f>_xlfn.XLOOKUP(C220,Customers!$A$2:$A$1001,Customers!$C$2:$C$1001)</f>
        <v>rfurman62@t.co</v>
      </c>
      <c r="H220" t="str">
        <f>_xlfn.XLOOKUP(C220,Customers!$A$2:$A$1001,Customers!$G$2:$G$1001)</f>
        <v>Ireland</v>
      </c>
      <c r="I220" t="str" cm="1">
        <f t="array" ref="I220:L220">_xlfn.XLOOKUP(D220,products!$A$2:$A$49,products!$B$2:$E$49)</f>
        <v>Ara</v>
      </c>
      <c r="J220" t="str">
        <v>M</v>
      </c>
      <c r="K220" s="8">
        <v>1</v>
      </c>
      <c r="L220" s="6">
        <v>11.25</v>
      </c>
      <c r="M220" s="7">
        <f t="shared" si="9"/>
        <v>56.25</v>
      </c>
      <c r="N220" t="str">
        <f t="shared" si="10"/>
        <v>Arasbica</v>
      </c>
      <c r="O220" t="str">
        <f t="shared" si="11"/>
        <v>Medium</v>
      </c>
      <c r="P220" t="str">
        <f>_xlfn.XLOOKUP(Orders!C220,Customers!$A$2:$A$1001,Customers!$I$2:$I$1001)</f>
        <v>Yes</v>
      </c>
    </row>
    <row r="221" spans="1:16" x14ac:dyDescent="0.3">
      <c r="A221" t="s">
        <v>460</v>
      </c>
      <c r="B221" s="11">
        <v>44777</v>
      </c>
      <c r="C221" t="s">
        <v>461</v>
      </c>
      <c r="D221" t="s">
        <v>187</v>
      </c>
      <c r="E221">
        <v>3</v>
      </c>
      <c r="F221" t="str">
        <f>_xlfn.XLOOKUP(C221,Customers!$A$2:$A$1001,Customers!$B$2:$B$1001)</f>
        <v>Charis Crosier</v>
      </c>
      <c r="G221" t="str">
        <f>_xlfn.XLOOKUP(C221,Customers!$A$2:$A$1001,Customers!$C$2:$C$1001)</f>
        <v>ccrosier63@xrea.com</v>
      </c>
      <c r="H221" t="str">
        <f>_xlfn.XLOOKUP(C221,Customers!$A$2:$A$1001,Customers!$G$2:$G$1001)</f>
        <v>United States</v>
      </c>
      <c r="I221" t="str" cm="1">
        <f t="array" ref="I221:L221">_xlfn.XLOOKUP(D221,products!$A$2:$A$49,products!$B$2:$E$49)</f>
        <v>Rob</v>
      </c>
      <c r="J221" t="str">
        <v>L</v>
      </c>
      <c r="K221" s="8">
        <v>0.2</v>
      </c>
      <c r="L221" s="6">
        <v>3.5849999999999995</v>
      </c>
      <c r="M221" s="7">
        <f t="shared" si="9"/>
        <v>10.754999999999999</v>
      </c>
      <c r="N221" t="str">
        <f t="shared" si="10"/>
        <v>Robusta</v>
      </c>
      <c r="O221" t="str">
        <f t="shared" si="11"/>
        <v>Lite</v>
      </c>
      <c r="P221" t="str">
        <f>_xlfn.XLOOKUP(Orders!C221,Customers!$A$2:$A$1001,Customers!$I$2:$I$1001)</f>
        <v>No</v>
      </c>
    </row>
    <row r="222" spans="1:16" x14ac:dyDescent="0.3">
      <c r="A222" t="s">
        <v>460</v>
      </c>
      <c r="B222" s="11">
        <v>44777</v>
      </c>
      <c r="C222" t="s">
        <v>461</v>
      </c>
      <c r="D222" t="s">
        <v>167</v>
      </c>
      <c r="E222">
        <v>5</v>
      </c>
      <c r="F222" t="str">
        <f>_xlfn.XLOOKUP(C222,Customers!$A$2:$A$1001,Customers!$B$2:$B$1001)</f>
        <v>Charis Crosier</v>
      </c>
      <c r="G222" t="str">
        <f>_xlfn.XLOOKUP(C222,Customers!$A$2:$A$1001,Customers!$C$2:$C$1001)</f>
        <v>ccrosier63@xrea.com</v>
      </c>
      <c r="H222" t="str">
        <f>_xlfn.XLOOKUP(C222,Customers!$A$2:$A$1001,Customers!$G$2:$G$1001)</f>
        <v>United States</v>
      </c>
      <c r="I222" t="str" cm="1">
        <f t="array" ref="I222:L222">_xlfn.XLOOKUP(D222,products!$A$2:$A$49,products!$B$2:$E$49)</f>
        <v>Rob</v>
      </c>
      <c r="J222" t="str">
        <v>M</v>
      </c>
      <c r="K222" s="8">
        <v>0.2</v>
      </c>
      <c r="L222" s="6">
        <v>2.9849999999999999</v>
      </c>
      <c r="M222" s="7">
        <f t="shared" si="9"/>
        <v>14.924999999999999</v>
      </c>
      <c r="N222" t="str">
        <f t="shared" si="10"/>
        <v>Robusta</v>
      </c>
      <c r="O222" t="str">
        <f t="shared" si="11"/>
        <v>Medium</v>
      </c>
      <c r="P222" t="str">
        <f>_xlfn.XLOOKUP(Orders!C222,Customers!$A$2:$A$1001,Customers!$I$2:$I$1001)</f>
        <v>No</v>
      </c>
    </row>
    <row r="223" spans="1:16" x14ac:dyDescent="0.3">
      <c r="A223" t="s">
        <v>462</v>
      </c>
      <c r="B223" s="11">
        <v>44513</v>
      </c>
      <c r="C223" t="s">
        <v>463</v>
      </c>
      <c r="D223" t="s">
        <v>11</v>
      </c>
      <c r="E223">
        <v>6</v>
      </c>
      <c r="F223" t="str">
        <f>_xlfn.XLOOKUP(C223,Customers!$A$2:$A$1001,Customers!$B$2:$B$1001)</f>
        <v>Lenka Rushmer</v>
      </c>
      <c r="G223" t="str">
        <f>_xlfn.XLOOKUP(C223,Customers!$A$2:$A$1001,Customers!$C$2:$C$1001)</f>
        <v>lrushmer65@europa.eu</v>
      </c>
      <c r="H223" t="str">
        <f>_xlfn.XLOOKUP(C223,Customers!$A$2:$A$1001,Customers!$G$2:$G$1001)</f>
        <v>United States</v>
      </c>
      <c r="I223" t="str" cm="1">
        <f t="array" ref="I223:L223">_xlfn.XLOOKUP(D223,products!$A$2:$A$49,products!$B$2:$E$49)</f>
        <v>Ara</v>
      </c>
      <c r="J223" t="str">
        <v>L</v>
      </c>
      <c r="K223" s="8">
        <v>1</v>
      </c>
      <c r="L223" s="6">
        <v>12.95</v>
      </c>
      <c r="M223" s="7">
        <f t="shared" si="9"/>
        <v>77.699999999999989</v>
      </c>
      <c r="N223" t="str">
        <f t="shared" si="10"/>
        <v>Arasbica</v>
      </c>
      <c r="O223" t="str">
        <f t="shared" si="11"/>
        <v>Lite</v>
      </c>
      <c r="P223" t="str">
        <f>_xlfn.XLOOKUP(Orders!C223,Customers!$A$2:$A$1001,Customers!$I$2:$I$1001)</f>
        <v>Yes</v>
      </c>
    </row>
    <row r="224" spans="1:16" x14ac:dyDescent="0.3">
      <c r="A224" t="s">
        <v>464</v>
      </c>
      <c r="B224" s="11">
        <v>44090</v>
      </c>
      <c r="C224" t="s">
        <v>465</v>
      </c>
      <c r="D224" t="s">
        <v>128</v>
      </c>
      <c r="E224">
        <v>3</v>
      </c>
      <c r="F224" t="str">
        <f>_xlfn.XLOOKUP(C224,Customers!$A$2:$A$1001,Customers!$B$2:$B$1001)</f>
        <v>Waneta Edinborough</v>
      </c>
      <c r="G224" t="str">
        <f>_xlfn.XLOOKUP(C224,Customers!$A$2:$A$1001,Customers!$C$2:$C$1001)</f>
        <v>wedinborough66@github.io</v>
      </c>
      <c r="H224" t="str">
        <f>_xlfn.XLOOKUP(C224,Customers!$A$2:$A$1001,Customers!$G$2:$G$1001)</f>
        <v>United States</v>
      </c>
      <c r="I224" t="str" cm="1">
        <f t="array" ref="I224:L224">_xlfn.XLOOKUP(D224,products!$A$2:$A$49,products!$B$2:$E$49)</f>
        <v>Lib</v>
      </c>
      <c r="J224" t="str">
        <v>D</v>
      </c>
      <c r="K224" s="8">
        <v>0.5</v>
      </c>
      <c r="L224" s="6">
        <v>7.77</v>
      </c>
      <c r="M224" s="7">
        <f t="shared" si="9"/>
        <v>23.31</v>
      </c>
      <c r="N224" t="str">
        <f t="shared" si="10"/>
        <v>Liberica</v>
      </c>
      <c r="O224" t="str">
        <f t="shared" si="11"/>
        <v>Dark</v>
      </c>
      <c r="P224" t="str">
        <f>_xlfn.XLOOKUP(Orders!C224,Customers!$A$2:$A$1001,Customers!$I$2:$I$1001)</f>
        <v>No</v>
      </c>
    </row>
    <row r="225" spans="1:16" x14ac:dyDescent="0.3">
      <c r="A225" t="s">
        <v>466</v>
      </c>
      <c r="B225" s="11">
        <v>44109</v>
      </c>
      <c r="C225" t="s">
        <v>467</v>
      </c>
      <c r="D225" t="s">
        <v>142</v>
      </c>
      <c r="E225">
        <v>4</v>
      </c>
      <c r="F225" t="str">
        <f>_xlfn.XLOOKUP(C225,Customers!$A$2:$A$1001,Customers!$B$2:$B$1001)</f>
        <v>Bobbe Piggott</v>
      </c>
      <c r="G225">
        <f>_xlfn.XLOOKUP(C225,Customers!$A$2:$A$1001,Customers!$C$2:$C$1001)</f>
        <v>0</v>
      </c>
      <c r="H225" t="str">
        <f>_xlfn.XLOOKUP(C225,Customers!$A$2:$A$1001,Customers!$G$2:$G$1001)</f>
        <v>United States</v>
      </c>
      <c r="I225" t="str" cm="1">
        <f t="array" ref="I225:L225">_xlfn.XLOOKUP(D225,products!$A$2:$A$49,products!$B$2:$E$49)</f>
        <v>Exc</v>
      </c>
      <c r="J225" t="str">
        <v>L</v>
      </c>
      <c r="K225" s="8">
        <v>1</v>
      </c>
      <c r="L225" s="6">
        <v>14.85</v>
      </c>
      <c r="M225" s="7">
        <f t="shared" si="9"/>
        <v>59.4</v>
      </c>
      <c r="N225" t="str">
        <f t="shared" si="10"/>
        <v>Excelsa</v>
      </c>
      <c r="O225" t="str">
        <f t="shared" si="11"/>
        <v>Lite</v>
      </c>
      <c r="P225" t="str">
        <f>_xlfn.XLOOKUP(Orders!C225,Customers!$A$2:$A$1001,Customers!$I$2:$I$1001)</f>
        <v>Yes</v>
      </c>
    </row>
    <row r="226" spans="1:16" x14ac:dyDescent="0.3">
      <c r="A226" t="s">
        <v>468</v>
      </c>
      <c r="B226" s="11">
        <v>43836</v>
      </c>
      <c r="C226" t="s">
        <v>469</v>
      </c>
      <c r="D226" t="s">
        <v>114</v>
      </c>
      <c r="E226">
        <v>4</v>
      </c>
      <c r="F226" t="str">
        <f>_xlfn.XLOOKUP(C226,Customers!$A$2:$A$1001,Customers!$B$2:$B$1001)</f>
        <v>Ketty Bromehead</v>
      </c>
      <c r="G226" t="str">
        <f>_xlfn.XLOOKUP(C226,Customers!$A$2:$A$1001,Customers!$C$2:$C$1001)</f>
        <v>kbromehead68@un.org</v>
      </c>
      <c r="H226" t="str">
        <f>_xlfn.XLOOKUP(C226,Customers!$A$2:$A$1001,Customers!$G$2:$G$1001)</f>
        <v>United States</v>
      </c>
      <c r="I226" t="str" cm="1">
        <f t="array" ref="I226:L226">_xlfn.XLOOKUP(D226,products!$A$2:$A$49,products!$B$2:$E$49)</f>
        <v>Lib</v>
      </c>
      <c r="J226" t="str">
        <v>D</v>
      </c>
      <c r="K226" s="8">
        <v>2.5</v>
      </c>
      <c r="L226" s="6">
        <v>29.784999999999997</v>
      </c>
      <c r="M226" s="7">
        <f t="shared" si="9"/>
        <v>119.13999999999999</v>
      </c>
      <c r="N226" t="str">
        <f t="shared" si="10"/>
        <v>Liberica</v>
      </c>
      <c r="O226" t="str">
        <f t="shared" si="11"/>
        <v>Dark</v>
      </c>
      <c r="P226" t="str">
        <f>_xlfn.XLOOKUP(Orders!C226,Customers!$A$2:$A$1001,Customers!$I$2:$I$1001)</f>
        <v>Yes</v>
      </c>
    </row>
    <row r="227" spans="1:16" x14ac:dyDescent="0.3">
      <c r="A227" t="s">
        <v>470</v>
      </c>
      <c r="B227" s="11">
        <v>44337</v>
      </c>
      <c r="C227" t="s">
        <v>471</v>
      </c>
      <c r="D227" t="s">
        <v>187</v>
      </c>
      <c r="E227">
        <v>4</v>
      </c>
      <c r="F227" t="str">
        <f>_xlfn.XLOOKUP(C227,Customers!$A$2:$A$1001,Customers!$B$2:$B$1001)</f>
        <v>Elsbeth Westerman</v>
      </c>
      <c r="G227" t="str">
        <f>_xlfn.XLOOKUP(C227,Customers!$A$2:$A$1001,Customers!$C$2:$C$1001)</f>
        <v>ewesterman69@si.edu</v>
      </c>
      <c r="H227" t="str">
        <f>_xlfn.XLOOKUP(C227,Customers!$A$2:$A$1001,Customers!$G$2:$G$1001)</f>
        <v>Ireland</v>
      </c>
      <c r="I227" t="str" cm="1">
        <f t="array" ref="I227:L227">_xlfn.XLOOKUP(D227,products!$A$2:$A$49,products!$B$2:$E$49)</f>
        <v>Rob</v>
      </c>
      <c r="J227" t="str">
        <v>L</v>
      </c>
      <c r="K227" s="8">
        <v>0.2</v>
      </c>
      <c r="L227" s="6">
        <v>3.5849999999999995</v>
      </c>
      <c r="M227" s="7">
        <f t="shared" si="9"/>
        <v>14.339999999999998</v>
      </c>
      <c r="N227" t="str">
        <f t="shared" si="10"/>
        <v>Robusta</v>
      </c>
      <c r="O227" t="str">
        <f t="shared" si="11"/>
        <v>Lite</v>
      </c>
      <c r="P227" t="str">
        <f>_xlfn.XLOOKUP(Orders!C227,Customers!$A$2:$A$1001,Customers!$I$2:$I$1001)</f>
        <v>No</v>
      </c>
    </row>
    <row r="228" spans="1:16" x14ac:dyDescent="0.3">
      <c r="A228" t="s">
        <v>472</v>
      </c>
      <c r="B228" s="11">
        <v>43887</v>
      </c>
      <c r="C228" t="s">
        <v>473</v>
      </c>
      <c r="D228" t="s">
        <v>176</v>
      </c>
      <c r="E228">
        <v>5</v>
      </c>
      <c r="F228" t="str">
        <f>_xlfn.XLOOKUP(C228,Customers!$A$2:$A$1001,Customers!$B$2:$B$1001)</f>
        <v>Anabelle Hutchens</v>
      </c>
      <c r="G228" t="str">
        <f>_xlfn.XLOOKUP(C228,Customers!$A$2:$A$1001,Customers!$C$2:$C$1001)</f>
        <v>ahutchens6a@amazonaws.com</v>
      </c>
      <c r="H228" t="str">
        <f>_xlfn.XLOOKUP(C228,Customers!$A$2:$A$1001,Customers!$G$2:$G$1001)</f>
        <v>United States</v>
      </c>
      <c r="I228" t="str" cm="1">
        <f t="array" ref="I228:L228">_xlfn.XLOOKUP(D228,products!$A$2:$A$49,products!$B$2:$E$49)</f>
        <v>Ara</v>
      </c>
      <c r="J228" t="str">
        <v>M</v>
      </c>
      <c r="K228" s="8">
        <v>2.5</v>
      </c>
      <c r="L228" s="6">
        <v>25.874999999999996</v>
      </c>
      <c r="M228" s="7">
        <f t="shared" si="9"/>
        <v>129.37499999999997</v>
      </c>
      <c r="N228" t="str">
        <f t="shared" si="10"/>
        <v>Arasbica</v>
      </c>
      <c r="O228" t="str">
        <f t="shared" si="11"/>
        <v>Medium</v>
      </c>
      <c r="P228" t="str">
        <f>_xlfn.XLOOKUP(Orders!C228,Customers!$A$2:$A$1001,Customers!$I$2:$I$1001)</f>
        <v>No</v>
      </c>
    </row>
    <row r="229" spans="1:16" x14ac:dyDescent="0.3">
      <c r="A229" t="s">
        <v>474</v>
      </c>
      <c r="B229" s="11">
        <v>43880</v>
      </c>
      <c r="C229" t="s">
        <v>475</v>
      </c>
      <c r="D229" t="s">
        <v>106</v>
      </c>
      <c r="E229">
        <v>6</v>
      </c>
      <c r="F229" t="str">
        <f>_xlfn.XLOOKUP(C229,Customers!$A$2:$A$1001,Customers!$B$2:$B$1001)</f>
        <v>Noak Wyvill</v>
      </c>
      <c r="G229" t="str">
        <f>_xlfn.XLOOKUP(C229,Customers!$A$2:$A$1001,Customers!$C$2:$C$1001)</f>
        <v>nwyvill6b@naver.com</v>
      </c>
      <c r="H229" t="str">
        <f>_xlfn.XLOOKUP(C229,Customers!$A$2:$A$1001,Customers!$G$2:$G$1001)</f>
        <v>United Kingdom</v>
      </c>
      <c r="I229" t="str" cm="1">
        <f t="array" ref="I229:L229">_xlfn.XLOOKUP(D229,products!$A$2:$A$49,products!$B$2:$E$49)</f>
        <v>Rob</v>
      </c>
      <c r="J229" t="str">
        <v>D</v>
      </c>
      <c r="K229" s="8">
        <v>0.2</v>
      </c>
      <c r="L229" s="6">
        <v>2.6849999999999996</v>
      </c>
      <c r="M229" s="7">
        <f t="shared" si="9"/>
        <v>16.11</v>
      </c>
      <c r="N229" t="str">
        <f t="shared" si="10"/>
        <v>Robusta</v>
      </c>
      <c r="O229" t="str">
        <f t="shared" si="11"/>
        <v>Dark</v>
      </c>
      <c r="P229" t="str">
        <f>_xlfn.XLOOKUP(Orders!C229,Customers!$A$2:$A$1001,Customers!$I$2:$I$1001)</f>
        <v>Yes</v>
      </c>
    </row>
    <row r="230" spans="1:16" x14ac:dyDescent="0.3">
      <c r="A230" t="s">
        <v>476</v>
      </c>
      <c r="B230" s="11">
        <v>44376</v>
      </c>
      <c r="C230" t="s">
        <v>477</v>
      </c>
      <c r="D230" t="s">
        <v>187</v>
      </c>
      <c r="E230">
        <v>5</v>
      </c>
      <c r="F230" t="str">
        <f>_xlfn.XLOOKUP(C230,Customers!$A$2:$A$1001,Customers!$B$2:$B$1001)</f>
        <v>Beltran Mathon</v>
      </c>
      <c r="G230" t="str">
        <f>_xlfn.XLOOKUP(C230,Customers!$A$2:$A$1001,Customers!$C$2:$C$1001)</f>
        <v>bmathon6c@barnesandnoble.com</v>
      </c>
      <c r="H230" t="str">
        <f>_xlfn.XLOOKUP(C230,Customers!$A$2:$A$1001,Customers!$G$2:$G$1001)</f>
        <v>United States</v>
      </c>
      <c r="I230" t="str" cm="1">
        <f t="array" ref="I230:L230">_xlfn.XLOOKUP(D230,products!$A$2:$A$49,products!$B$2:$E$49)</f>
        <v>Rob</v>
      </c>
      <c r="J230" t="str">
        <v>L</v>
      </c>
      <c r="K230" s="8">
        <v>0.2</v>
      </c>
      <c r="L230" s="6">
        <v>3.5849999999999995</v>
      </c>
      <c r="M230" s="7">
        <f t="shared" si="9"/>
        <v>17.924999999999997</v>
      </c>
      <c r="N230" t="str">
        <f t="shared" si="10"/>
        <v>Robusta</v>
      </c>
      <c r="O230" t="str">
        <f t="shared" si="11"/>
        <v>Lite</v>
      </c>
      <c r="P230" t="str">
        <f>_xlfn.XLOOKUP(Orders!C230,Customers!$A$2:$A$1001,Customers!$I$2:$I$1001)</f>
        <v>No</v>
      </c>
    </row>
    <row r="231" spans="1:16" x14ac:dyDescent="0.3">
      <c r="A231" t="s">
        <v>478</v>
      </c>
      <c r="B231" s="11">
        <v>44282</v>
      </c>
      <c r="C231" t="s">
        <v>479</v>
      </c>
      <c r="D231" t="s">
        <v>82</v>
      </c>
      <c r="E231">
        <v>2</v>
      </c>
      <c r="F231" t="str">
        <f>_xlfn.XLOOKUP(C231,Customers!$A$2:$A$1001,Customers!$B$2:$B$1001)</f>
        <v>Kristos Streight</v>
      </c>
      <c r="G231" t="str">
        <f>_xlfn.XLOOKUP(C231,Customers!$A$2:$A$1001,Customers!$C$2:$C$1001)</f>
        <v>kstreight6d@about.com</v>
      </c>
      <c r="H231" t="str">
        <f>_xlfn.XLOOKUP(C231,Customers!$A$2:$A$1001,Customers!$G$2:$G$1001)</f>
        <v>United States</v>
      </c>
      <c r="I231" t="str" cm="1">
        <f t="array" ref="I231:L231">_xlfn.XLOOKUP(D231,products!$A$2:$A$49,products!$B$2:$E$49)</f>
        <v>Lib</v>
      </c>
      <c r="J231" t="str">
        <v>M</v>
      </c>
      <c r="K231" s="8">
        <v>0.2</v>
      </c>
      <c r="L231" s="6">
        <v>4.3650000000000002</v>
      </c>
      <c r="M231" s="7">
        <f t="shared" si="9"/>
        <v>8.73</v>
      </c>
      <c r="N231" t="str">
        <f t="shared" si="10"/>
        <v>Liberica</v>
      </c>
      <c r="O231" t="str">
        <f t="shared" si="11"/>
        <v>Medium</v>
      </c>
      <c r="P231" t="str">
        <f>_xlfn.XLOOKUP(Orders!C231,Customers!$A$2:$A$1001,Customers!$I$2:$I$1001)</f>
        <v>No</v>
      </c>
    </row>
    <row r="232" spans="1:16" x14ac:dyDescent="0.3">
      <c r="A232" t="s">
        <v>480</v>
      </c>
      <c r="B232" s="11">
        <v>44496</v>
      </c>
      <c r="C232" t="s">
        <v>481</v>
      </c>
      <c r="D232" t="s">
        <v>176</v>
      </c>
      <c r="E232">
        <v>2</v>
      </c>
      <c r="F232" t="str">
        <f>_xlfn.XLOOKUP(C232,Customers!$A$2:$A$1001,Customers!$B$2:$B$1001)</f>
        <v>Portie Cutchie</v>
      </c>
      <c r="G232" t="str">
        <f>_xlfn.XLOOKUP(C232,Customers!$A$2:$A$1001,Customers!$C$2:$C$1001)</f>
        <v>pcutchie6e@globo.com</v>
      </c>
      <c r="H232" t="str">
        <f>_xlfn.XLOOKUP(C232,Customers!$A$2:$A$1001,Customers!$G$2:$G$1001)</f>
        <v>United States</v>
      </c>
      <c r="I232" t="str" cm="1">
        <f t="array" ref="I232:L232">_xlfn.XLOOKUP(D232,products!$A$2:$A$49,products!$B$2:$E$49)</f>
        <v>Ara</v>
      </c>
      <c r="J232" t="str">
        <v>M</v>
      </c>
      <c r="K232" s="8">
        <v>2.5</v>
      </c>
      <c r="L232" s="6">
        <v>25.874999999999996</v>
      </c>
      <c r="M232" s="7">
        <f t="shared" si="9"/>
        <v>51.749999999999993</v>
      </c>
      <c r="N232" t="str">
        <f t="shared" si="10"/>
        <v>Arasbica</v>
      </c>
      <c r="O232" t="str">
        <f t="shared" si="11"/>
        <v>Medium</v>
      </c>
      <c r="P232" t="str">
        <f>_xlfn.XLOOKUP(Orders!C232,Customers!$A$2:$A$1001,Customers!$I$2:$I$1001)</f>
        <v>No</v>
      </c>
    </row>
    <row r="233" spans="1:16" x14ac:dyDescent="0.3">
      <c r="A233" t="s">
        <v>482</v>
      </c>
      <c r="B233" s="11">
        <v>43628</v>
      </c>
      <c r="C233" t="s">
        <v>483</v>
      </c>
      <c r="D233" t="s">
        <v>82</v>
      </c>
      <c r="E233">
        <v>2</v>
      </c>
      <c r="F233" t="str">
        <f>_xlfn.XLOOKUP(C233,Customers!$A$2:$A$1001,Customers!$B$2:$B$1001)</f>
        <v>Sinclare Edsell</v>
      </c>
      <c r="G233">
        <f>_xlfn.XLOOKUP(C233,Customers!$A$2:$A$1001,Customers!$C$2:$C$1001)</f>
        <v>0</v>
      </c>
      <c r="H233" t="str">
        <f>_xlfn.XLOOKUP(C233,Customers!$A$2:$A$1001,Customers!$G$2:$G$1001)</f>
        <v>United States</v>
      </c>
      <c r="I233" t="str" cm="1">
        <f t="array" ref="I233:L233">_xlfn.XLOOKUP(D233,products!$A$2:$A$49,products!$B$2:$E$49)</f>
        <v>Lib</v>
      </c>
      <c r="J233" t="str">
        <v>M</v>
      </c>
      <c r="K233" s="8">
        <v>0.2</v>
      </c>
      <c r="L233" s="6">
        <v>4.3650000000000002</v>
      </c>
      <c r="M233" s="7">
        <f t="shared" si="9"/>
        <v>8.73</v>
      </c>
      <c r="N233" t="str">
        <f t="shared" si="10"/>
        <v>Liberica</v>
      </c>
      <c r="O233" t="str">
        <f t="shared" si="11"/>
        <v>Medium</v>
      </c>
      <c r="P233" t="str">
        <f>_xlfn.XLOOKUP(Orders!C233,Customers!$A$2:$A$1001,Customers!$I$2:$I$1001)</f>
        <v>Yes</v>
      </c>
    </row>
    <row r="234" spans="1:16" x14ac:dyDescent="0.3">
      <c r="A234" t="s">
        <v>484</v>
      </c>
      <c r="B234" s="11">
        <v>44010</v>
      </c>
      <c r="C234" t="s">
        <v>485</v>
      </c>
      <c r="D234" t="s">
        <v>24</v>
      </c>
      <c r="E234">
        <v>5</v>
      </c>
      <c r="F234" t="str">
        <f>_xlfn.XLOOKUP(C234,Customers!$A$2:$A$1001,Customers!$B$2:$B$1001)</f>
        <v>Conny Gheraldi</v>
      </c>
      <c r="G234" t="str">
        <f>_xlfn.XLOOKUP(C234,Customers!$A$2:$A$1001,Customers!$C$2:$C$1001)</f>
        <v>cgheraldi6g@opera.com</v>
      </c>
      <c r="H234" t="str">
        <f>_xlfn.XLOOKUP(C234,Customers!$A$2:$A$1001,Customers!$G$2:$G$1001)</f>
        <v>United Kingdom</v>
      </c>
      <c r="I234" t="str" cm="1">
        <f t="array" ref="I234:L234">_xlfn.XLOOKUP(D234,products!$A$2:$A$49,products!$B$2:$E$49)</f>
        <v>Lib</v>
      </c>
      <c r="J234" t="str">
        <v>L</v>
      </c>
      <c r="K234" s="8">
        <v>0.2</v>
      </c>
      <c r="L234" s="6">
        <v>4.7549999999999999</v>
      </c>
      <c r="M234" s="7">
        <f t="shared" si="9"/>
        <v>23.774999999999999</v>
      </c>
      <c r="N234" t="str">
        <f t="shared" si="10"/>
        <v>Liberica</v>
      </c>
      <c r="O234" t="str">
        <f t="shared" si="11"/>
        <v>Lite</v>
      </c>
      <c r="P234" t="str">
        <f>_xlfn.XLOOKUP(Orders!C234,Customers!$A$2:$A$1001,Customers!$I$2:$I$1001)</f>
        <v>No</v>
      </c>
    </row>
    <row r="235" spans="1:16" x14ac:dyDescent="0.3">
      <c r="A235" t="s">
        <v>486</v>
      </c>
      <c r="B235" s="11">
        <v>44278</v>
      </c>
      <c r="C235" t="s">
        <v>487</v>
      </c>
      <c r="D235" t="s">
        <v>69</v>
      </c>
      <c r="E235">
        <v>5</v>
      </c>
      <c r="F235" t="str">
        <f>_xlfn.XLOOKUP(C235,Customers!$A$2:$A$1001,Customers!$B$2:$B$1001)</f>
        <v>Beryle Kenwell</v>
      </c>
      <c r="G235" t="str">
        <f>_xlfn.XLOOKUP(C235,Customers!$A$2:$A$1001,Customers!$C$2:$C$1001)</f>
        <v>bkenwell6h@over-blog.com</v>
      </c>
      <c r="H235" t="str">
        <f>_xlfn.XLOOKUP(C235,Customers!$A$2:$A$1001,Customers!$G$2:$G$1001)</f>
        <v>United States</v>
      </c>
      <c r="I235" t="str" cm="1">
        <f t="array" ref="I235:L235">_xlfn.XLOOKUP(D235,products!$A$2:$A$49,products!$B$2:$E$49)</f>
        <v>Exc</v>
      </c>
      <c r="J235" t="str">
        <v>M</v>
      </c>
      <c r="K235" s="8">
        <v>0.2</v>
      </c>
      <c r="L235" s="6">
        <v>4.125</v>
      </c>
      <c r="M235" s="7">
        <f t="shared" si="9"/>
        <v>20.625</v>
      </c>
      <c r="N235" t="str">
        <f t="shared" si="10"/>
        <v>Excelsa</v>
      </c>
      <c r="O235" t="str">
        <f t="shared" si="11"/>
        <v>Medium</v>
      </c>
      <c r="P235" t="str">
        <f>_xlfn.XLOOKUP(Orders!C235,Customers!$A$2:$A$1001,Customers!$I$2:$I$1001)</f>
        <v>No</v>
      </c>
    </row>
    <row r="236" spans="1:16" x14ac:dyDescent="0.3">
      <c r="A236" t="s">
        <v>488</v>
      </c>
      <c r="B236" s="11">
        <v>44602</v>
      </c>
      <c r="C236" t="s">
        <v>489</v>
      </c>
      <c r="D236" t="s">
        <v>109</v>
      </c>
      <c r="E236">
        <v>1</v>
      </c>
      <c r="F236" t="str">
        <f>_xlfn.XLOOKUP(C236,Customers!$A$2:$A$1001,Customers!$B$2:$B$1001)</f>
        <v>Tomas Sutty</v>
      </c>
      <c r="G236" t="str">
        <f>_xlfn.XLOOKUP(C236,Customers!$A$2:$A$1001,Customers!$C$2:$C$1001)</f>
        <v>tsutty6i@google.es</v>
      </c>
      <c r="H236" t="str">
        <f>_xlfn.XLOOKUP(C236,Customers!$A$2:$A$1001,Customers!$G$2:$G$1001)</f>
        <v>United States</v>
      </c>
      <c r="I236" t="str" cm="1">
        <f t="array" ref="I236:L236">_xlfn.XLOOKUP(D236,products!$A$2:$A$49,products!$B$2:$E$49)</f>
        <v>Lib</v>
      </c>
      <c r="J236" t="str">
        <v>L</v>
      </c>
      <c r="K236" s="8">
        <v>2.5</v>
      </c>
      <c r="L236" s="6">
        <v>36.454999999999998</v>
      </c>
      <c r="M236" s="7">
        <f t="shared" si="9"/>
        <v>36.454999999999998</v>
      </c>
      <c r="N236" t="str">
        <f t="shared" si="10"/>
        <v>Liberica</v>
      </c>
      <c r="O236" t="str">
        <f t="shared" si="11"/>
        <v>Lite</v>
      </c>
      <c r="P236" t="str">
        <f>_xlfn.XLOOKUP(Orders!C236,Customers!$A$2:$A$1001,Customers!$I$2:$I$1001)</f>
        <v>No</v>
      </c>
    </row>
    <row r="237" spans="1:16" x14ac:dyDescent="0.3">
      <c r="A237" t="s">
        <v>490</v>
      </c>
      <c r="B237" s="11">
        <v>43571</v>
      </c>
      <c r="C237" t="s">
        <v>491</v>
      </c>
      <c r="D237" t="s">
        <v>109</v>
      </c>
      <c r="E237">
        <v>5</v>
      </c>
      <c r="F237" t="str">
        <f>_xlfn.XLOOKUP(C237,Customers!$A$2:$A$1001,Customers!$B$2:$B$1001)</f>
        <v>Samuele Ales0</v>
      </c>
      <c r="G237">
        <f>_xlfn.XLOOKUP(C237,Customers!$A$2:$A$1001,Customers!$C$2:$C$1001)</f>
        <v>0</v>
      </c>
      <c r="H237" t="str">
        <f>_xlfn.XLOOKUP(C237,Customers!$A$2:$A$1001,Customers!$G$2:$G$1001)</f>
        <v>Ireland</v>
      </c>
      <c r="I237" t="str" cm="1">
        <f t="array" ref="I237:L237">_xlfn.XLOOKUP(D237,products!$A$2:$A$49,products!$B$2:$E$49)</f>
        <v>Lib</v>
      </c>
      <c r="J237" t="str">
        <v>L</v>
      </c>
      <c r="K237" s="8">
        <v>2.5</v>
      </c>
      <c r="L237" s="6">
        <v>36.454999999999998</v>
      </c>
      <c r="M237" s="7">
        <f t="shared" si="9"/>
        <v>182.27499999999998</v>
      </c>
      <c r="N237" t="str">
        <f t="shared" si="10"/>
        <v>Liberica</v>
      </c>
      <c r="O237" t="str">
        <f t="shared" si="11"/>
        <v>Lite</v>
      </c>
      <c r="P237" t="str">
        <f>_xlfn.XLOOKUP(Orders!C237,Customers!$A$2:$A$1001,Customers!$I$2:$I$1001)</f>
        <v>No</v>
      </c>
    </row>
    <row r="238" spans="1:16" x14ac:dyDescent="0.3">
      <c r="A238" t="s">
        <v>492</v>
      </c>
      <c r="B238" s="11">
        <v>43873</v>
      </c>
      <c r="C238" t="s">
        <v>493</v>
      </c>
      <c r="D238" t="s">
        <v>114</v>
      </c>
      <c r="E238">
        <v>3</v>
      </c>
      <c r="F238" t="str">
        <f>_xlfn.XLOOKUP(C238,Customers!$A$2:$A$1001,Customers!$B$2:$B$1001)</f>
        <v>Carlie Harce</v>
      </c>
      <c r="G238" t="str">
        <f>_xlfn.XLOOKUP(C238,Customers!$A$2:$A$1001,Customers!$C$2:$C$1001)</f>
        <v>charce6k@cafepress.com</v>
      </c>
      <c r="H238" t="str">
        <f>_xlfn.XLOOKUP(C238,Customers!$A$2:$A$1001,Customers!$G$2:$G$1001)</f>
        <v>Ireland</v>
      </c>
      <c r="I238" t="str" cm="1">
        <f t="array" ref="I238:L238">_xlfn.XLOOKUP(D238,products!$A$2:$A$49,products!$B$2:$E$49)</f>
        <v>Lib</v>
      </c>
      <c r="J238" t="str">
        <v>D</v>
      </c>
      <c r="K238" s="8">
        <v>2.5</v>
      </c>
      <c r="L238" s="6">
        <v>29.784999999999997</v>
      </c>
      <c r="M238" s="7">
        <f t="shared" si="9"/>
        <v>89.35499999999999</v>
      </c>
      <c r="N238" t="str">
        <f t="shared" si="10"/>
        <v>Liberica</v>
      </c>
      <c r="O238" t="str">
        <f t="shared" si="11"/>
        <v>Dark</v>
      </c>
      <c r="P238" t="str">
        <f>_xlfn.XLOOKUP(Orders!C238,Customers!$A$2:$A$1001,Customers!$I$2:$I$1001)</f>
        <v>No</v>
      </c>
    </row>
    <row r="239" spans="1:16" x14ac:dyDescent="0.3">
      <c r="A239" t="s">
        <v>494</v>
      </c>
      <c r="B239" s="11">
        <v>44563</v>
      </c>
      <c r="C239" t="s">
        <v>495</v>
      </c>
      <c r="D239" t="s">
        <v>187</v>
      </c>
      <c r="E239">
        <v>1</v>
      </c>
      <c r="F239" t="str">
        <f>_xlfn.XLOOKUP(C239,Customers!$A$2:$A$1001,Customers!$B$2:$B$1001)</f>
        <v>Craggy Bril</v>
      </c>
      <c r="G239">
        <f>_xlfn.XLOOKUP(C239,Customers!$A$2:$A$1001,Customers!$C$2:$C$1001)</f>
        <v>0</v>
      </c>
      <c r="H239" t="str">
        <f>_xlfn.XLOOKUP(C239,Customers!$A$2:$A$1001,Customers!$G$2:$G$1001)</f>
        <v>United States</v>
      </c>
      <c r="I239" t="str" cm="1">
        <f t="array" ref="I239:L239">_xlfn.XLOOKUP(D239,products!$A$2:$A$49,products!$B$2:$E$49)</f>
        <v>Rob</v>
      </c>
      <c r="J239" t="str">
        <v>L</v>
      </c>
      <c r="K239" s="8">
        <v>0.2</v>
      </c>
      <c r="L239" s="6">
        <v>3.5849999999999995</v>
      </c>
      <c r="M239" s="7">
        <f t="shared" si="9"/>
        <v>3.5849999999999995</v>
      </c>
      <c r="N239" t="str">
        <f t="shared" si="10"/>
        <v>Robusta</v>
      </c>
      <c r="O239" t="str">
        <f t="shared" si="11"/>
        <v>Lite</v>
      </c>
      <c r="P239" t="str">
        <f>_xlfn.XLOOKUP(Orders!C239,Customers!$A$2:$A$1001,Customers!$I$2:$I$1001)</f>
        <v>Yes</v>
      </c>
    </row>
    <row r="240" spans="1:16" x14ac:dyDescent="0.3">
      <c r="A240" t="s">
        <v>496</v>
      </c>
      <c r="B240" s="11">
        <v>44172</v>
      </c>
      <c r="C240" t="s">
        <v>497</v>
      </c>
      <c r="D240" t="s">
        <v>46</v>
      </c>
      <c r="E240">
        <v>2</v>
      </c>
      <c r="F240" t="str">
        <f>_xlfn.XLOOKUP(C240,Customers!$A$2:$A$1001,Customers!$B$2:$B$1001)</f>
        <v>Friederike Drysdale</v>
      </c>
      <c r="G240" t="str">
        <f>_xlfn.XLOOKUP(C240,Customers!$A$2:$A$1001,Customers!$C$2:$C$1001)</f>
        <v>fdrysdale6m@symantec.com</v>
      </c>
      <c r="H240" t="str">
        <f>_xlfn.XLOOKUP(C240,Customers!$A$2:$A$1001,Customers!$G$2:$G$1001)</f>
        <v>United States</v>
      </c>
      <c r="I240" t="str" cm="1">
        <f t="array" ref="I240:L240">_xlfn.XLOOKUP(D240,products!$A$2:$A$49,products!$B$2:$E$49)</f>
        <v>Rob</v>
      </c>
      <c r="J240" t="str">
        <v>M</v>
      </c>
      <c r="K240" s="8">
        <v>2.5</v>
      </c>
      <c r="L240" s="6">
        <v>22.884999999999998</v>
      </c>
      <c r="M240" s="7">
        <f t="shared" si="9"/>
        <v>45.769999999999996</v>
      </c>
      <c r="N240" t="str">
        <f t="shared" si="10"/>
        <v>Robusta</v>
      </c>
      <c r="O240" t="str">
        <f t="shared" si="11"/>
        <v>Medium</v>
      </c>
      <c r="P240" t="str">
        <f>_xlfn.XLOOKUP(Orders!C240,Customers!$A$2:$A$1001,Customers!$I$2:$I$1001)</f>
        <v>Yes</v>
      </c>
    </row>
    <row r="241" spans="1:16" x14ac:dyDescent="0.3">
      <c r="A241" t="s">
        <v>498</v>
      </c>
      <c r="B241" s="11">
        <v>43881</v>
      </c>
      <c r="C241" t="s">
        <v>499</v>
      </c>
      <c r="D241" t="s">
        <v>142</v>
      </c>
      <c r="E241">
        <v>4</v>
      </c>
      <c r="F241" t="str">
        <f>_xlfn.XLOOKUP(C241,Customers!$A$2:$A$1001,Customers!$B$2:$B$1001)</f>
        <v>Devon Magowan</v>
      </c>
      <c r="G241" t="str">
        <f>_xlfn.XLOOKUP(C241,Customers!$A$2:$A$1001,Customers!$C$2:$C$1001)</f>
        <v>dmagowan6n@fc2.com</v>
      </c>
      <c r="H241" t="str">
        <f>_xlfn.XLOOKUP(C241,Customers!$A$2:$A$1001,Customers!$G$2:$G$1001)</f>
        <v>United States</v>
      </c>
      <c r="I241" t="str" cm="1">
        <f t="array" ref="I241:L241">_xlfn.XLOOKUP(D241,products!$A$2:$A$49,products!$B$2:$E$49)</f>
        <v>Exc</v>
      </c>
      <c r="J241" t="str">
        <v>L</v>
      </c>
      <c r="K241" s="8">
        <v>1</v>
      </c>
      <c r="L241" s="6">
        <v>14.85</v>
      </c>
      <c r="M241" s="7">
        <f t="shared" si="9"/>
        <v>59.4</v>
      </c>
      <c r="N241" t="str">
        <f t="shared" si="10"/>
        <v>Excelsa</v>
      </c>
      <c r="O241" t="str">
        <f t="shared" si="11"/>
        <v>Lite</v>
      </c>
      <c r="P241" t="str">
        <f>_xlfn.XLOOKUP(Orders!C241,Customers!$A$2:$A$1001,Customers!$I$2:$I$1001)</f>
        <v>No</v>
      </c>
    </row>
    <row r="242" spans="1:16" x14ac:dyDescent="0.3">
      <c r="A242" t="s">
        <v>500</v>
      </c>
      <c r="B242" s="11">
        <v>43993</v>
      </c>
      <c r="C242" t="s">
        <v>501</v>
      </c>
      <c r="D242" t="s">
        <v>176</v>
      </c>
      <c r="E242">
        <v>6</v>
      </c>
      <c r="F242" t="str">
        <f>_xlfn.XLOOKUP(C242,Customers!$A$2:$A$1001,Customers!$B$2:$B$1001)</f>
        <v>Codi Littrell</v>
      </c>
      <c r="G242">
        <f>_xlfn.XLOOKUP(C242,Customers!$A$2:$A$1001,Customers!$C$2:$C$1001)</f>
        <v>0</v>
      </c>
      <c r="H242" t="str">
        <f>_xlfn.XLOOKUP(C242,Customers!$A$2:$A$1001,Customers!$G$2:$G$1001)</f>
        <v>United States</v>
      </c>
      <c r="I242" t="str" cm="1">
        <f t="array" ref="I242:L242">_xlfn.XLOOKUP(D242,products!$A$2:$A$49,products!$B$2:$E$49)</f>
        <v>Ara</v>
      </c>
      <c r="J242" t="str">
        <v>M</v>
      </c>
      <c r="K242" s="8">
        <v>2.5</v>
      </c>
      <c r="L242" s="6">
        <v>25.874999999999996</v>
      </c>
      <c r="M242" s="7">
        <f t="shared" si="9"/>
        <v>155.24999999999997</v>
      </c>
      <c r="N242" t="str">
        <f t="shared" si="10"/>
        <v>Arasbica</v>
      </c>
      <c r="O242" t="str">
        <f t="shared" si="11"/>
        <v>Medium</v>
      </c>
      <c r="P242" t="str">
        <f>_xlfn.XLOOKUP(Orders!C242,Customers!$A$2:$A$1001,Customers!$I$2:$I$1001)</f>
        <v>Yes</v>
      </c>
    </row>
    <row r="243" spans="1:16" x14ac:dyDescent="0.3">
      <c r="A243" t="s">
        <v>502</v>
      </c>
      <c r="B243" s="11">
        <v>44082</v>
      </c>
      <c r="C243" t="s">
        <v>503</v>
      </c>
      <c r="D243" t="s">
        <v>46</v>
      </c>
      <c r="E243">
        <v>2</v>
      </c>
      <c r="F243" t="str">
        <f>_xlfn.XLOOKUP(C243,Customers!$A$2:$A$1001,Customers!$B$2:$B$1001)</f>
        <v>Christel Speak</v>
      </c>
      <c r="G243">
        <f>_xlfn.XLOOKUP(C243,Customers!$A$2:$A$1001,Customers!$C$2:$C$1001)</f>
        <v>0</v>
      </c>
      <c r="H243" t="str">
        <f>_xlfn.XLOOKUP(C243,Customers!$A$2:$A$1001,Customers!$G$2:$G$1001)</f>
        <v>United States</v>
      </c>
      <c r="I243" t="str" cm="1">
        <f t="array" ref="I243:L243">_xlfn.XLOOKUP(D243,products!$A$2:$A$49,products!$B$2:$E$49)</f>
        <v>Rob</v>
      </c>
      <c r="J243" t="str">
        <v>M</v>
      </c>
      <c r="K243" s="8">
        <v>2.5</v>
      </c>
      <c r="L243" s="6">
        <v>22.884999999999998</v>
      </c>
      <c r="M243" s="7">
        <f t="shared" si="9"/>
        <v>45.769999999999996</v>
      </c>
      <c r="N243" t="str">
        <f t="shared" si="10"/>
        <v>Robusta</v>
      </c>
      <c r="O243" t="str">
        <f t="shared" si="11"/>
        <v>Medium</v>
      </c>
      <c r="P243" t="str">
        <f>_xlfn.XLOOKUP(Orders!C243,Customers!$A$2:$A$1001,Customers!$I$2:$I$1001)</f>
        <v>No</v>
      </c>
    </row>
    <row r="244" spans="1:16" x14ac:dyDescent="0.3">
      <c r="A244" t="s">
        <v>504</v>
      </c>
      <c r="B244" s="11">
        <v>43918</v>
      </c>
      <c r="C244" t="s">
        <v>505</v>
      </c>
      <c r="D244" t="s">
        <v>250</v>
      </c>
      <c r="E244">
        <v>3</v>
      </c>
      <c r="F244" t="str">
        <f>_xlfn.XLOOKUP(C244,Customers!$A$2:$A$1001,Customers!$B$2:$B$1001)</f>
        <v>Sibella Rushbrooke</v>
      </c>
      <c r="G244" t="str">
        <f>_xlfn.XLOOKUP(C244,Customers!$A$2:$A$1001,Customers!$C$2:$C$1001)</f>
        <v>srushbrooke6q@youku.com</v>
      </c>
      <c r="H244" t="str">
        <f>_xlfn.XLOOKUP(C244,Customers!$A$2:$A$1001,Customers!$G$2:$G$1001)</f>
        <v>United States</v>
      </c>
      <c r="I244" t="str" cm="1">
        <f t="array" ref="I244:L244">_xlfn.XLOOKUP(D244,products!$A$2:$A$49,products!$B$2:$E$49)</f>
        <v>Exc</v>
      </c>
      <c r="J244" t="str">
        <v>D</v>
      </c>
      <c r="K244" s="8">
        <v>1</v>
      </c>
      <c r="L244" s="6">
        <v>12.15</v>
      </c>
      <c r="M244" s="7">
        <f t="shared" si="9"/>
        <v>36.450000000000003</v>
      </c>
      <c r="N244" t="str">
        <f t="shared" si="10"/>
        <v>Excelsa</v>
      </c>
      <c r="O244" t="str">
        <f t="shared" si="11"/>
        <v>Dark</v>
      </c>
      <c r="P244" t="str">
        <f>_xlfn.XLOOKUP(Orders!C244,Customers!$A$2:$A$1001,Customers!$I$2:$I$1001)</f>
        <v>Yes</v>
      </c>
    </row>
    <row r="245" spans="1:16" x14ac:dyDescent="0.3">
      <c r="A245" t="s">
        <v>506</v>
      </c>
      <c r="B245" s="11">
        <v>44114</v>
      </c>
      <c r="C245" t="s">
        <v>507</v>
      </c>
      <c r="D245" t="s">
        <v>21</v>
      </c>
      <c r="E245">
        <v>4</v>
      </c>
      <c r="F245" t="str">
        <f>_xlfn.XLOOKUP(C245,Customers!$A$2:$A$1001,Customers!$B$2:$B$1001)</f>
        <v>Tammie Drynan</v>
      </c>
      <c r="G245" t="str">
        <f>_xlfn.XLOOKUP(C245,Customers!$A$2:$A$1001,Customers!$C$2:$C$1001)</f>
        <v>tdrynan6r@deviantart.com</v>
      </c>
      <c r="H245" t="str">
        <f>_xlfn.XLOOKUP(C245,Customers!$A$2:$A$1001,Customers!$G$2:$G$1001)</f>
        <v>United States</v>
      </c>
      <c r="I245" t="str" cm="1">
        <f t="array" ref="I245:L245">_xlfn.XLOOKUP(D245,products!$A$2:$A$49,products!$B$2:$E$49)</f>
        <v>Exc</v>
      </c>
      <c r="J245" t="str">
        <v>D</v>
      </c>
      <c r="K245" s="8">
        <v>0.5</v>
      </c>
      <c r="L245" s="6">
        <v>7.29</v>
      </c>
      <c r="M245" s="7">
        <f t="shared" si="9"/>
        <v>29.16</v>
      </c>
      <c r="N245" t="str">
        <f t="shared" si="10"/>
        <v>Excelsa</v>
      </c>
      <c r="O245" t="str">
        <f t="shared" si="11"/>
        <v>Dark</v>
      </c>
      <c r="P245" t="str">
        <f>_xlfn.XLOOKUP(Orders!C245,Customers!$A$2:$A$1001,Customers!$I$2:$I$1001)</f>
        <v>Yes</v>
      </c>
    </row>
    <row r="246" spans="1:16" x14ac:dyDescent="0.3">
      <c r="A246" t="s">
        <v>508</v>
      </c>
      <c r="B246" s="11">
        <v>44702</v>
      </c>
      <c r="C246" t="s">
        <v>509</v>
      </c>
      <c r="D246" t="s">
        <v>202</v>
      </c>
      <c r="E246">
        <v>4</v>
      </c>
      <c r="F246" t="str">
        <f>_xlfn.XLOOKUP(C246,Customers!$A$2:$A$1001,Customers!$B$2:$B$1001)</f>
        <v>Effie Yurkov</v>
      </c>
      <c r="G246" t="str">
        <f>_xlfn.XLOOKUP(C246,Customers!$A$2:$A$1001,Customers!$C$2:$C$1001)</f>
        <v>eyurkov6s@hud.gov</v>
      </c>
      <c r="H246" t="str">
        <f>_xlfn.XLOOKUP(C246,Customers!$A$2:$A$1001,Customers!$G$2:$G$1001)</f>
        <v>United States</v>
      </c>
      <c r="I246" t="str" cm="1">
        <f t="array" ref="I246:L246">_xlfn.XLOOKUP(D246,products!$A$2:$A$49,products!$B$2:$E$49)</f>
        <v>Lib</v>
      </c>
      <c r="J246" t="str">
        <v>M</v>
      </c>
      <c r="K246" s="8">
        <v>2.5</v>
      </c>
      <c r="L246" s="6">
        <v>33.464999999999996</v>
      </c>
      <c r="M246" s="7">
        <f t="shared" si="9"/>
        <v>133.85999999999999</v>
      </c>
      <c r="N246" t="str">
        <f t="shared" si="10"/>
        <v>Liberica</v>
      </c>
      <c r="O246" t="str">
        <f t="shared" si="11"/>
        <v>Medium</v>
      </c>
      <c r="P246" t="str">
        <f>_xlfn.XLOOKUP(Orders!C246,Customers!$A$2:$A$1001,Customers!$I$2:$I$1001)</f>
        <v>No</v>
      </c>
    </row>
    <row r="247" spans="1:16" x14ac:dyDescent="0.3">
      <c r="A247" t="s">
        <v>510</v>
      </c>
      <c r="B247" s="11">
        <v>43951</v>
      </c>
      <c r="C247" t="s">
        <v>511</v>
      </c>
      <c r="D247" t="s">
        <v>24</v>
      </c>
      <c r="E247">
        <v>5</v>
      </c>
      <c r="F247" t="str">
        <f>_xlfn.XLOOKUP(C247,Customers!$A$2:$A$1001,Customers!$B$2:$B$1001)</f>
        <v>Lexie Mallan</v>
      </c>
      <c r="G247" t="str">
        <f>_xlfn.XLOOKUP(C247,Customers!$A$2:$A$1001,Customers!$C$2:$C$1001)</f>
        <v>lmallan6t@state.gov</v>
      </c>
      <c r="H247" t="str">
        <f>_xlfn.XLOOKUP(C247,Customers!$A$2:$A$1001,Customers!$G$2:$G$1001)</f>
        <v>United States</v>
      </c>
      <c r="I247" t="str" cm="1">
        <f t="array" ref="I247:L247">_xlfn.XLOOKUP(D247,products!$A$2:$A$49,products!$B$2:$E$49)</f>
        <v>Lib</v>
      </c>
      <c r="J247" t="str">
        <v>L</v>
      </c>
      <c r="K247" s="8">
        <v>0.2</v>
      </c>
      <c r="L247" s="6">
        <v>4.7549999999999999</v>
      </c>
      <c r="M247" s="7">
        <f t="shared" si="9"/>
        <v>23.774999999999999</v>
      </c>
      <c r="N247" t="str">
        <f t="shared" si="10"/>
        <v>Liberica</v>
      </c>
      <c r="O247" t="str">
        <f t="shared" si="11"/>
        <v>Lite</v>
      </c>
      <c r="P247" t="str">
        <f>_xlfn.XLOOKUP(Orders!C247,Customers!$A$2:$A$1001,Customers!$I$2:$I$1001)</f>
        <v>Yes</v>
      </c>
    </row>
    <row r="248" spans="1:16" x14ac:dyDescent="0.3">
      <c r="A248" t="s">
        <v>512</v>
      </c>
      <c r="B248" s="11">
        <v>44542</v>
      </c>
      <c r="C248" t="s">
        <v>513</v>
      </c>
      <c r="D248" t="s">
        <v>18</v>
      </c>
      <c r="E248">
        <v>3</v>
      </c>
      <c r="F248" t="str">
        <f>_xlfn.XLOOKUP(C248,Customers!$A$2:$A$1001,Customers!$B$2:$B$1001)</f>
        <v>Georgena Bentjens</v>
      </c>
      <c r="G248" t="str">
        <f>_xlfn.XLOOKUP(C248,Customers!$A$2:$A$1001,Customers!$C$2:$C$1001)</f>
        <v>gbentjens6u@netlog.com</v>
      </c>
      <c r="H248" t="str">
        <f>_xlfn.XLOOKUP(C248,Customers!$A$2:$A$1001,Customers!$G$2:$G$1001)</f>
        <v>United Kingdom</v>
      </c>
      <c r="I248" t="str" cm="1">
        <f t="array" ref="I248:L248">_xlfn.XLOOKUP(D248,products!$A$2:$A$49,products!$B$2:$E$49)</f>
        <v>Lib</v>
      </c>
      <c r="J248" t="str">
        <v>D</v>
      </c>
      <c r="K248" s="8">
        <v>1</v>
      </c>
      <c r="L248" s="6">
        <v>12.95</v>
      </c>
      <c r="M248" s="7">
        <f t="shared" si="9"/>
        <v>38.849999999999994</v>
      </c>
      <c r="N248" t="str">
        <f t="shared" si="10"/>
        <v>Liberica</v>
      </c>
      <c r="O248" t="str">
        <f t="shared" si="11"/>
        <v>Dark</v>
      </c>
      <c r="P248" t="str">
        <f>_xlfn.XLOOKUP(Orders!C248,Customers!$A$2:$A$1001,Customers!$I$2:$I$1001)</f>
        <v>No</v>
      </c>
    </row>
    <row r="249" spans="1:16" x14ac:dyDescent="0.3">
      <c r="A249" t="s">
        <v>514</v>
      </c>
      <c r="B249" s="11">
        <v>44131</v>
      </c>
      <c r="C249" t="s">
        <v>515</v>
      </c>
      <c r="D249" t="s">
        <v>187</v>
      </c>
      <c r="E249">
        <v>6</v>
      </c>
      <c r="F249" t="str">
        <f>_xlfn.XLOOKUP(C249,Customers!$A$2:$A$1001,Customers!$B$2:$B$1001)</f>
        <v>Delmar Beasant</v>
      </c>
      <c r="G249">
        <f>_xlfn.XLOOKUP(C249,Customers!$A$2:$A$1001,Customers!$C$2:$C$1001)</f>
        <v>0</v>
      </c>
      <c r="H249" t="str">
        <f>_xlfn.XLOOKUP(C249,Customers!$A$2:$A$1001,Customers!$G$2:$G$1001)</f>
        <v>Ireland</v>
      </c>
      <c r="I249" t="str" cm="1">
        <f t="array" ref="I249:L249">_xlfn.XLOOKUP(D249,products!$A$2:$A$49,products!$B$2:$E$49)</f>
        <v>Rob</v>
      </c>
      <c r="J249" t="str">
        <v>L</v>
      </c>
      <c r="K249" s="8">
        <v>0.2</v>
      </c>
      <c r="L249" s="6">
        <v>3.5849999999999995</v>
      </c>
      <c r="M249" s="7">
        <f t="shared" si="9"/>
        <v>21.509999999999998</v>
      </c>
      <c r="N249" t="str">
        <f t="shared" si="10"/>
        <v>Robusta</v>
      </c>
      <c r="O249" t="str">
        <f t="shared" si="11"/>
        <v>Lite</v>
      </c>
      <c r="P249" t="str">
        <f>_xlfn.XLOOKUP(Orders!C249,Customers!$A$2:$A$1001,Customers!$I$2:$I$1001)</f>
        <v>Yes</v>
      </c>
    </row>
    <row r="250" spans="1:16" x14ac:dyDescent="0.3">
      <c r="A250" t="s">
        <v>516</v>
      </c>
      <c r="B250" s="11">
        <v>44019</v>
      </c>
      <c r="C250" t="s">
        <v>517</v>
      </c>
      <c r="D250" t="s">
        <v>32</v>
      </c>
      <c r="E250">
        <v>1</v>
      </c>
      <c r="F250" t="str">
        <f>_xlfn.XLOOKUP(C250,Customers!$A$2:$A$1001,Customers!$B$2:$B$1001)</f>
        <v>Lyn Entwistle</v>
      </c>
      <c r="G250" t="str">
        <f>_xlfn.XLOOKUP(C250,Customers!$A$2:$A$1001,Customers!$C$2:$C$1001)</f>
        <v>lentwistle6w@omniture.com</v>
      </c>
      <c r="H250" t="str">
        <f>_xlfn.XLOOKUP(C250,Customers!$A$2:$A$1001,Customers!$G$2:$G$1001)</f>
        <v>United States</v>
      </c>
      <c r="I250" t="str" cm="1">
        <f t="array" ref="I250:L250">_xlfn.XLOOKUP(D250,products!$A$2:$A$49,products!$B$2:$E$49)</f>
        <v>Ara</v>
      </c>
      <c r="J250" t="str">
        <v>D</v>
      </c>
      <c r="K250" s="8">
        <v>1</v>
      </c>
      <c r="L250" s="6">
        <v>9.9499999999999993</v>
      </c>
      <c r="M250" s="7">
        <f t="shared" si="9"/>
        <v>9.9499999999999993</v>
      </c>
      <c r="N250" t="str">
        <f t="shared" si="10"/>
        <v>Arasbica</v>
      </c>
      <c r="O250" t="str">
        <f t="shared" si="11"/>
        <v>Dark</v>
      </c>
      <c r="P250" t="str">
        <f>_xlfn.XLOOKUP(Orders!C250,Customers!$A$2:$A$1001,Customers!$I$2:$I$1001)</f>
        <v>Yes</v>
      </c>
    </row>
    <row r="251" spans="1:16" x14ac:dyDescent="0.3">
      <c r="A251" t="s">
        <v>518</v>
      </c>
      <c r="B251" s="11">
        <v>43861</v>
      </c>
      <c r="C251" t="s">
        <v>519</v>
      </c>
      <c r="D251" t="s">
        <v>137</v>
      </c>
      <c r="E251">
        <v>1</v>
      </c>
      <c r="F251" t="str">
        <f>_xlfn.XLOOKUP(C251,Customers!$A$2:$A$1001,Customers!$B$2:$B$1001)</f>
        <v>Zacharias Kiffe</v>
      </c>
      <c r="G251" t="str">
        <f>_xlfn.XLOOKUP(C251,Customers!$A$2:$A$1001,Customers!$C$2:$C$1001)</f>
        <v>zkiffe74@cyberchimps.com</v>
      </c>
      <c r="H251" t="str">
        <f>_xlfn.XLOOKUP(C251,Customers!$A$2:$A$1001,Customers!$G$2:$G$1001)</f>
        <v>United States</v>
      </c>
      <c r="I251" t="str" cm="1">
        <f t="array" ref="I251:L251">_xlfn.XLOOKUP(D251,products!$A$2:$A$49,products!$B$2:$E$49)</f>
        <v>Lib</v>
      </c>
      <c r="J251" t="str">
        <v>L</v>
      </c>
      <c r="K251" s="8">
        <v>1</v>
      </c>
      <c r="L251" s="6">
        <v>15.85</v>
      </c>
      <c r="M251" s="7">
        <f t="shared" si="9"/>
        <v>15.85</v>
      </c>
      <c r="N251" t="str">
        <f t="shared" si="10"/>
        <v>Liberica</v>
      </c>
      <c r="O251" t="str">
        <f t="shared" si="11"/>
        <v>Lite</v>
      </c>
      <c r="P251" t="str">
        <f>_xlfn.XLOOKUP(Orders!C251,Customers!$A$2:$A$1001,Customers!$I$2:$I$1001)</f>
        <v>Yes</v>
      </c>
    </row>
    <row r="252" spans="1:16" x14ac:dyDescent="0.3">
      <c r="A252" t="s">
        <v>520</v>
      </c>
      <c r="B252" s="11">
        <v>43879</v>
      </c>
      <c r="C252" t="s">
        <v>521</v>
      </c>
      <c r="D252" t="s">
        <v>167</v>
      </c>
      <c r="E252">
        <v>1</v>
      </c>
      <c r="F252" t="str">
        <f>_xlfn.XLOOKUP(C252,Customers!$A$2:$A$1001,Customers!$B$2:$B$1001)</f>
        <v>Mercedes Acott</v>
      </c>
      <c r="G252" t="str">
        <f>_xlfn.XLOOKUP(C252,Customers!$A$2:$A$1001,Customers!$C$2:$C$1001)</f>
        <v>macott6y@pagesperso-orange.fr</v>
      </c>
      <c r="H252" t="str">
        <f>_xlfn.XLOOKUP(C252,Customers!$A$2:$A$1001,Customers!$G$2:$G$1001)</f>
        <v>United States</v>
      </c>
      <c r="I252" t="str" cm="1">
        <f t="array" ref="I252:L252">_xlfn.XLOOKUP(D252,products!$A$2:$A$49,products!$B$2:$E$49)</f>
        <v>Rob</v>
      </c>
      <c r="J252" t="str">
        <v>M</v>
      </c>
      <c r="K252" s="8">
        <v>0.2</v>
      </c>
      <c r="L252" s="6">
        <v>2.9849999999999999</v>
      </c>
      <c r="M252" s="7">
        <f t="shared" si="9"/>
        <v>2.9849999999999999</v>
      </c>
      <c r="N252" t="str">
        <f t="shared" si="10"/>
        <v>Robusta</v>
      </c>
      <c r="O252" t="str">
        <f t="shared" si="11"/>
        <v>Medium</v>
      </c>
      <c r="P252" t="str">
        <f>_xlfn.XLOOKUP(Orders!C252,Customers!$A$2:$A$1001,Customers!$I$2:$I$1001)</f>
        <v>Yes</v>
      </c>
    </row>
    <row r="253" spans="1:16" x14ac:dyDescent="0.3">
      <c r="A253" t="s">
        <v>522</v>
      </c>
      <c r="B253" s="11">
        <v>44360</v>
      </c>
      <c r="C253" t="s">
        <v>523</v>
      </c>
      <c r="D253" t="s">
        <v>14</v>
      </c>
      <c r="E253">
        <v>5</v>
      </c>
      <c r="F253" t="str">
        <f>_xlfn.XLOOKUP(C253,Customers!$A$2:$A$1001,Customers!$B$2:$B$1001)</f>
        <v>Connor Heaviside</v>
      </c>
      <c r="G253" t="str">
        <f>_xlfn.XLOOKUP(C253,Customers!$A$2:$A$1001,Customers!$C$2:$C$1001)</f>
        <v>cheaviside6z@rediff.com</v>
      </c>
      <c r="H253" t="str">
        <f>_xlfn.XLOOKUP(C253,Customers!$A$2:$A$1001,Customers!$G$2:$G$1001)</f>
        <v>United States</v>
      </c>
      <c r="I253" t="str" cm="1">
        <f t="array" ref="I253:L253">_xlfn.XLOOKUP(D253,products!$A$2:$A$49,products!$B$2:$E$49)</f>
        <v>Exc</v>
      </c>
      <c r="J253" t="str">
        <v>M</v>
      </c>
      <c r="K253" s="8">
        <v>1</v>
      </c>
      <c r="L253" s="6">
        <v>13.75</v>
      </c>
      <c r="M253" s="7">
        <f t="shared" si="9"/>
        <v>68.75</v>
      </c>
      <c r="N253" t="str">
        <f t="shared" si="10"/>
        <v>Excelsa</v>
      </c>
      <c r="O253" t="str">
        <f t="shared" si="11"/>
        <v>Medium</v>
      </c>
      <c r="P253" t="str">
        <f>_xlfn.XLOOKUP(Orders!C253,Customers!$A$2:$A$1001,Customers!$I$2:$I$1001)</f>
        <v>Yes</v>
      </c>
    </row>
    <row r="254" spans="1:16" x14ac:dyDescent="0.3">
      <c r="A254" t="s">
        <v>524</v>
      </c>
      <c r="B254" s="11">
        <v>44779</v>
      </c>
      <c r="C254" t="s">
        <v>525</v>
      </c>
      <c r="D254" t="s">
        <v>32</v>
      </c>
      <c r="E254">
        <v>3</v>
      </c>
      <c r="F254" t="str">
        <f>_xlfn.XLOOKUP(C254,Customers!$A$2:$A$1001,Customers!$B$2:$B$1001)</f>
        <v>Devy Bulbrook</v>
      </c>
      <c r="G254">
        <f>_xlfn.XLOOKUP(C254,Customers!$A$2:$A$1001,Customers!$C$2:$C$1001)</f>
        <v>0</v>
      </c>
      <c r="H254" t="str">
        <f>_xlfn.XLOOKUP(C254,Customers!$A$2:$A$1001,Customers!$G$2:$G$1001)</f>
        <v>United States</v>
      </c>
      <c r="I254" t="str" cm="1">
        <f t="array" ref="I254:L254">_xlfn.XLOOKUP(D254,products!$A$2:$A$49,products!$B$2:$E$49)</f>
        <v>Ara</v>
      </c>
      <c r="J254" t="str">
        <v>D</v>
      </c>
      <c r="K254" s="8">
        <v>1</v>
      </c>
      <c r="L254" s="6">
        <v>9.9499999999999993</v>
      </c>
      <c r="M254" s="7">
        <f t="shared" si="9"/>
        <v>29.849999999999998</v>
      </c>
      <c r="N254" t="str">
        <f t="shared" si="10"/>
        <v>Arasbica</v>
      </c>
      <c r="O254" t="str">
        <f t="shared" si="11"/>
        <v>Dark</v>
      </c>
      <c r="P254" t="str">
        <f>_xlfn.XLOOKUP(Orders!C254,Customers!$A$2:$A$1001,Customers!$I$2:$I$1001)</f>
        <v>No</v>
      </c>
    </row>
    <row r="255" spans="1:16" x14ac:dyDescent="0.3">
      <c r="A255" t="s">
        <v>526</v>
      </c>
      <c r="B255" s="11">
        <v>44523</v>
      </c>
      <c r="C255" t="s">
        <v>527</v>
      </c>
      <c r="D255" t="s">
        <v>101</v>
      </c>
      <c r="E255">
        <v>4</v>
      </c>
      <c r="F255" t="str">
        <f>_xlfn.XLOOKUP(C255,Customers!$A$2:$A$1001,Customers!$B$2:$B$1001)</f>
        <v>Leia Kernan</v>
      </c>
      <c r="G255" t="str">
        <f>_xlfn.XLOOKUP(C255,Customers!$A$2:$A$1001,Customers!$C$2:$C$1001)</f>
        <v>lkernan71@wsj.com</v>
      </c>
      <c r="H255" t="str">
        <f>_xlfn.XLOOKUP(C255,Customers!$A$2:$A$1001,Customers!$G$2:$G$1001)</f>
        <v>United States</v>
      </c>
      <c r="I255" t="str" cm="1">
        <f t="array" ref="I255:L255">_xlfn.XLOOKUP(D255,products!$A$2:$A$49,products!$B$2:$E$49)</f>
        <v>Lib</v>
      </c>
      <c r="J255" t="str">
        <v>M</v>
      </c>
      <c r="K255" s="8">
        <v>1</v>
      </c>
      <c r="L255" s="6">
        <v>14.55</v>
      </c>
      <c r="M255" s="7">
        <f t="shared" si="9"/>
        <v>58.2</v>
      </c>
      <c r="N255" t="str">
        <f t="shared" si="10"/>
        <v>Liberica</v>
      </c>
      <c r="O255" t="str">
        <f t="shared" si="11"/>
        <v>Medium</v>
      </c>
      <c r="P255" t="str">
        <f>_xlfn.XLOOKUP(Orders!C255,Customers!$A$2:$A$1001,Customers!$I$2:$I$1001)</f>
        <v>No</v>
      </c>
    </row>
    <row r="256" spans="1:16" x14ac:dyDescent="0.3">
      <c r="A256" t="s">
        <v>528</v>
      </c>
      <c r="B256" s="11">
        <v>44482</v>
      </c>
      <c r="C256" t="s">
        <v>529</v>
      </c>
      <c r="D256" t="s">
        <v>162</v>
      </c>
      <c r="E256">
        <v>4</v>
      </c>
      <c r="F256" t="str">
        <f>_xlfn.XLOOKUP(C256,Customers!$A$2:$A$1001,Customers!$B$2:$B$1001)</f>
        <v>Rosaline McLae</v>
      </c>
      <c r="G256" t="str">
        <f>_xlfn.XLOOKUP(C256,Customers!$A$2:$A$1001,Customers!$C$2:$C$1001)</f>
        <v>rmclae72@dailymotion.com</v>
      </c>
      <c r="H256" t="str">
        <f>_xlfn.XLOOKUP(C256,Customers!$A$2:$A$1001,Customers!$G$2:$G$1001)</f>
        <v>United Kingdom</v>
      </c>
      <c r="I256" t="str" cm="1">
        <f t="array" ref="I256:L256">_xlfn.XLOOKUP(D256,products!$A$2:$A$49,products!$B$2:$E$49)</f>
        <v>Rob</v>
      </c>
      <c r="J256" t="str">
        <v>L</v>
      </c>
      <c r="K256" s="8">
        <v>0.5</v>
      </c>
      <c r="L256" s="6">
        <v>7.169999999999999</v>
      </c>
      <c r="M256" s="7">
        <f t="shared" si="9"/>
        <v>28.679999999999996</v>
      </c>
      <c r="N256" t="str">
        <f t="shared" si="10"/>
        <v>Robusta</v>
      </c>
      <c r="O256" t="str">
        <f t="shared" si="11"/>
        <v>Lite</v>
      </c>
      <c r="P256" t="str">
        <f>_xlfn.XLOOKUP(Orders!C256,Customers!$A$2:$A$1001,Customers!$I$2:$I$1001)</f>
        <v>No</v>
      </c>
    </row>
    <row r="257" spans="1:16" x14ac:dyDescent="0.3">
      <c r="A257" t="s">
        <v>530</v>
      </c>
      <c r="B257" s="11">
        <v>44439</v>
      </c>
      <c r="C257" t="s">
        <v>531</v>
      </c>
      <c r="D257" t="s">
        <v>162</v>
      </c>
      <c r="E257">
        <v>3</v>
      </c>
      <c r="F257" t="str">
        <f>_xlfn.XLOOKUP(C257,Customers!$A$2:$A$1001,Customers!$B$2:$B$1001)</f>
        <v>Cleve Blowfelde</v>
      </c>
      <c r="G257" t="str">
        <f>_xlfn.XLOOKUP(C257,Customers!$A$2:$A$1001,Customers!$C$2:$C$1001)</f>
        <v>cblowfelde73@ustream.tv</v>
      </c>
      <c r="H257" t="str">
        <f>_xlfn.XLOOKUP(C257,Customers!$A$2:$A$1001,Customers!$G$2:$G$1001)</f>
        <v>United States</v>
      </c>
      <c r="I257" t="str" cm="1">
        <f t="array" ref="I257:L257">_xlfn.XLOOKUP(D257,products!$A$2:$A$49,products!$B$2:$E$49)</f>
        <v>Rob</v>
      </c>
      <c r="J257" t="str">
        <v>L</v>
      </c>
      <c r="K257" s="8">
        <v>0.5</v>
      </c>
      <c r="L257" s="6">
        <v>7.169999999999999</v>
      </c>
      <c r="M257" s="7">
        <f t="shared" si="9"/>
        <v>21.509999999999998</v>
      </c>
      <c r="N257" t="str">
        <f t="shared" si="10"/>
        <v>Robusta</v>
      </c>
      <c r="O257" t="str">
        <f t="shared" si="11"/>
        <v>Lite</v>
      </c>
      <c r="P257" t="str">
        <f>_xlfn.XLOOKUP(Orders!C257,Customers!$A$2:$A$1001,Customers!$I$2:$I$1001)</f>
        <v>No</v>
      </c>
    </row>
    <row r="258" spans="1:16" x14ac:dyDescent="0.3">
      <c r="A258" t="s">
        <v>532</v>
      </c>
      <c r="B258" s="11">
        <v>43846</v>
      </c>
      <c r="C258" t="s">
        <v>519</v>
      </c>
      <c r="D258" t="s">
        <v>83</v>
      </c>
      <c r="E258">
        <v>2</v>
      </c>
      <c r="F258" t="str">
        <f>_xlfn.XLOOKUP(C258,Customers!$A$2:$A$1001,Customers!$B$2:$B$1001)</f>
        <v>Zacharias Kiffe</v>
      </c>
      <c r="G258" t="str">
        <f>_xlfn.XLOOKUP(C258,Customers!$A$2:$A$1001,Customers!$C$2:$C$1001)</f>
        <v>zkiffe74@cyberchimps.com</v>
      </c>
      <c r="H258" t="str">
        <f>_xlfn.XLOOKUP(C258,Customers!$A$2:$A$1001,Customers!$G$2:$G$1001)</f>
        <v>United States</v>
      </c>
      <c r="I258" t="str" cm="1">
        <f t="array" ref="I258:L258">_xlfn.XLOOKUP(D258,products!$A$2:$A$49,products!$B$2:$E$49)</f>
        <v>Lib</v>
      </c>
      <c r="J258" t="str">
        <v>M</v>
      </c>
      <c r="K258" s="8">
        <v>0.5</v>
      </c>
      <c r="L258" s="6">
        <v>8.73</v>
      </c>
      <c r="M258" s="7">
        <f t="shared" si="9"/>
        <v>17.46</v>
      </c>
      <c r="N258" t="str">
        <f t="shared" si="10"/>
        <v>Liberica</v>
      </c>
      <c r="O258" t="str">
        <f t="shared" si="11"/>
        <v>Medium</v>
      </c>
      <c r="P258" t="str">
        <f>_xlfn.XLOOKUP(Orders!C258,Customers!$A$2:$A$1001,Customers!$I$2:$I$1001)</f>
        <v>Yes</v>
      </c>
    </row>
    <row r="259" spans="1:16" x14ac:dyDescent="0.3">
      <c r="A259" t="s">
        <v>533</v>
      </c>
      <c r="B259" s="11">
        <v>44676</v>
      </c>
      <c r="C259" t="s">
        <v>534</v>
      </c>
      <c r="D259" t="s">
        <v>535</v>
      </c>
      <c r="E259">
        <v>1</v>
      </c>
      <c r="F259" t="str">
        <f>_xlfn.XLOOKUP(C259,Customers!$A$2:$A$1001,Customers!$B$2:$B$1001)</f>
        <v>Denyse O'Calleran</v>
      </c>
      <c r="G259" t="str">
        <f>_xlfn.XLOOKUP(C259,Customers!$A$2:$A$1001,Customers!$C$2:$C$1001)</f>
        <v>docalleran75@ucla.edu</v>
      </c>
      <c r="H259" t="str">
        <f>_xlfn.XLOOKUP(C259,Customers!$A$2:$A$1001,Customers!$G$2:$G$1001)</f>
        <v>United States</v>
      </c>
      <c r="I259" t="str" cm="1">
        <f t="array" ref="I259:L259">_xlfn.XLOOKUP(D259,products!$A$2:$A$49,products!$B$2:$E$49)</f>
        <v>Exc</v>
      </c>
      <c r="J259" t="str">
        <v>D</v>
      </c>
      <c r="K259" s="8">
        <v>2.5</v>
      </c>
      <c r="L259" s="6">
        <v>27.945</v>
      </c>
      <c r="M259" s="7">
        <f t="shared" ref="M259:M322" si="12">E259*L259</f>
        <v>27.945</v>
      </c>
      <c r="N259" t="str">
        <f t="shared" ref="N259:N322" si="13">IF(I259="rob","Robusta",IF(I259="Exc","Excelsa",IF(I259="Ara","Arasbica",IF(I259="Lib","Liberica"))))</f>
        <v>Excelsa</v>
      </c>
      <c r="O259" t="str">
        <f t="shared" ref="O259:O322" si="14">IF(J259="M","Medium",IF(J259="L","Lite",IF(J259="D","Dark")))</f>
        <v>Dark</v>
      </c>
      <c r="P259" t="str">
        <f>_xlfn.XLOOKUP(Orders!C259,Customers!$A$2:$A$1001,Customers!$I$2:$I$1001)</f>
        <v>Yes</v>
      </c>
    </row>
    <row r="260" spans="1:16" x14ac:dyDescent="0.3">
      <c r="A260" t="s">
        <v>536</v>
      </c>
      <c r="B260" s="11">
        <v>44513</v>
      </c>
      <c r="C260" t="s">
        <v>537</v>
      </c>
      <c r="D260" t="s">
        <v>535</v>
      </c>
      <c r="E260">
        <v>5</v>
      </c>
      <c r="F260" t="str">
        <f>_xlfn.XLOOKUP(C260,Customers!$A$2:$A$1001,Customers!$B$2:$B$1001)</f>
        <v>Cobby Cromwell</v>
      </c>
      <c r="G260" t="str">
        <f>_xlfn.XLOOKUP(C260,Customers!$A$2:$A$1001,Customers!$C$2:$C$1001)</f>
        <v>ccromwell76@desdev.cn</v>
      </c>
      <c r="H260" t="str">
        <f>_xlfn.XLOOKUP(C260,Customers!$A$2:$A$1001,Customers!$G$2:$G$1001)</f>
        <v>United States</v>
      </c>
      <c r="I260" t="str" cm="1">
        <f t="array" ref="I260:L260">_xlfn.XLOOKUP(D260,products!$A$2:$A$49,products!$B$2:$E$49)</f>
        <v>Exc</v>
      </c>
      <c r="J260" t="str">
        <v>D</v>
      </c>
      <c r="K260" s="8">
        <v>2.5</v>
      </c>
      <c r="L260" s="6">
        <v>27.945</v>
      </c>
      <c r="M260" s="7">
        <f t="shared" si="12"/>
        <v>139.72499999999999</v>
      </c>
      <c r="N260" t="str">
        <f t="shared" si="13"/>
        <v>Excelsa</v>
      </c>
      <c r="O260" t="str">
        <f t="shared" si="14"/>
        <v>Dark</v>
      </c>
      <c r="P260" t="str">
        <f>_xlfn.XLOOKUP(Orders!C260,Customers!$A$2:$A$1001,Customers!$I$2:$I$1001)</f>
        <v>No</v>
      </c>
    </row>
    <row r="261" spans="1:16" x14ac:dyDescent="0.3">
      <c r="A261" t="s">
        <v>538</v>
      </c>
      <c r="B261" s="11">
        <v>44355</v>
      </c>
      <c r="C261" t="s">
        <v>539</v>
      </c>
      <c r="D261" t="s">
        <v>167</v>
      </c>
      <c r="E261">
        <v>2</v>
      </c>
      <c r="F261" t="str">
        <f>_xlfn.XLOOKUP(C261,Customers!$A$2:$A$1001,Customers!$B$2:$B$1001)</f>
        <v>Irv Hay</v>
      </c>
      <c r="G261" t="str">
        <f>_xlfn.XLOOKUP(C261,Customers!$A$2:$A$1001,Customers!$C$2:$C$1001)</f>
        <v>ihay77@lulu.com</v>
      </c>
      <c r="H261" t="str">
        <f>_xlfn.XLOOKUP(C261,Customers!$A$2:$A$1001,Customers!$G$2:$G$1001)</f>
        <v>United Kingdom</v>
      </c>
      <c r="I261" t="str" cm="1">
        <f t="array" ref="I261:L261">_xlfn.XLOOKUP(D261,products!$A$2:$A$49,products!$B$2:$E$49)</f>
        <v>Rob</v>
      </c>
      <c r="J261" t="str">
        <v>M</v>
      </c>
      <c r="K261" s="8">
        <v>0.2</v>
      </c>
      <c r="L261" s="6">
        <v>2.9849999999999999</v>
      </c>
      <c r="M261" s="7">
        <f t="shared" si="12"/>
        <v>5.97</v>
      </c>
      <c r="N261" t="str">
        <f t="shared" si="13"/>
        <v>Robusta</v>
      </c>
      <c r="O261" t="str">
        <f t="shared" si="14"/>
        <v>Medium</v>
      </c>
      <c r="P261" t="str">
        <f>_xlfn.XLOOKUP(Orders!C261,Customers!$A$2:$A$1001,Customers!$I$2:$I$1001)</f>
        <v>No</v>
      </c>
    </row>
    <row r="262" spans="1:16" x14ac:dyDescent="0.3">
      <c r="A262" t="s">
        <v>540</v>
      </c>
      <c r="B262" s="11">
        <v>44156</v>
      </c>
      <c r="C262" t="s">
        <v>541</v>
      </c>
      <c r="D262" t="s">
        <v>15</v>
      </c>
      <c r="E262">
        <v>1</v>
      </c>
      <c r="F262" t="str">
        <f>_xlfn.XLOOKUP(C262,Customers!$A$2:$A$1001,Customers!$B$2:$B$1001)</f>
        <v>Tani Taffarello</v>
      </c>
      <c r="G262" t="str">
        <f>_xlfn.XLOOKUP(C262,Customers!$A$2:$A$1001,Customers!$C$2:$C$1001)</f>
        <v>ttaffarello78@sciencedaily.com</v>
      </c>
      <c r="H262" t="str">
        <f>_xlfn.XLOOKUP(C262,Customers!$A$2:$A$1001,Customers!$G$2:$G$1001)</f>
        <v>United States</v>
      </c>
      <c r="I262" t="str" cm="1">
        <f t="array" ref="I262:L262">_xlfn.XLOOKUP(D262,products!$A$2:$A$49,products!$B$2:$E$49)</f>
        <v>Rob</v>
      </c>
      <c r="J262" t="str">
        <v>L</v>
      </c>
      <c r="K262" s="8">
        <v>2.5</v>
      </c>
      <c r="L262" s="6">
        <v>27.484999999999996</v>
      </c>
      <c r="M262" s="7">
        <f t="shared" si="12"/>
        <v>27.484999999999996</v>
      </c>
      <c r="N262" t="str">
        <f t="shared" si="13"/>
        <v>Robusta</v>
      </c>
      <c r="O262" t="str">
        <f t="shared" si="14"/>
        <v>Lite</v>
      </c>
      <c r="P262" t="str">
        <f>_xlfn.XLOOKUP(Orders!C262,Customers!$A$2:$A$1001,Customers!$I$2:$I$1001)</f>
        <v>Yes</v>
      </c>
    </row>
    <row r="263" spans="1:16" x14ac:dyDescent="0.3">
      <c r="A263" t="s">
        <v>542</v>
      </c>
      <c r="B263" s="11">
        <v>43538</v>
      </c>
      <c r="C263" t="s">
        <v>543</v>
      </c>
      <c r="D263" t="s">
        <v>194</v>
      </c>
      <c r="E263">
        <v>5</v>
      </c>
      <c r="F263" t="str">
        <f>_xlfn.XLOOKUP(C263,Customers!$A$2:$A$1001,Customers!$B$2:$B$1001)</f>
        <v>Monique Canty</v>
      </c>
      <c r="G263" t="str">
        <f>_xlfn.XLOOKUP(C263,Customers!$A$2:$A$1001,Customers!$C$2:$C$1001)</f>
        <v>mcanty79@jigsy.com</v>
      </c>
      <c r="H263" t="str">
        <f>_xlfn.XLOOKUP(C263,Customers!$A$2:$A$1001,Customers!$G$2:$G$1001)</f>
        <v>United States</v>
      </c>
      <c r="I263" t="str" cm="1">
        <f t="array" ref="I263:L263">_xlfn.XLOOKUP(D263,products!$A$2:$A$49,products!$B$2:$E$49)</f>
        <v>Rob</v>
      </c>
      <c r="J263" t="str">
        <v>L</v>
      </c>
      <c r="K263" s="8">
        <v>1</v>
      </c>
      <c r="L263" s="6">
        <v>11.95</v>
      </c>
      <c r="M263" s="7">
        <f t="shared" si="12"/>
        <v>59.75</v>
      </c>
      <c r="N263" t="str">
        <f t="shared" si="13"/>
        <v>Robusta</v>
      </c>
      <c r="O263" t="str">
        <f t="shared" si="14"/>
        <v>Lite</v>
      </c>
      <c r="P263" t="str">
        <f>_xlfn.XLOOKUP(Orders!C263,Customers!$A$2:$A$1001,Customers!$I$2:$I$1001)</f>
        <v>Yes</v>
      </c>
    </row>
    <row r="264" spans="1:16" x14ac:dyDescent="0.3">
      <c r="A264" t="s">
        <v>544</v>
      </c>
      <c r="B264" s="11">
        <v>43693</v>
      </c>
      <c r="C264" t="s">
        <v>545</v>
      </c>
      <c r="D264" t="s">
        <v>14</v>
      </c>
      <c r="E264">
        <v>3</v>
      </c>
      <c r="F264" t="str">
        <f>_xlfn.XLOOKUP(C264,Customers!$A$2:$A$1001,Customers!$B$2:$B$1001)</f>
        <v>Javier Kopke</v>
      </c>
      <c r="G264" t="str">
        <f>_xlfn.XLOOKUP(C264,Customers!$A$2:$A$1001,Customers!$C$2:$C$1001)</f>
        <v>jkopke7a@auda.org.au</v>
      </c>
      <c r="H264" t="str">
        <f>_xlfn.XLOOKUP(C264,Customers!$A$2:$A$1001,Customers!$G$2:$G$1001)</f>
        <v>United States</v>
      </c>
      <c r="I264" t="str" cm="1">
        <f t="array" ref="I264:L264">_xlfn.XLOOKUP(D264,products!$A$2:$A$49,products!$B$2:$E$49)</f>
        <v>Exc</v>
      </c>
      <c r="J264" t="str">
        <v>M</v>
      </c>
      <c r="K264" s="8">
        <v>1</v>
      </c>
      <c r="L264" s="6">
        <v>13.75</v>
      </c>
      <c r="M264" s="7">
        <f t="shared" si="12"/>
        <v>41.25</v>
      </c>
      <c r="N264" t="str">
        <f t="shared" si="13"/>
        <v>Excelsa</v>
      </c>
      <c r="O264" t="str">
        <f t="shared" si="14"/>
        <v>Medium</v>
      </c>
      <c r="P264" t="str">
        <f>_xlfn.XLOOKUP(Orders!C264,Customers!$A$2:$A$1001,Customers!$I$2:$I$1001)</f>
        <v>No</v>
      </c>
    </row>
    <row r="265" spans="1:16" x14ac:dyDescent="0.3">
      <c r="A265" t="s">
        <v>546</v>
      </c>
      <c r="B265" s="11">
        <v>43577</v>
      </c>
      <c r="C265" t="s">
        <v>547</v>
      </c>
      <c r="D265" t="s">
        <v>202</v>
      </c>
      <c r="E265">
        <v>4</v>
      </c>
      <c r="F265" t="str">
        <f>_xlfn.XLOOKUP(C265,Customers!$A$2:$A$1001,Customers!$B$2:$B$1001)</f>
        <v>Mar McIver</v>
      </c>
      <c r="G265">
        <f>_xlfn.XLOOKUP(C265,Customers!$A$2:$A$1001,Customers!$C$2:$C$1001)</f>
        <v>0</v>
      </c>
      <c r="H265" t="str">
        <f>_xlfn.XLOOKUP(C265,Customers!$A$2:$A$1001,Customers!$G$2:$G$1001)</f>
        <v>United States</v>
      </c>
      <c r="I265" t="str" cm="1">
        <f t="array" ref="I265:L265">_xlfn.XLOOKUP(D265,products!$A$2:$A$49,products!$B$2:$E$49)</f>
        <v>Lib</v>
      </c>
      <c r="J265" t="str">
        <v>M</v>
      </c>
      <c r="K265" s="8">
        <v>2.5</v>
      </c>
      <c r="L265" s="6">
        <v>33.464999999999996</v>
      </c>
      <c r="M265" s="7">
        <f t="shared" si="12"/>
        <v>133.85999999999999</v>
      </c>
      <c r="N265" t="str">
        <f t="shared" si="13"/>
        <v>Liberica</v>
      </c>
      <c r="O265" t="str">
        <f t="shared" si="14"/>
        <v>Medium</v>
      </c>
      <c r="P265" t="str">
        <f>_xlfn.XLOOKUP(Orders!C265,Customers!$A$2:$A$1001,Customers!$I$2:$I$1001)</f>
        <v>No</v>
      </c>
    </row>
    <row r="266" spans="1:16" x14ac:dyDescent="0.3">
      <c r="A266" t="s">
        <v>548</v>
      </c>
      <c r="B266" s="11">
        <v>44683</v>
      </c>
      <c r="C266" t="s">
        <v>549</v>
      </c>
      <c r="D266" t="s">
        <v>194</v>
      </c>
      <c r="E266">
        <v>5</v>
      </c>
      <c r="F266" t="str">
        <f>_xlfn.XLOOKUP(C266,Customers!$A$2:$A$1001,Customers!$B$2:$B$1001)</f>
        <v>Arabella Fransewich</v>
      </c>
      <c r="G266">
        <f>_xlfn.XLOOKUP(C266,Customers!$A$2:$A$1001,Customers!$C$2:$C$1001)</f>
        <v>0</v>
      </c>
      <c r="H266" t="str">
        <f>_xlfn.XLOOKUP(C266,Customers!$A$2:$A$1001,Customers!$G$2:$G$1001)</f>
        <v>Ireland</v>
      </c>
      <c r="I266" t="str" cm="1">
        <f t="array" ref="I266:L266">_xlfn.XLOOKUP(D266,products!$A$2:$A$49,products!$B$2:$E$49)</f>
        <v>Rob</v>
      </c>
      <c r="J266" t="str">
        <v>L</v>
      </c>
      <c r="K266" s="8">
        <v>1</v>
      </c>
      <c r="L266" s="6">
        <v>11.95</v>
      </c>
      <c r="M266" s="7">
        <f t="shared" si="12"/>
        <v>59.75</v>
      </c>
      <c r="N266" t="str">
        <f t="shared" si="13"/>
        <v>Robusta</v>
      </c>
      <c r="O266" t="str">
        <f t="shared" si="14"/>
        <v>Lite</v>
      </c>
      <c r="P266" t="str">
        <f>_xlfn.XLOOKUP(Orders!C266,Customers!$A$2:$A$1001,Customers!$I$2:$I$1001)</f>
        <v>Yes</v>
      </c>
    </row>
    <row r="267" spans="1:16" x14ac:dyDescent="0.3">
      <c r="A267" t="s">
        <v>550</v>
      </c>
      <c r="B267" s="11">
        <v>43872</v>
      </c>
      <c r="C267" t="s">
        <v>551</v>
      </c>
      <c r="D267" t="s">
        <v>77</v>
      </c>
      <c r="E267">
        <v>1</v>
      </c>
      <c r="F267" t="str">
        <f>_xlfn.XLOOKUP(C267,Customers!$A$2:$A$1001,Customers!$B$2:$B$1001)</f>
        <v>Violette Hellmore</v>
      </c>
      <c r="G267" t="str">
        <f>_xlfn.XLOOKUP(C267,Customers!$A$2:$A$1001,Customers!$C$2:$C$1001)</f>
        <v>vhellmore7d@bbc.co.uk</v>
      </c>
      <c r="H267" t="str">
        <f>_xlfn.XLOOKUP(C267,Customers!$A$2:$A$1001,Customers!$G$2:$G$1001)</f>
        <v>United States</v>
      </c>
      <c r="I267" t="str" cm="1">
        <f t="array" ref="I267:L267">_xlfn.XLOOKUP(D267,products!$A$2:$A$49,products!$B$2:$E$49)</f>
        <v>Ara</v>
      </c>
      <c r="J267" t="str">
        <v>D</v>
      </c>
      <c r="K267" s="8">
        <v>0.5</v>
      </c>
      <c r="L267" s="6">
        <v>5.97</v>
      </c>
      <c r="M267" s="7">
        <f t="shared" si="12"/>
        <v>5.97</v>
      </c>
      <c r="N267" t="str">
        <f t="shared" si="13"/>
        <v>Arasbica</v>
      </c>
      <c r="O267" t="str">
        <f t="shared" si="14"/>
        <v>Dark</v>
      </c>
      <c r="P267" t="str">
        <f>_xlfn.XLOOKUP(Orders!C267,Customers!$A$2:$A$1001,Customers!$I$2:$I$1001)</f>
        <v>Yes</v>
      </c>
    </row>
    <row r="268" spans="1:16" x14ac:dyDescent="0.3">
      <c r="A268" t="s">
        <v>552</v>
      </c>
      <c r="B268" s="11">
        <v>44283</v>
      </c>
      <c r="C268" t="s">
        <v>553</v>
      </c>
      <c r="D268" t="s">
        <v>250</v>
      </c>
      <c r="E268">
        <v>2</v>
      </c>
      <c r="F268" t="str">
        <f>_xlfn.XLOOKUP(C268,Customers!$A$2:$A$1001,Customers!$B$2:$B$1001)</f>
        <v>Myles Seawright</v>
      </c>
      <c r="G268" t="str">
        <f>_xlfn.XLOOKUP(C268,Customers!$A$2:$A$1001,Customers!$C$2:$C$1001)</f>
        <v>mseawright7e@nbcnews.com</v>
      </c>
      <c r="H268" t="str">
        <f>_xlfn.XLOOKUP(C268,Customers!$A$2:$A$1001,Customers!$G$2:$G$1001)</f>
        <v>United Kingdom</v>
      </c>
      <c r="I268" t="str" cm="1">
        <f t="array" ref="I268:L268">_xlfn.XLOOKUP(D268,products!$A$2:$A$49,products!$B$2:$E$49)</f>
        <v>Exc</v>
      </c>
      <c r="J268" t="str">
        <v>D</v>
      </c>
      <c r="K268" s="8">
        <v>1</v>
      </c>
      <c r="L268" s="6">
        <v>12.15</v>
      </c>
      <c r="M268" s="7">
        <f t="shared" si="12"/>
        <v>24.3</v>
      </c>
      <c r="N268" t="str">
        <f t="shared" si="13"/>
        <v>Excelsa</v>
      </c>
      <c r="O268" t="str">
        <f t="shared" si="14"/>
        <v>Dark</v>
      </c>
      <c r="P268" t="str">
        <f>_xlfn.XLOOKUP(Orders!C268,Customers!$A$2:$A$1001,Customers!$I$2:$I$1001)</f>
        <v>No</v>
      </c>
    </row>
    <row r="269" spans="1:16" x14ac:dyDescent="0.3">
      <c r="A269" t="s">
        <v>554</v>
      </c>
      <c r="B269" s="11">
        <v>44324</v>
      </c>
      <c r="C269" t="s">
        <v>555</v>
      </c>
      <c r="D269" t="s">
        <v>56</v>
      </c>
      <c r="E269">
        <v>6</v>
      </c>
      <c r="F269" t="str">
        <f>_xlfn.XLOOKUP(C269,Customers!$A$2:$A$1001,Customers!$B$2:$B$1001)</f>
        <v>Silvana Northeast</v>
      </c>
      <c r="G269" t="str">
        <f>_xlfn.XLOOKUP(C269,Customers!$A$2:$A$1001,Customers!$C$2:$C$1001)</f>
        <v>snortheast7f@mashable.com</v>
      </c>
      <c r="H269" t="str">
        <f>_xlfn.XLOOKUP(C269,Customers!$A$2:$A$1001,Customers!$G$2:$G$1001)</f>
        <v>United States</v>
      </c>
      <c r="I269" t="str" cm="1">
        <f t="array" ref="I269:L269">_xlfn.XLOOKUP(D269,products!$A$2:$A$49,products!$B$2:$E$49)</f>
        <v>Exc</v>
      </c>
      <c r="J269" t="str">
        <v>D</v>
      </c>
      <c r="K269" s="8">
        <v>0.2</v>
      </c>
      <c r="L269" s="6">
        <v>3.645</v>
      </c>
      <c r="M269" s="7">
        <f t="shared" si="12"/>
        <v>21.87</v>
      </c>
      <c r="N269" t="str">
        <f t="shared" si="13"/>
        <v>Excelsa</v>
      </c>
      <c r="O269" t="str">
        <f t="shared" si="14"/>
        <v>Dark</v>
      </c>
      <c r="P269" t="str">
        <f>_xlfn.XLOOKUP(Orders!C269,Customers!$A$2:$A$1001,Customers!$I$2:$I$1001)</f>
        <v>Yes</v>
      </c>
    </row>
    <row r="270" spans="1:16" x14ac:dyDescent="0.3">
      <c r="A270" t="s">
        <v>556</v>
      </c>
      <c r="B270" s="11">
        <v>43790</v>
      </c>
      <c r="C270" t="s">
        <v>443</v>
      </c>
      <c r="D270" t="s">
        <v>32</v>
      </c>
      <c r="E270">
        <v>2</v>
      </c>
      <c r="F270" t="str">
        <f>_xlfn.XLOOKUP(C270,Customers!$A$2:$A$1001,Customers!$B$2:$B$1001)</f>
        <v>Anselma Attwater</v>
      </c>
      <c r="G270" t="str">
        <f>_xlfn.XLOOKUP(C270,Customers!$A$2:$A$1001,Customers!$C$2:$C$1001)</f>
        <v>aattwater5u@wikia.com</v>
      </c>
      <c r="H270" t="str">
        <f>_xlfn.XLOOKUP(C270,Customers!$A$2:$A$1001,Customers!$G$2:$G$1001)</f>
        <v>United States</v>
      </c>
      <c r="I270" t="str" cm="1">
        <f t="array" ref="I270:L270">_xlfn.XLOOKUP(D270,products!$A$2:$A$49,products!$B$2:$E$49)</f>
        <v>Ara</v>
      </c>
      <c r="J270" t="str">
        <v>D</v>
      </c>
      <c r="K270" s="8">
        <v>1</v>
      </c>
      <c r="L270" s="6">
        <v>9.9499999999999993</v>
      </c>
      <c r="M270" s="7">
        <f t="shared" si="12"/>
        <v>19.899999999999999</v>
      </c>
      <c r="N270" t="str">
        <f t="shared" si="13"/>
        <v>Arasbica</v>
      </c>
      <c r="O270" t="str">
        <f t="shared" si="14"/>
        <v>Dark</v>
      </c>
      <c r="P270" t="str">
        <f>_xlfn.XLOOKUP(Orders!C270,Customers!$A$2:$A$1001,Customers!$I$2:$I$1001)</f>
        <v>Yes</v>
      </c>
    </row>
    <row r="271" spans="1:16" x14ac:dyDescent="0.3">
      <c r="A271" t="s">
        <v>557</v>
      </c>
      <c r="B271" s="11">
        <v>44333</v>
      </c>
      <c r="C271" t="s">
        <v>558</v>
      </c>
      <c r="D271" t="s">
        <v>59</v>
      </c>
      <c r="E271">
        <v>2</v>
      </c>
      <c r="F271" t="str">
        <f>_xlfn.XLOOKUP(C271,Customers!$A$2:$A$1001,Customers!$B$2:$B$1001)</f>
        <v>Monica Fearon</v>
      </c>
      <c r="G271" t="str">
        <f>_xlfn.XLOOKUP(C271,Customers!$A$2:$A$1001,Customers!$C$2:$C$1001)</f>
        <v>mfearon7h@reverbnation.com</v>
      </c>
      <c r="H271" t="str">
        <f>_xlfn.XLOOKUP(C271,Customers!$A$2:$A$1001,Customers!$G$2:$G$1001)</f>
        <v>United States</v>
      </c>
      <c r="I271" t="str" cm="1">
        <f t="array" ref="I271:L271">_xlfn.XLOOKUP(D271,products!$A$2:$A$49,products!$B$2:$E$49)</f>
        <v>Ara</v>
      </c>
      <c r="J271" t="str">
        <v>D</v>
      </c>
      <c r="K271" s="8">
        <v>0.2</v>
      </c>
      <c r="L271" s="6">
        <v>2.9849999999999999</v>
      </c>
      <c r="M271" s="7">
        <f t="shared" si="12"/>
        <v>5.97</v>
      </c>
      <c r="N271" t="str">
        <f t="shared" si="13"/>
        <v>Arasbica</v>
      </c>
      <c r="O271" t="str">
        <f t="shared" si="14"/>
        <v>Dark</v>
      </c>
      <c r="P271" t="str">
        <f>_xlfn.XLOOKUP(Orders!C271,Customers!$A$2:$A$1001,Customers!$I$2:$I$1001)</f>
        <v>No</v>
      </c>
    </row>
    <row r="272" spans="1:16" x14ac:dyDescent="0.3">
      <c r="A272" t="s">
        <v>559</v>
      </c>
      <c r="B272" s="11">
        <v>43655</v>
      </c>
      <c r="C272" t="s">
        <v>560</v>
      </c>
      <c r="D272" t="s">
        <v>21</v>
      </c>
      <c r="E272">
        <v>1</v>
      </c>
      <c r="F272" t="str">
        <f>_xlfn.XLOOKUP(C272,Customers!$A$2:$A$1001,Customers!$B$2:$B$1001)</f>
        <v>Barney Chisnell</v>
      </c>
      <c r="G272">
        <f>_xlfn.XLOOKUP(C272,Customers!$A$2:$A$1001,Customers!$C$2:$C$1001)</f>
        <v>0</v>
      </c>
      <c r="H272" t="str">
        <f>_xlfn.XLOOKUP(C272,Customers!$A$2:$A$1001,Customers!$G$2:$G$1001)</f>
        <v>Ireland</v>
      </c>
      <c r="I272" t="str" cm="1">
        <f t="array" ref="I272:L272">_xlfn.XLOOKUP(D272,products!$A$2:$A$49,products!$B$2:$E$49)</f>
        <v>Exc</v>
      </c>
      <c r="J272" t="str">
        <v>D</v>
      </c>
      <c r="K272" s="8">
        <v>0.5</v>
      </c>
      <c r="L272" s="6">
        <v>7.29</v>
      </c>
      <c r="M272" s="7">
        <f t="shared" si="12"/>
        <v>7.29</v>
      </c>
      <c r="N272" t="str">
        <f t="shared" si="13"/>
        <v>Excelsa</v>
      </c>
      <c r="O272" t="str">
        <f t="shared" si="14"/>
        <v>Dark</v>
      </c>
      <c r="P272" t="str">
        <f>_xlfn.XLOOKUP(Orders!C272,Customers!$A$2:$A$1001,Customers!$I$2:$I$1001)</f>
        <v>Yes</v>
      </c>
    </row>
    <row r="273" spans="1:16" x14ac:dyDescent="0.3">
      <c r="A273" t="s">
        <v>561</v>
      </c>
      <c r="B273" s="11">
        <v>43971</v>
      </c>
      <c r="C273" t="s">
        <v>562</v>
      </c>
      <c r="D273" t="s">
        <v>59</v>
      </c>
      <c r="E273">
        <v>4</v>
      </c>
      <c r="F273" t="str">
        <f>_xlfn.XLOOKUP(C273,Customers!$A$2:$A$1001,Customers!$B$2:$B$1001)</f>
        <v>Jasper Sisneros</v>
      </c>
      <c r="G273" t="str">
        <f>_xlfn.XLOOKUP(C273,Customers!$A$2:$A$1001,Customers!$C$2:$C$1001)</f>
        <v>jsisneros7j@a8.net</v>
      </c>
      <c r="H273" t="str">
        <f>_xlfn.XLOOKUP(C273,Customers!$A$2:$A$1001,Customers!$G$2:$G$1001)</f>
        <v>United States</v>
      </c>
      <c r="I273" t="str" cm="1">
        <f t="array" ref="I273:L273">_xlfn.XLOOKUP(D273,products!$A$2:$A$49,products!$B$2:$E$49)</f>
        <v>Ara</v>
      </c>
      <c r="J273" t="str">
        <v>D</v>
      </c>
      <c r="K273" s="8">
        <v>0.2</v>
      </c>
      <c r="L273" s="6">
        <v>2.9849999999999999</v>
      </c>
      <c r="M273" s="7">
        <f t="shared" si="12"/>
        <v>11.94</v>
      </c>
      <c r="N273" t="str">
        <f t="shared" si="13"/>
        <v>Arasbica</v>
      </c>
      <c r="O273" t="str">
        <f t="shared" si="14"/>
        <v>Dark</v>
      </c>
      <c r="P273" t="str">
        <f>_xlfn.XLOOKUP(Orders!C273,Customers!$A$2:$A$1001,Customers!$I$2:$I$1001)</f>
        <v>Yes</v>
      </c>
    </row>
    <row r="274" spans="1:16" x14ac:dyDescent="0.3">
      <c r="A274" t="s">
        <v>563</v>
      </c>
      <c r="B274" s="11">
        <v>44435</v>
      </c>
      <c r="C274" t="s">
        <v>564</v>
      </c>
      <c r="D274" t="s">
        <v>194</v>
      </c>
      <c r="E274">
        <v>6</v>
      </c>
      <c r="F274" t="str">
        <f>_xlfn.XLOOKUP(C274,Customers!$A$2:$A$1001,Customers!$B$2:$B$1001)</f>
        <v>Zachariah Carlson</v>
      </c>
      <c r="G274" t="str">
        <f>_xlfn.XLOOKUP(C274,Customers!$A$2:$A$1001,Customers!$C$2:$C$1001)</f>
        <v>zcarlson7k@bigcartel.com</v>
      </c>
      <c r="H274" t="str">
        <f>_xlfn.XLOOKUP(C274,Customers!$A$2:$A$1001,Customers!$G$2:$G$1001)</f>
        <v>Ireland</v>
      </c>
      <c r="I274" t="str" cm="1">
        <f t="array" ref="I274:L274">_xlfn.XLOOKUP(D274,products!$A$2:$A$49,products!$B$2:$E$49)</f>
        <v>Rob</v>
      </c>
      <c r="J274" t="str">
        <v>L</v>
      </c>
      <c r="K274" s="8">
        <v>1</v>
      </c>
      <c r="L274" s="6">
        <v>11.95</v>
      </c>
      <c r="M274" s="7">
        <f t="shared" si="12"/>
        <v>71.699999999999989</v>
      </c>
      <c r="N274" t="str">
        <f t="shared" si="13"/>
        <v>Robusta</v>
      </c>
      <c r="O274" t="str">
        <f t="shared" si="14"/>
        <v>Lite</v>
      </c>
      <c r="P274" t="str">
        <f>_xlfn.XLOOKUP(Orders!C274,Customers!$A$2:$A$1001,Customers!$I$2:$I$1001)</f>
        <v>Yes</v>
      </c>
    </row>
    <row r="275" spans="1:16" x14ac:dyDescent="0.3">
      <c r="A275" t="s">
        <v>565</v>
      </c>
      <c r="B275" s="11">
        <v>44681</v>
      </c>
      <c r="C275" t="s">
        <v>566</v>
      </c>
      <c r="D275" t="s">
        <v>120</v>
      </c>
      <c r="E275">
        <v>2</v>
      </c>
      <c r="F275" t="str">
        <f>_xlfn.XLOOKUP(C275,Customers!$A$2:$A$1001,Customers!$B$2:$B$1001)</f>
        <v>Warner Maddox</v>
      </c>
      <c r="G275" t="str">
        <f>_xlfn.XLOOKUP(C275,Customers!$A$2:$A$1001,Customers!$C$2:$C$1001)</f>
        <v>wmaddox7l@timesonline.co.uk</v>
      </c>
      <c r="H275" t="str">
        <f>_xlfn.XLOOKUP(C275,Customers!$A$2:$A$1001,Customers!$G$2:$G$1001)</f>
        <v>United States</v>
      </c>
      <c r="I275" t="str" cm="1">
        <f t="array" ref="I275:L275">_xlfn.XLOOKUP(D275,products!$A$2:$A$49,products!$B$2:$E$49)</f>
        <v>Ara</v>
      </c>
      <c r="J275" t="str">
        <v>L</v>
      </c>
      <c r="K275" s="8">
        <v>0.2</v>
      </c>
      <c r="L275" s="6">
        <v>3.8849999999999998</v>
      </c>
      <c r="M275" s="7">
        <f t="shared" si="12"/>
        <v>7.77</v>
      </c>
      <c r="N275" t="str">
        <f t="shared" si="13"/>
        <v>Arasbica</v>
      </c>
      <c r="O275" t="str">
        <f t="shared" si="14"/>
        <v>Lite</v>
      </c>
      <c r="P275" t="str">
        <f>_xlfn.XLOOKUP(Orders!C275,Customers!$A$2:$A$1001,Customers!$I$2:$I$1001)</f>
        <v>No</v>
      </c>
    </row>
    <row r="276" spans="1:16" x14ac:dyDescent="0.3">
      <c r="A276" t="s">
        <v>567</v>
      </c>
      <c r="B276" s="11">
        <v>43985</v>
      </c>
      <c r="C276" t="s">
        <v>568</v>
      </c>
      <c r="D276" t="s">
        <v>176</v>
      </c>
      <c r="E276">
        <v>1</v>
      </c>
      <c r="F276" t="str">
        <f>_xlfn.XLOOKUP(C276,Customers!$A$2:$A$1001,Customers!$B$2:$B$1001)</f>
        <v>Donnie Hedlestone</v>
      </c>
      <c r="G276" t="str">
        <f>_xlfn.XLOOKUP(C276,Customers!$A$2:$A$1001,Customers!$C$2:$C$1001)</f>
        <v>dhedlestone7m@craigslist.org</v>
      </c>
      <c r="H276" t="str">
        <f>_xlfn.XLOOKUP(C276,Customers!$A$2:$A$1001,Customers!$G$2:$G$1001)</f>
        <v>United States</v>
      </c>
      <c r="I276" t="str" cm="1">
        <f t="array" ref="I276:L276">_xlfn.XLOOKUP(D276,products!$A$2:$A$49,products!$B$2:$E$49)</f>
        <v>Ara</v>
      </c>
      <c r="J276" t="str">
        <v>M</v>
      </c>
      <c r="K276" s="8">
        <v>2.5</v>
      </c>
      <c r="L276" s="6">
        <v>25.874999999999996</v>
      </c>
      <c r="M276" s="7">
        <f t="shared" si="12"/>
        <v>25.874999999999996</v>
      </c>
      <c r="N276" t="str">
        <f t="shared" si="13"/>
        <v>Arasbica</v>
      </c>
      <c r="O276" t="str">
        <f t="shared" si="14"/>
        <v>Medium</v>
      </c>
      <c r="P276" t="str">
        <f>_xlfn.XLOOKUP(Orders!C276,Customers!$A$2:$A$1001,Customers!$I$2:$I$1001)</f>
        <v>No</v>
      </c>
    </row>
    <row r="277" spans="1:16" x14ac:dyDescent="0.3">
      <c r="A277" t="s">
        <v>569</v>
      </c>
      <c r="B277" s="11">
        <v>44725</v>
      </c>
      <c r="C277" t="s">
        <v>570</v>
      </c>
      <c r="D277" t="s">
        <v>35</v>
      </c>
      <c r="E277">
        <v>6</v>
      </c>
      <c r="F277" t="str">
        <f>_xlfn.XLOOKUP(C277,Customers!$A$2:$A$1001,Customers!$B$2:$B$1001)</f>
        <v>Teddi Crowthe</v>
      </c>
      <c r="G277" t="str">
        <f>_xlfn.XLOOKUP(C277,Customers!$A$2:$A$1001,Customers!$C$2:$C$1001)</f>
        <v>tcrowthe7n@europa.eu</v>
      </c>
      <c r="H277" t="str">
        <f>_xlfn.XLOOKUP(C277,Customers!$A$2:$A$1001,Customers!$G$2:$G$1001)</f>
        <v>United States</v>
      </c>
      <c r="I277" t="str" cm="1">
        <f t="array" ref="I277:L277">_xlfn.XLOOKUP(D277,products!$A$2:$A$49,products!$B$2:$E$49)</f>
        <v>Exc</v>
      </c>
      <c r="J277" t="str">
        <v>L</v>
      </c>
      <c r="K277" s="8">
        <v>2.5</v>
      </c>
      <c r="L277" s="6">
        <v>34.154999999999994</v>
      </c>
      <c r="M277" s="7">
        <f t="shared" si="12"/>
        <v>204.92999999999995</v>
      </c>
      <c r="N277" t="str">
        <f t="shared" si="13"/>
        <v>Excelsa</v>
      </c>
      <c r="O277" t="str">
        <f t="shared" si="14"/>
        <v>Lite</v>
      </c>
      <c r="P277" t="str">
        <f>_xlfn.XLOOKUP(Orders!C277,Customers!$A$2:$A$1001,Customers!$I$2:$I$1001)</f>
        <v>No</v>
      </c>
    </row>
    <row r="278" spans="1:16" x14ac:dyDescent="0.3">
      <c r="A278" t="s">
        <v>571</v>
      </c>
      <c r="B278" s="11">
        <v>43992</v>
      </c>
      <c r="C278" t="s">
        <v>572</v>
      </c>
      <c r="D278" t="s">
        <v>15</v>
      </c>
      <c r="E278">
        <v>4</v>
      </c>
      <c r="F278" t="str">
        <f>_xlfn.XLOOKUP(C278,Customers!$A$2:$A$1001,Customers!$B$2:$B$1001)</f>
        <v>Dorelia Bury</v>
      </c>
      <c r="G278" t="str">
        <f>_xlfn.XLOOKUP(C278,Customers!$A$2:$A$1001,Customers!$C$2:$C$1001)</f>
        <v>dbury7o@tinyurl.com</v>
      </c>
      <c r="H278" t="str">
        <f>_xlfn.XLOOKUP(C278,Customers!$A$2:$A$1001,Customers!$G$2:$G$1001)</f>
        <v>Ireland</v>
      </c>
      <c r="I278" t="str" cm="1">
        <f t="array" ref="I278:L278">_xlfn.XLOOKUP(D278,products!$A$2:$A$49,products!$B$2:$E$49)</f>
        <v>Rob</v>
      </c>
      <c r="J278" t="str">
        <v>L</v>
      </c>
      <c r="K278" s="8">
        <v>2.5</v>
      </c>
      <c r="L278" s="6">
        <v>27.484999999999996</v>
      </c>
      <c r="M278" s="7">
        <f t="shared" si="12"/>
        <v>109.93999999999998</v>
      </c>
      <c r="N278" t="str">
        <f t="shared" si="13"/>
        <v>Robusta</v>
      </c>
      <c r="O278" t="str">
        <f t="shared" si="14"/>
        <v>Lite</v>
      </c>
      <c r="P278" t="str">
        <f>_xlfn.XLOOKUP(Orders!C278,Customers!$A$2:$A$1001,Customers!$I$2:$I$1001)</f>
        <v>Yes</v>
      </c>
    </row>
    <row r="279" spans="1:16" x14ac:dyDescent="0.3">
      <c r="A279" t="s">
        <v>573</v>
      </c>
      <c r="B279" s="11">
        <v>44183</v>
      </c>
      <c r="C279" t="s">
        <v>574</v>
      </c>
      <c r="D279" t="s">
        <v>142</v>
      </c>
      <c r="E279">
        <v>6</v>
      </c>
      <c r="F279" t="str">
        <f>_xlfn.XLOOKUP(C279,Customers!$A$2:$A$1001,Customers!$B$2:$B$1001)</f>
        <v>Gussy Broadbear</v>
      </c>
      <c r="G279" t="str">
        <f>_xlfn.XLOOKUP(C279,Customers!$A$2:$A$1001,Customers!$C$2:$C$1001)</f>
        <v>gbroadbear7p@omniture.com</v>
      </c>
      <c r="H279" t="str">
        <f>_xlfn.XLOOKUP(C279,Customers!$A$2:$A$1001,Customers!$G$2:$G$1001)</f>
        <v>United States</v>
      </c>
      <c r="I279" t="str" cm="1">
        <f t="array" ref="I279:L279">_xlfn.XLOOKUP(D279,products!$A$2:$A$49,products!$B$2:$E$49)</f>
        <v>Exc</v>
      </c>
      <c r="J279" t="str">
        <v>L</v>
      </c>
      <c r="K279" s="8">
        <v>1</v>
      </c>
      <c r="L279" s="6">
        <v>14.85</v>
      </c>
      <c r="M279" s="7">
        <f t="shared" si="12"/>
        <v>89.1</v>
      </c>
      <c r="N279" t="str">
        <f t="shared" si="13"/>
        <v>Excelsa</v>
      </c>
      <c r="O279" t="str">
        <f t="shared" si="14"/>
        <v>Lite</v>
      </c>
      <c r="P279" t="str">
        <f>_xlfn.XLOOKUP(Orders!C279,Customers!$A$2:$A$1001,Customers!$I$2:$I$1001)</f>
        <v>No</v>
      </c>
    </row>
    <row r="280" spans="1:16" x14ac:dyDescent="0.3">
      <c r="A280" t="s">
        <v>575</v>
      </c>
      <c r="B280" s="11">
        <v>43708</v>
      </c>
      <c r="C280" t="s">
        <v>576</v>
      </c>
      <c r="D280" t="s">
        <v>120</v>
      </c>
      <c r="E280">
        <v>2</v>
      </c>
      <c r="F280" t="str">
        <f>_xlfn.XLOOKUP(C280,Customers!$A$2:$A$1001,Customers!$B$2:$B$1001)</f>
        <v>Emlynne Palfrey</v>
      </c>
      <c r="G280" t="str">
        <f>_xlfn.XLOOKUP(C280,Customers!$A$2:$A$1001,Customers!$C$2:$C$1001)</f>
        <v>epalfrey7q@devhub.com</v>
      </c>
      <c r="H280" t="str">
        <f>_xlfn.XLOOKUP(C280,Customers!$A$2:$A$1001,Customers!$G$2:$G$1001)</f>
        <v>United States</v>
      </c>
      <c r="I280" t="str" cm="1">
        <f t="array" ref="I280:L280">_xlfn.XLOOKUP(D280,products!$A$2:$A$49,products!$B$2:$E$49)</f>
        <v>Ara</v>
      </c>
      <c r="J280" t="str">
        <v>L</v>
      </c>
      <c r="K280" s="8">
        <v>0.2</v>
      </c>
      <c r="L280" s="6">
        <v>3.8849999999999998</v>
      </c>
      <c r="M280" s="7">
        <f t="shared" si="12"/>
        <v>7.77</v>
      </c>
      <c r="N280" t="str">
        <f t="shared" si="13"/>
        <v>Arasbica</v>
      </c>
      <c r="O280" t="str">
        <f t="shared" si="14"/>
        <v>Lite</v>
      </c>
      <c r="P280" t="str">
        <f>_xlfn.XLOOKUP(Orders!C280,Customers!$A$2:$A$1001,Customers!$I$2:$I$1001)</f>
        <v>Yes</v>
      </c>
    </row>
    <row r="281" spans="1:16" x14ac:dyDescent="0.3">
      <c r="A281" t="s">
        <v>577</v>
      </c>
      <c r="B281" s="11">
        <v>43521</v>
      </c>
      <c r="C281" t="s">
        <v>578</v>
      </c>
      <c r="D281" t="s">
        <v>202</v>
      </c>
      <c r="E281">
        <v>1</v>
      </c>
      <c r="F281" t="str">
        <f>_xlfn.XLOOKUP(C281,Customers!$A$2:$A$1001,Customers!$B$2:$B$1001)</f>
        <v>Parsifal Metrick</v>
      </c>
      <c r="G281" t="str">
        <f>_xlfn.XLOOKUP(C281,Customers!$A$2:$A$1001,Customers!$C$2:$C$1001)</f>
        <v>pmetrick7r@rakuten.co.jp</v>
      </c>
      <c r="H281" t="str">
        <f>_xlfn.XLOOKUP(C281,Customers!$A$2:$A$1001,Customers!$G$2:$G$1001)</f>
        <v>United States</v>
      </c>
      <c r="I281" t="str" cm="1">
        <f t="array" ref="I281:L281">_xlfn.XLOOKUP(D281,products!$A$2:$A$49,products!$B$2:$E$49)</f>
        <v>Lib</v>
      </c>
      <c r="J281" t="str">
        <v>M</v>
      </c>
      <c r="K281" s="8">
        <v>2.5</v>
      </c>
      <c r="L281" s="6">
        <v>33.464999999999996</v>
      </c>
      <c r="M281" s="7">
        <f t="shared" si="12"/>
        <v>33.464999999999996</v>
      </c>
      <c r="N281" t="str">
        <f t="shared" si="13"/>
        <v>Liberica</v>
      </c>
      <c r="O281" t="str">
        <f t="shared" si="14"/>
        <v>Medium</v>
      </c>
      <c r="P281" t="str">
        <f>_xlfn.XLOOKUP(Orders!C281,Customers!$A$2:$A$1001,Customers!$I$2:$I$1001)</f>
        <v>Yes</v>
      </c>
    </row>
    <row r="282" spans="1:16" x14ac:dyDescent="0.3">
      <c r="A282" t="s">
        <v>579</v>
      </c>
      <c r="B282" s="11">
        <v>44234</v>
      </c>
      <c r="C282" t="s">
        <v>580</v>
      </c>
      <c r="D282" t="s">
        <v>8</v>
      </c>
      <c r="E282">
        <v>5</v>
      </c>
      <c r="F282" t="str">
        <f>_xlfn.XLOOKUP(C282,Customers!$A$2:$A$1001,Customers!$B$2:$B$1001)</f>
        <v>Christopher Grieveson</v>
      </c>
      <c r="G282">
        <f>_xlfn.XLOOKUP(C282,Customers!$A$2:$A$1001,Customers!$C$2:$C$1001)</f>
        <v>0</v>
      </c>
      <c r="H282" t="str">
        <f>_xlfn.XLOOKUP(C282,Customers!$A$2:$A$1001,Customers!$G$2:$G$1001)</f>
        <v>United States</v>
      </c>
      <c r="I282" t="str" cm="1">
        <f t="array" ref="I282:L282">_xlfn.XLOOKUP(D282,products!$A$2:$A$49,products!$B$2:$E$49)</f>
        <v>Exc</v>
      </c>
      <c r="J282" t="str">
        <v>M</v>
      </c>
      <c r="K282" s="8">
        <v>0.5</v>
      </c>
      <c r="L282" s="6">
        <v>8.25</v>
      </c>
      <c r="M282" s="7">
        <f t="shared" si="12"/>
        <v>41.25</v>
      </c>
      <c r="N282" t="str">
        <f t="shared" si="13"/>
        <v>Excelsa</v>
      </c>
      <c r="O282" t="str">
        <f t="shared" si="14"/>
        <v>Medium</v>
      </c>
      <c r="P282" t="str">
        <f>_xlfn.XLOOKUP(Orders!C282,Customers!$A$2:$A$1001,Customers!$I$2:$I$1001)</f>
        <v>Yes</v>
      </c>
    </row>
    <row r="283" spans="1:16" x14ac:dyDescent="0.3">
      <c r="A283" t="s">
        <v>581</v>
      </c>
      <c r="B283" s="11">
        <v>44210</v>
      </c>
      <c r="C283" t="s">
        <v>582</v>
      </c>
      <c r="D283" t="s">
        <v>142</v>
      </c>
      <c r="E283">
        <v>4</v>
      </c>
      <c r="F283" t="str">
        <f>_xlfn.XLOOKUP(C283,Customers!$A$2:$A$1001,Customers!$B$2:$B$1001)</f>
        <v>Karlan Karby</v>
      </c>
      <c r="G283" t="str">
        <f>_xlfn.XLOOKUP(C283,Customers!$A$2:$A$1001,Customers!$C$2:$C$1001)</f>
        <v>kkarby7t@sbwire.com</v>
      </c>
      <c r="H283" t="str">
        <f>_xlfn.XLOOKUP(C283,Customers!$A$2:$A$1001,Customers!$G$2:$G$1001)</f>
        <v>United States</v>
      </c>
      <c r="I283" t="str" cm="1">
        <f t="array" ref="I283:L283">_xlfn.XLOOKUP(D283,products!$A$2:$A$49,products!$B$2:$E$49)</f>
        <v>Exc</v>
      </c>
      <c r="J283" t="str">
        <v>L</v>
      </c>
      <c r="K283" s="8">
        <v>1</v>
      </c>
      <c r="L283" s="6">
        <v>14.85</v>
      </c>
      <c r="M283" s="7">
        <f t="shared" si="12"/>
        <v>59.4</v>
      </c>
      <c r="N283" t="str">
        <f t="shared" si="13"/>
        <v>Excelsa</v>
      </c>
      <c r="O283" t="str">
        <f t="shared" si="14"/>
        <v>Lite</v>
      </c>
      <c r="P283" t="str">
        <f>_xlfn.XLOOKUP(Orders!C283,Customers!$A$2:$A$1001,Customers!$I$2:$I$1001)</f>
        <v>Yes</v>
      </c>
    </row>
    <row r="284" spans="1:16" x14ac:dyDescent="0.3">
      <c r="A284" t="s">
        <v>583</v>
      </c>
      <c r="B284" s="11">
        <v>43520</v>
      </c>
      <c r="C284" t="s">
        <v>584</v>
      </c>
      <c r="D284" t="s">
        <v>197</v>
      </c>
      <c r="E284">
        <v>1</v>
      </c>
      <c r="F284" t="str">
        <f>_xlfn.XLOOKUP(C284,Customers!$A$2:$A$1001,Customers!$B$2:$B$1001)</f>
        <v>Flory Crumpe</v>
      </c>
      <c r="G284" t="str">
        <f>_xlfn.XLOOKUP(C284,Customers!$A$2:$A$1001,Customers!$C$2:$C$1001)</f>
        <v>fcrumpe7u@ftc.gov</v>
      </c>
      <c r="H284" t="str">
        <f>_xlfn.XLOOKUP(C284,Customers!$A$2:$A$1001,Customers!$G$2:$G$1001)</f>
        <v>United Kingdom</v>
      </c>
      <c r="I284" t="str" cm="1">
        <f t="array" ref="I284:L284">_xlfn.XLOOKUP(D284,products!$A$2:$A$49,products!$B$2:$E$49)</f>
        <v>Ara</v>
      </c>
      <c r="J284" t="str">
        <v>L</v>
      </c>
      <c r="K284" s="8">
        <v>0.5</v>
      </c>
      <c r="L284" s="6">
        <v>7.77</v>
      </c>
      <c r="M284" s="7">
        <f t="shared" si="12"/>
        <v>7.77</v>
      </c>
      <c r="N284" t="str">
        <f t="shared" si="13"/>
        <v>Arasbica</v>
      </c>
      <c r="O284" t="str">
        <f t="shared" si="14"/>
        <v>Lite</v>
      </c>
      <c r="P284" t="str">
        <f>_xlfn.XLOOKUP(Orders!C284,Customers!$A$2:$A$1001,Customers!$I$2:$I$1001)</f>
        <v>No</v>
      </c>
    </row>
    <row r="285" spans="1:16" x14ac:dyDescent="0.3">
      <c r="A285" t="s">
        <v>585</v>
      </c>
      <c r="B285" s="11">
        <v>43639</v>
      </c>
      <c r="C285" t="s">
        <v>586</v>
      </c>
      <c r="D285" t="s">
        <v>151</v>
      </c>
      <c r="E285">
        <v>1</v>
      </c>
      <c r="F285" t="str">
        <f>_xlfn.XLOOKUP(C285,Customers!$A$2:$A$1001,Customers!$B$2:$B$1001)</f>
        <v>Amity Chatto</v>
      </c>
      <c r="G285" t="str">
        <f>_xlfn.XLOOKUP(C285,Customers!$A$2:$A$1001,Customers!$C$2:$C$1001)</f>
        <v>achatto7v@sakura.ne.jp</v>
      </c>
      <c r="H285" t="str">
        <f>_xlfn.XLOOKUP(C285,Customers!$A$2:$A$1001,Customers!$G$2:$G$1001)</f>
        <v>United Kingdom</v>
      </c>
      <c r="I285" t="str" cm="1">
        <f t="array" ref="I285:L285">_xlfn.XLOOKUP(D285,products!$A$2:$A$49,products!$B$2:$E$49)</f>
        <v>Rob</v>
      </c>
      <c r="J285" t="str">
        <v>D</v>
      </c>
      <c r="K285" s="8">
        <v>0.5</v>
      </c>
      <c r="L285" s="6">
        <v>5.3699999999999992</v>
      </c>
      <c r="M285" s="7">
        <f t="shared" si="12"/>
        <v>5.3699999999999992</v>
      </c>
      <c r="N285" t="str">
        <f t="shared" si="13"/>
        <v>Robusta</v>
      </c>
      <c r="O285" t="str">
        <f t="shared" si="14"/>
        <v>Dark</v>
      </c>
      <c r="P285" t="str">
        <f>_xlfn.XLOOKUP(Orders!C285,Customers!$A$2:$A$1001,Customers!$I$2:$I$1001)</f>
        <v>Yes</v>
      </c>
    </row>
    <row r="286" spans="1:16" x14ac:dyDescent="0.3">
      <c r="A286" t="s">
        <v>587</v>
      </c>
      <c r="B286" s="11">
        <v>43960</v>
      </c>
      <c r="C286" t="s">
        <v>588</v>
      </c>
      <c r="D286" t="s">
        <v>117</v>
      </c>
      <c r="E286">
        <v>3</v>
      </c>
      <c r="F286" t="str">
        <f>_xlfn.XLOOKUP(C286,Customers!$A$2:$A$1001,Customers!$B$2:$B$1001)</f>
        <v>Nanine McCarthy</v>
      </c>
      <c r="G286">
        <f>_xlfn.XLOOKUP(C286,Customers!$A$2:$A$1001,Customers!$C$2:$C$1001)</f>
        <v>0</v>
      </c>
      <c r="H286" t="str">
        <f>_xlfn.XLOOKUP(C286,Customers!$A$2:$A$1001,Customers!$G$2:$G$1001)</f>
        <v>United States</v>
      </c>
      <c r="I286" t="str" cm="1">
        <f t="array" ref="I286:L286">_xlfn.XLOOKUP(D286,products!$A$2:$A$49,products!$B$2:$E$49)</f>
        <v>Exc</v>
      </c>
      <c r="J286" t="str">
        <v>M</v>
      </c>
      <c r="K286" s="8">
        <v>2.5</v>
      </c>
      <c r="L286" s="6">
        <v>31.624999999999996</v>
      </c>
      <c r="M286" s="7">
        <f t="shared" si="12"/>
        <v>94.874999999999986</v>
      </c>
      <c r="N286" t="str">
        <f t="shared" si="13"/>
        <v>Excelsa</v>
      </c>
      <c r="O286" t="str">
        <f t="shared" si="14"/>
        <v>Medium</v>
      </c>
      <c r="P286" t="str">
        <f>_xlfn.XLOOKUP(Orders!C286,Customers!$A$2:$A$1001,Customers!$I$2:$I$1001)</f>
        <v>No</v>
      </c>
    </row>
    <row r="287" spans="1:16" x14ac:dyDescent="0.3">
      <c r="A287" t="s">
        <v>589</v>
      </c>
      <c r="B287" s="11">
        <v>44030</v>
      </c>
      <c r="C287" t="s">
        <v>590</v>
      </c>
      <c r="D287" t="s">
        <v>109</v>
      </c>
      <c r="E287">
        <v>1</v>
      </c>
      <c r="F287" t="str">
        <f>_xlfn.XLOOKUP(C287,Customers!$A$2:$A$1001,Customers!$B$2:$B$1001)</f>
        <v>Lyndsey Megany</v>
      </c>
      <c r="G287">
        <f>_xlfn.XLOOKUP(C287,Customers!$A$2:$A$1001,Customers!$C$2:$C$1001)</f>
        <v>0</v>
      </c>
      <c r="H287" t="str">
        <f>_xlfn.XLOOKUP(C287,Customers!$A$2:$A$1001,Customers!$G$2:$G$1001)</f>
        <v>United States</v>
      </c>
      <c r="I287" t="str" cm="1">
        <f t="array" ref="I287:L287">_xlfn.XLOOKUP(D287,products!$A$2:$A$49,products!$B$2:$E$49)</f>
        <v>Lib</v>
      </c>
      <c r="J287" t="str">
        <v>L</v>
      </c>
      <c r="K287" s="8">
        <v>2.5</v>
      </c>
      <c r="L287" s="6">
        <v>36.454999999999998</v>
      </c>
      <c r="M287" s="7">
        <f t="shared" si="12"/>
        <v>36.454999999999998</v>
      </c>
      <c r="N287" t="str">
        <f t="shared" si="13"/>
        <v>Liberica</v>
      </c>
      <c r="O287" t="str">
        <f t="shared" si="14"/>
        <v>Lite</v>
      </c>
      <c r="P287" t="str">
        <f>_xlfn.XLOOKUP(Orders!C287,Customers!$A$2:$A$1001,Customers!$I$2:$I$1001)</f>
        <v>No</v>
      </c>
    </row>
    <row r="288" spans="1:16" x14ac:dyDescent="0.3">
      <c r="A288" t="s">
        <v>591</v>
      </c>
      <c r="B288" s="11">
        <v>43755</v>
      </c>
      <c r="C288" t="s">
        <v>592</v>
      </c>
      <c r="D288" t="s">
        <v>49</v>
      </c>
      <c r="E288">
        <v>4</v>
      </c>
      <c r="F288" t="str">
        <f>_xlfn.XLOOKUP(C288,Customers!$A$2:$A$1001,Customers!$B$2:$B$1001)</f>
        <v>Byram Mergue</v>
      </c>
      <c r="G288" t="str">
        <f>_xlfn.XLOOKUP(C288,Customers!$A$2:$A$1001,Customers!$C$2:$C$1001)</f>
        <v>bmergue7y@umn.edu</v>
      </c>
      <c r="H288" t="str">
        <f>_xlfn.XLOOKUP(C288,Customers!$A$2:$A$1001,Customers!$G$2:$G$1001)</f>
        <v>United States</v>
      </c>
      <c r="I288" t="str" cm="1">
        <f t="array" ref="I288:L288">_xlfn.XLOOKUP(D288,products!$A$2:$A$49,products!$B$2:$E$49)</f>
        <v>Ara</v>
      </c>
      <c r="J288" t="str">
        <v>M</v>
      </c>
      <c r="K288" s="8">
        <v>0.2</v>
      </c>
      <c r="L288" s="6">
        <v>3.375</v>
      </c>
      <c r="M288" s="7">
        <f t="shared" si="12"/>
        <v>13.5</v>
      </c>
      <c r="N288" t="str">
        <f t="shared" si="13"/>
        <v>Arasbica</v>
      </c>
      <c r="O288" t="str">
        <f t="shared" si="14"/>
        <v>Medium</v>
      </c>
      <c r="P288" t="str">
        <f>_xlfn.XLOOKUP(Orders!C288,Customers!$A$2:$A$1001,Customers!$I$2:$I$1001)</f>
        <v>Yes</v>
      </c>
    </row>
    <row r="289" spans="1:16" x14ac:dyDescent="0.3">
      <c r="A289" t="s">
        <v>593</v>
      </c>
      <c r="B289" s="11">
        <v>44697</v>
      </c>
      <c r="C289" t="s">
        <v>594</v>
      </c>
      <c r="D289" t="s">
        <v>187</v>
      </c>
      <c r="E289">
        <v>4</v>
      </c>
      <c r="F289" t="str">
        <f>_xlfn.XLOOKUP(C289,Customers!$A$2:$A$1001,Customers!$B$2:$B$1001)</f>
        <v>Kerr Patise</v>
      </c>
      <c r="G289" t="str">
        <f>_xlfn.XLOOKUP(C289,Customers!$A$2:$A$1001,Customers!$C$2:$C$1001)</f>
        <v>kpatise7z@jigsy.com</v>
      </c>
      <c r="H289" t="str">
        <f>_xlfn.XLOOKUP(C289,Customers!$A$2:$A$1001,Customers!$G$2:$G$1001)</f>
        <v>United States</v>
      </c>
      <c r="I289" t="str" cm="1">
        <f t="array" ref="I289:L289">_xlfn.XLOOKUP(D289,products!$A$2:$A$49,products!$B$2:$E$49)</f>
        <v>Rob</v>
      </c>
      <c r="J289" t="str">
        <v>L</v>
      </c>
      <c r="K289" s="8">
        <v>0.2</v>
      </c>
      <c r="L289" s="6">
        <v>3.5849999999999995</v>
      </c>
      <c r="M289" s="7">
        <f t="shared" si="12"/>
        <v>14.339999999999998</v>
      </c>
      <c r="N289" t="str">
        <f t="shared" si="13"/>
        <v>Robusta</v>
      </c>
      <c r="O289" t="str">
        <f t="shared" si="14"/>
        <v>Lite</v>
      </c>
      <c r="P289" t="str">
        <f>_xlfn.XLOOKUP(Orders!C289,Customers!$A$2:$A$1001,Customers!$I$2:$I$1001)</f>
        <v>No</v>
      </c>
    </row>
    <row r="290" spans="1:16" x14ac:dyDescent="0.3">
      <c r="A290" t="s">
        <v>595</v>
      </c>
      <c r="B290" s="11">
        <v>44279</v>
      </c>
      <c r="C290" t="s">
        <v>596</v>
      </c>
      <c r="D290" t="s">
        <v>8</v>
      </c>
      <c r="E290">
        <v>1</v>
      </c>
      <c r="F290" t="str">
        <f>_xlfn.XLOOKUP(C290,Customers!$A$2:$A$1001,Customers!$B$2:$B$1001)</f>
        <v>Mathew Goulter</v>
      </c>
      <c r="G290">
        <f>_xlfn.XLOOKUP(C290,Customers!$A$2:$A$1001,Customers!$C$2:$C$1001)</f>
        <v>0</v>
      </c>
      <c r="H290" t="str">
        <f>_xlfn.XLOOKUP(C290,Customers!$A$2:$A$1001,Customers!$G$2:$G$1001)</f>
        <v>Ireland</v>
      </c>
      <c r="I290" t="str" cm="1">
        <f t="array" ref="I290:L290">_xlfn.XLOOKUP(D290,products!$A$2:$A$49,products!$B$2:$E$49)</f>
        <v>Exc</v>
      </c>
      <c r="J290" t="str">
        <v>M</v>
      </c>
      <c r="K290" s="8">
        <v>0.5</v>
      </c>
      <c r="L290" s="6">
        <v>8.25</v>
      </c>
      <c r="M290" s="7">
        <f t="shared" si="12"/>
        <v>8.25</v>
      </c>
      <c r="N290" t="str">
        <f t="shared" si="13"/>
        <v>Excelsa</v>
      </c>
      <c r="O290" t="str">
        <f t="shared" si="14"/>
        <v>Medium</v>
      </c>
      <c r="P290" t="str">
        <f>_xlfn.XLOOKUP(Orders!C290,Customers!$A$2:$A$1001,Customers!$I$2:$I$1001)</f>
        <v>Yes</v>
      </c>
    </row>
    <row r="291" spans="1:16" x14ac:dyDescent="0.3">
      <c r="A291" t="s">
        <v>597</v>
      </c>
      <c r="B291" s="11">
        <v>43772</v>
      </c>
      <c r="C291" t="s">
        <v>598</v>
      </c>
      <c r="D291" t="s">
        <v>106</v>
      </c>
      <c r="E291">
        <v>5</v>
      </c>
      <c r="F291" t="str">
        <f>_xlfn.XLOOKUP(C291,Customers!$A$2:$A$1001,Customers!$B$2:$B$1001)</f>
        <v>Marris Grcic</v>
      </c>
      <c r="G291">
        <f>_xlfn.XLOOKUP(C291,Customers!$A$2:$A$1001,Customers!$C$2:$C$1001)</f>
        <v>0</v>
      </c>
      <c r="H291" t="str">
        <f>_xlfn.XLOOKUP(C291,Customers!$A$2:$A$1001,Customers!$G$2:$G$1001)</f>
        <v>United States</v>
      </c>
      <c r="I291" t="str" cm="1">
        <f t="array" ref="I291:L291">_xlfn.XLOOKUP(D291,products!$A$2:$A$49,products!$B$2:$E$49)</f>
        <v>Rob</v>
      </c>
      <c r="J291" t="str">
        <v>D</v>
      </c>
      <c r="K291" s="8">
        <v>0.2</v>
      </c>
      <c r="L291" s="6">
        <v>2.6849999999999996</v>
      </c>
      <c r="M291" s="7">
        <f t="shared" si="12"/>
        <v>13.424999999999997</v>
      </c>
      <c r="N291" t="str">
        <f t="shared" si="13"/>
        <v>Robusta</v>
      </c>
      <c r="O291" t="str">
        <f t="shared" si="14"/>
        <v>Dark</v>
      </c>
      <c r="P291" t="str">
        <f>_xlfn.XLOOKUP(Orders!C291,Customers!$A$2:$A$1001,Customers!$I$2:$I$1001)</f>
        <v>Yes</v>
      </c>
    </row>
    <row r="292" spans="1:16" x14ac:dyDescent="0.3">
      <c r="A292" t="s">
        <v>599</v>
      </c>
      <c r="B292" s="11">
        <v>44497</v>
      </c>
      <c r="C292" t="s">
        <v>600</v>
      </c>
      <c r="D292" t="s">
        <v>32</v>
      </c>
      <c r="E292">
        <v>5</v>
      </c>
      <c r="F292" t="str">
        <f>_xlfn.XLOOKUP(C292,Customers!$A$2:$A$1001,Customers!$B$2:$B$1001)</f>
        <v>Domeniga Duke</v>
      </c>
      <c r="G292" t="str">
        <f>_xlfn.XLOOKUP(C292,Customers!$A$2:$A$1001,Customers!$C$2:$C$1001)</f>
        <v>dduke82@vkontakte.ru</v>
      </c>
      <c r="H292" t="str">
        <f>_xlfn.XLOOKUP(C292,Customers!$A$2:$A$1001,Customers!$G$2:$G$1001)</f>
        <v>United States</v>
      </c>
      <c r="I292" t="str" cm="1">
        <f t="array" ref="I292:L292">_xlfn.XLOOKUP(D292,products!$A$2:$A$49,products!$B$2:$E$49)</f>
        <v>Ara</v>
      </c>
      <c r="J292" t="str">
        <v>D</v>
      </c>
      <c r="K292" s="8">
        <v>1</v>
      </c>
      <c r="L292" s="6">
        <v>9.9499999999999993</v>
      </c>
      <c r="M292" s="7">
        <f t="shared" si="12"/>
        <v>49.75</v>
      </c>
      <c r="N292" t="str">
        <f t="shared" si="13"/>
        <v>Arasbica</v>
      </c>
      <c r="O292" t="str">
        <f t="shared" si="14"/>
        <v>Dark</v>
      </c>
      <c r="P292" t="str">
        <f>_xlfn.XLOOKUP(Orders!C292,Customers!$A$2:$A$1001,Customers!$I$2:$I$1001)</f>
        <v>No</v>
      </c>
    </row>
    <row r="293" spans="1:16" x14ac:dyDescent="0.3">
      <c r="A293" t="s">
        <v>601</v>
      </c>
      <c r="B293" s="11">
        <v>44181</v>
      </c>
      <c r="C293" t="s">
        <v>602</v>
      </c>
      <c r="D293" t="s">
        <v>8</v>
      </c>
      <c r="E293">
        <v>2</v>
      </c>
      <c r="F293" t="str">
        <f>_xlfn.XLOOKUP(C293,Customers!$A$2:$A$1001,Customers!$B$2:$B$1001)</f>
        <v>Violante Skouling</v>
      </c>
      <c r="G293">
        <f>_xlfn.XLOOKUP(C293,Customers!$A$2:$A$1001,Customers!$C$2:$C$1001)</f>
        <v>0</v>
      </c>
      <c r="H293" t="str">
        <f>_xlfn.XLOOKUP(C293,Customers!$A$2:$A$1001,Customers!$G$2:$G$1001)</f>
        <v>Ireland</v>
      </c>
      <c r="I293" t="str" cm="1">
        <f t="array" ref="I293:L293">_xlfn.XLOOKUP(D293,products!$A$2:$A$49,products!$B$2:$E$49)</f>
        <v>Exc</v>
      </c>
      <c r="J293" t="str">
        <v>M</v>
      </c>
      <c r="K293" s="8">
        <v>0.5</v>
      </c>
      <c r="L293" s="6">
        <v>8.25</v>
      </c>
      <c r="M293" s="7">
        <f t="shared" si="12"/>
        <v>16.5</v>
      </c>
      <c r="N293" t="str">
        <f t="shared" si="13"/>
        <v>Excelsa</v>
      </c>
      <c r="O293" t="str">
        <f t="shared" si="14"/>
        <v>Medium</v>
      </c>
      <c r="P293" t="str">
        <f>_xlfn.XLOOKUP(Orders!C293,Customers!$A$2:$A$1001,Customers!$I$2:$I$1001)</f>
        <v>No</v>
      </c>
    </row>
    <row r="294" spans="1:16" x14ac:dyDescent="0.3">
      <c r="A294" t="s">
        <v>603</v>
      </c>
      <c r="B294" s="11">
        <v>44529</v>
      </c>
      <c r="C294" t="s">
        <v>604</v>
      </c>
      <c r="D294" t="s">
        <v>77</v>
      </c>
      <c r="E294">
        <v>3</v>
      </c>
      <c r="F294" t="str">
        <f>_xlfn.XLOOKUP(C294,Customers!$A$2:$A$1001,Customers!$B$2:$B$1001)</f>
        <v>Isidore Hussey</v>
      </c>
      <c r="G294" t="str">
        <f>_xlfn.XLOOKUP(C294,Customers!$A$2:$A$1001,Customers!$C$2:$C$1001)</f>
        <v>ihussey84@mapy.cz</v>
      </c>
      <c r="H294" t="str">
        <f>_xlfn.XLOOKUP(C294,Customers!$A$2:$A$1001,Customers!$G$2:$G$1001)</f>
        <v>United States</v>
      </c>
      <c r="I294" t="str" cm="1">
        <f t="array" ref="I294:L294">_xlfn.XLOOKUP(D294,products!$A$2:$A$49,products!$B$2:$E$49)</f>
        <v>Ara</v>
      </c>
      <c r="J294" t="str">
        <v>D</v>
      </c>
      <c r="K294" s="8">
        <v>0.5</v>
      </c>
      <c r="L294" s="6">
        <v>5.97</v>
      </c>
      <c r="M294" s="7">
        <f t="shared" si="12"/>
        <v>17.91</v>
      </c>
      <c r="N294" t="str">
        <f t="shared" si="13"/>
        <v>Arasbica</v>
      </c>
      <c r="O294" t="str">
        <f t="shared" si="14"/>
        <v>Dark</v>
      </c>
      <c r="P294" t="str">
        <f>_xlfn.XLOOKUP(Orders!C294,Customers!$A$2:$A$1001,Customers!$I$2:$I$1001)</f>
        <v>No</v>
      </c>
    </row>
    <row r="295" spans="1:16" x14ac:dyDescent="0.3">
      <c r="A295" t="s">
        <v>605</v>
      </c>
      <c r="B295" s="11">
        <v>44275</v>
      </c>
      <c r="C295" t="s">
        <v>606</v>
      </c>
      <c r="D295" t="s">
        <v>77</v>
      </c>
      <c r="E295">
        <v>5</v>
      </c>
      <c r="F295" t="str">
        <f>_xlfn.XLOOKUP(C295,Customers!$A$2:$A$1001,Customers!$B$2:$B$1001)</f>
        <v>Cassie Pinkerton</v>
      </c>
      <c r="G295" t="str">
        <f>_xlfn.XLOOKUP(C295,Customers!$A$2:$A$1001,Customers!$C$2:$C$1001)</f>
        <v>cpinkerton85@upenn.edu</v>
      </c>
      <c r="H295" t="str">
        <f>_xlfn.XLOOKUP(C295,Customers!$A$2:$A$1001,Customers!$G$2:$G$1001)</f>
        <v>United States</v>
      </c>
      <c r="I295" t="str" cm="1">
        <f t="array" ref="I295:L295">_xlfn.XLOOKUP(D295,products!$A$2:$A$49,products!$B$2:$E$49)</f>
        <v>Ara</v>
      </c>
      <c r="J295" t="str">
        <v>D</v>
      </c>
      <c r="K295" s="8">
        <v>0.5</v>
      </c>
      <c r="L295" s="6">
        <v>5.97</v>
      </c>
      <c r="M295" s="7">
        <f t="shared" si="12"/>
        <v>29.849999999999998</v>
      </c>
      <c r="N295" t="str">
        <f t="shared" si="13"/>
        <v>Arasbica</v>
      </c>
      <c r="O295" t="str">
        <f t="shared" si="14"/>
        <v>Dark</v>
      </c>
      <c r="P295" t="str">
        <f>_xlfn.XLOOKUP(Orders!C295,Customers!$A$2:$A$1001,Customers!$I$2:$I$1001)</f>
        <v>No</v>
      </c>
    </row>
    <row r="296" spans="1:16" x14ac:dyDescent="0.3">
      <c r="A296" t="s">
        <v>607</v>
      </c>
      <c r="B296" s="11">
        <v>44659</v>
      </c>
      <c r="C296" t="s">
        <v>608</v>
      </c>
      <c r="D296" t="s">
        <v>142</v>
      </c>
      <c r="E296">
        <v>3</v>
      </c>
      <c r="F296" t="str">
        <f>_xlfn.XLOOKUP(C296,Customers!$A$2:$A$1001,Customers!$B$2:$B$1001)</f>
        <v>Micki Fero</v>
      </c>
      <c r="G296">
        <f>_xlfn.XLOOKUP(C296,Customers!$A$2:$A$1001,Customers!$C$2:$C$1001)</f>
        <v>0</v>
      </c>
      <c r="H296" t="str">
        <f>_xlfn.XLOOKUP(C296,Customers!$A$2:$A$1001,Customers!$G$2:$G$1001)</f>
        <v>United States</v>
      </c>
      <c r="I296" t="str" cm="1">
        <f t="array" ref="I296:L296">_xlfn.XLOOKUP(D296,products!$A$2:$A$49,products!$B$2:$E$49)</f>
        <v>Exc</v>
      </c>
      <c r="J296" t="str">
        <v>L</v>
      </c>
      <c r="K296" s="8">
        <v>1</v>
      </c>
      <c r="L296" s="6">
        <v>14.85</v>
      </c>
      <c r="M296" s="7">
        <f t="shared" si="12"/>
        <v>44.55</v>
      </c>
      <c r="N296" t="str">
        <f t="shared" si="13"/>
        <v>Excelsa</v>
      </c>
      <c r="O296" t="str">
        <f t="shared" si="14"/>
        <v>Lite</v>
      </c>
      <c r="P296" t="str">
        <f>_xlfn.XLOOKUP(Orders!C296,Customers!$A$2:$A$1001,Customers!$I$2:$I$1001)</f>
        <v>No</v>
      </c>
    </row>
    <row r="297" spans="1:16" x14ac:dyDescent="0.3">
      <c r="A297" t="s">
        <v>609</v>
      </c>
      <c r="B297" s="11">
        <v>44057</v>
      </c>
      <c r="C297" t="s">
        <v>610</v>
      </c>
      <c r="D297" t="s">
        <v>14</v>
      </c>
      <c r="E297">
        <v>2</v>
      </c>
      <c r="F297" t="str">
        <f>_xlfn.XLOOKUP(C297,Customers!$A$2:$A$1001,Customers!$B$2:$B$1001)</f>
        <v>Cybill Graddell</v>
      </c>
      <c r="G297">
        <f>_xlfn.XLOOKUP(C297,Customers!$A$2:$A$1001,Customers!$C$2:$C$1001)</f>
        <v>0</v>
      </c>
      <c r="H297" t="str">
        <f>_xlfn.XLOOKUP(C297,Customers!$A$2:$A$1001,Customers!$G$2:$G$1001)</f>
        <v>United States</v>
      </c>
      <c r="I297" t="str" cm="1">
        <f t="array" ref="I297:L297">_xlfn.XLOOKUP(D297,products!$A$2:$A$49,products!$B$2:$E$49)</f>
        <v>Exc</v>
      </c>
      <c r="J297" t="str">
        <v>M</v>
      </c>
      <c r="K297" s="8">
        <v>1</v>
      </c>
      <c r="L297" s="6">
        <v>13.75</v>
      </c>
      <c r="M297" s="7">
        <f t="shared" si="12"/>
        <v>27.5</v>
      </c>
      <c r="N297" t="str">
        <f t="shared" si="13"/>
        <v>Excelsa</v>
      </c>
      <c r="O297" t="str">
        <f t="shared" si="14"/>
        <v>Medium</v>
      </c>
      <c r="P297" t="str">
        <f>_xlfn.XLOOKUP(Orders!C297,Customers!$A$2:$A$1001,Customers!$I$2:$I$1001)</f>
        <v>No</v>
      </c>
    </row>
    <row r="298" spans="1:16" x14ac:dyDescent="0.3">
      <c r="A298" t="s">
        <v>611</v>
      </c>
      <c r="B298" s="11">
        <v>43597</v>
      </c>
      <c r="C298" t="s">
        <v>612</v>
      </c>
      <c r="D298" t="s">
        <v>27</v>
      </c>
      <c r="E298">
        <v>6</v>
      </c>
      <c r="F298" t="str">
        <f>_xlfn.XLOOKUP(C298,Customers!$A$2:$A$1001,Customers!$B$2:$B$1001)</f>
        <v>Dorian Vizor</v>
      </c>
      <c r="G298" t="str">
        <f>_xlfn.XLOOKUP(C298,Customers!$A$2:$A$1001,Customers!$C$2:$C$1001)</f>
        <v>dvizor88@furl.net</v>
      </c>
      <c r="H298" t="str">
        <f>_xlfn.XLOOKUP(C298,Customers!$A$2:$A$1001,Customers!$G$2:$G$1001)</f>
        <v>United States</v>
      </c>
      <c r="I298" t="str" cm="1">
        <f t="array" ref="I298:L298">_xlfn.XLOOKUP(D298,products!$A$2:$A$49,products!$B$2:$E$49)</f>
        <v>Rob</v>
      </c>
      <c r="J298" t="str">
        <v>M</v>
      </c>
      <c r="K298" s="8">
        <v>0.5</v>
      </c>
      <c r="L298" s="6">
        <v>5.97</v>
      </c>
      <c r="M298" s="7">
        <f t="shared" si="12"/>
        <v>35.82</v>
      </c>
      <c r="N298" t="str">
        <f t="shared" si="13"/>
        <v>Robusta</v>
      </c>
      <c r="O298" t="str">
        <f t="shared" si="14"/>
        <v>Medium</v>
      </c>
      <c r="P298" t="str">
        <f>_xlfn.XLOOKUP(Orders!C298,Customers!$A$2:$A$1001,Customers!$I$2:$I$1001)</f>
        <v>Yes</v>
      </c>
    </row>
    <row r="299" spans="1:16" x14ac:dyDescent="0.3">
      <c r="A299" t="s">
        <v>613</v>
      </c>
      <c r="B299" s="11">
        <v>44258</v>
      </c>
      <c r="C299" t="s">
        <v>614</v>
      </c>
      <c r="D299" t="s">
        <v>151</v>
      </c>
      <c r="E299">
        <v>3</v>
      </c>
      <c r="F299" t="str">
        <f>_xlfn.XLOOKUP(C299,Customers!$A$2:$A$1001,Customers!$B$2:$B$1001)</f>
        <v>Eddi Sedgebeer</v>
      </c>
      <c r="G299" t="str">
        <f>_xlfn.XLOOKUP(C299,Customers!$A$2:$A$1001,Customers!$C$2:$C$1001)</f>
        <v>esedgebeer89@oaic.gov.au</v>
      </c>
      <c r="H299" t="str">
        <f>_xlfn.XLOOKUP(C299,Customers!$A$2:$A$1001,Customers!$G$2:$G$1001)</f>
        <v>United States</v>
      </c>
      <c r="I299" t="str" cm="1">
        <f t="array" ref="I299:L299">_xlfn.XLOOKUP(D299,products!$A$2:$A$49,products!$B$2:$E$49)</f>
        <v>Rob</v>
      </c>
      <c r="J299" t="str">
        <v>D</v>
      </c>
      <c r="K299" s="8">
        <v>0.5</v>
      </c>
      <c r="L299" s="6">
        <v>5.3699999999999992</v>
      </c>
      <c r="M299" s="7">
        <f t="shared" si="12"/>
        <v>16.11</v>
      </c>
      <c r="N299" t="str">
        <f t="shared" si="13"/>
        <v>Robusta</v>
      </c>
      <c r="O299" t="str">
        <f t="shared" si="14"/>
        <v>Dark</v>
      </c>
      <c r="P299" t="str">
        <f>_xlfn.XLOOKUP(Orders!C299,Customers!$A$2:$A$1001,Customers!$I$2:$I$1001)</f>
        <v>Yes</v>
      </c>
    </row>
    <row r="300" spans="1:16" x14ac:dyDescent="0.3">
      <c r="A300" t="s">
        <v>615</v>
      </c>
      <c r="B300" s="11">
        <v>43872</v>
      </c>
      <c r="C300" t="s">
        <v>616</v>
      </c>
      <c r="D300" t="s">
        <v>259</v>
      </c>
      <c r="E300">
        <v>6</v>
      </c>
      <c r="F300" t="str">
        <f>_xlfn.XLOOKUP(C300,Customers!$A$2:$A$1001,Customers!$B$2:$B$1001)</f>
        <v>Ken Lestrange</v>
      </c>
      <c r="G300" t="str">
        <f>_xlfn.XLOOKUP(C300,Customers!$A$2:$A$1001,Customers!$C$2:$C$1001)</f>
        <v>klestrange8a@lulu.com</v>
      </c>
      <c r="H300" t="str">
        <f>_xlfn.XLOOKUP(C300,Customers!$A$2:$A$1001,Customers!$G$2:$G$1001)</f>
        <v>United States</v>
      </c>
      <c r="I300" t="str" cm="1">
        <f t="array" ref="I300:L300">_xlfn.XLOOKUP(D300,products!$A$2:$A$49,products!$B$2:$E$49)</f>
        <v>Exc</v>
      </c>
      <c r="J300" t="str">
        <v>L</v>
      </c>
      <c r="K300" s="8">
        <v>0.2</v>
      </c>
      <c r="L300" s="6">
        <v>4.4550000000000001</v>
      </c>
      <c r="M300" s="7">
        <f t="shared" si="12"/>
        <v>26.73</v>
      </c>
      <c r="N300" t="str">
        <f t="shared" si="13"/>
        <v>Excelsa</v>
      </c>
      <c r="O300" t="str">
        <f t="shared" si="14"/>
        <v>Lite</v>
      </c>
      <c r="P300" t="str">
        <f>_xlfn.XLOOKUP(Orders!C300,Customers!$A$2:$A$1001,Customers!$I$2:$I$1001)</f>
        <v>Yes</v>
      </c>
    </row>
    <row r="301" spans="1:16" x14ac:dyDescent="0.3">
      <c r="A301" t="s">
        <v>617</v>
      </c>
      <c r="B301" s="11">
        <v>43582</v>
      </c>
      <c r="C301" t="s">
        <v>618</v>
      </c>
      <c r="D301" t="s">
        <v>35</v>
      </c>
      <c r="E301">
        <v>6</v>
      </c>
      <c r="F301" t="str">
        <f>_xlfn.XLOOKUP(C301,Customers!$A$2:$A$1001,Customers!$B$2:$B$1001)</f>
        <v>Lacee Tanti</v>
      </c>
      <c r="G301" t="str">
        <f>_xlfn.XLOOKUP(C301,Customers!$A$2:$A$1001,Customers!$C$2:$C$1001)</f>
        <v>ltanti8b@techcrunch.com</v>
      </c>
      <c r="H301" t="str">
        <f>_xlfn.XLOOKUP(C301,Customers!$A$2:$A$1001,Customers!$G$2:$G$1001)</f>
        <v>United States</v>
      </c>
      <c r="I301" t="str" cm="1">
        <f t="array" ref="I301:L301">_xlfn.XLOOKUP(D301,products!$A$2:$A$49,products!$B$2:$E$49)</f>
        <v>Exc</v>
      </c>
      <c r="J301" t="str">
        <v>L</v>
      </c>
      <c r="K301" s="8">
        <v>2.5</v>
      </c>
      <c r="L301" s="6">
        <v>34.154999999999994</v>
      </c>
      <c r="M301" s="7">
        <f t="shared" si="12"/>
        <v>204.92999999999995</v>
      </c>
      <c r="N301" t="str">
        <f t="shared" si="13"/>
        <v>Excelsa</v>
      </c>
      <c r="O301" t="str">
        <f t="shared" si="14"/>
        <v>Lite</v>
      </c>
      <c r="P301" t="str">
        <f>_xlfn.XLOOKUP(Orders!C301,Customers!$A$2:$A$1001,Customers!$I$2:$I$1001)</f>
        <v>Yes</v>
      </c>
    </row>
    <row r="302" spans="1:16" x14ac:dyDescent="0.3">
      <c r="A302" t="s">
        <v>619</v>
      </c>
      <c r="B302" s="11">
        <v>44646</v>
      </c>
      <c r="C302" t="s">
        <v>620</v>
      </c>
      <c r="D302" t="s">
        <v>11</v>
      </c>
      <c r="E302">
        <v>3</v>
      </c>
      <c r="F302" t="str">
        <f>_xlfn.XLOOKUP(C302,Customers!$A$2:$A$1001,Customers!$B$2:$B$1001)</f>
        <v>Arel De Lasci</v>
      </c>
      <c r="G302" t="str">
        <f>_xlfn.XLOOKUP(C302,Customers!$A$2:$A$1001,Customers!$C$2:$C$1001)</f>
        <v>ade8c@1und1.de</v>
      </c>
      <c r="H302" t="str">
        <f>_xlfn.XLOOKUP(C302,Customers!$A$2:$A$1001,Customers!$G$2:$G$1001)</f>
        <v>United States</v>
      </c>
      <c r="I302" t="str" cm="1">
        <f t="array" ref="I302:L302">_xlfn.XLOOKUP(D302,products!$A$2:$A$49,products!$B$2:$E$49)</f>
        <v>Ara</v>
      </c>
      <c r="J302" t="str">
        <v>L</v>
      </c>
      <c r="K302" s="8">
        <v>1</v>
      </c>
      <c r="L302" s="6">
        <v>12.95</v>
      </c>
      <c r="M302" s="7">
        <f t="shared" si="12"/>
        <v>38.849999999999994</v>
      </c>
      <c r="N302" t="str">
        <f t="shared" si="13"/>
        <v>Arasbica</v>
      </c>
      <c r="O302" t="str">
        <f t="shared" si="14"/>
        <v>Lite</v>
      </c>
      <c r="P302" t="str">
        <f>_xlfn.XLOOKUP(Orders!C302,Customers!$A$2:$A$1001,Customers!$I$2:$I$1001)</f>
        <v>Yes</v>
      </c>
    </row>
    <row r="303" spans="1:16" x14ac:dyDescent="0.3">
      <c r="A303" t="s">
        <v>621</v>
      </c>
      <c r="B303" s="11">
        <v>44102</v>
      </c>
      <c r="C303" t="s">
        <v>622</v>
      </c>
      <c r="D303" t="s">
        <v>43</v>
      </c>
      <c r="E303">
        <v>4</v>
      </c>
      <c r="F303" t="str">
        <f>_xlfn.XLOOKUP(C303,Customers!$A$2:$A$1001,Customers!$B$2:$B$1001)</f>
        <v>Trescha Jedrachowicz</v>
      </c>
      <c r="G303" t="str">
        <f>_xlfn.XLOOKUP(C303,Customers!$A$2:$A$1001,Customers!$C$2:$C$1001)</f>
        <v>tjedrachowicz8d@acquirethisname.com</v>
      </c>
      <c r="H303" t="str">
        <f>_xlfn.XLOOKUP(C303,Customers!$A$2:$A$1001,Customers!$G$2:$G$1001)</f>
        <v>United States</v>
      </c>
      <c r="I303" t="str" cm="1">
        <f t="array" ref="I303:L303">_xlfn.XLOOKUP(D303,products!$A$2:$A$49,products!$B$2:$E$49)</f>
        <v>Lib</v>
      </c>
      <c r="J303" t="str">
        <v>D</v>
      </c>
      <c r="K303" s="8">
        <v>0.2</v>
      </c>
      <c r="L303" s="6">
        <v>3.8849999999999998</v>
      </c>
      <c r="M303" s="7">
        <f t="shared" si="12"/>
        <v>15.54</v>
      </c>
      <c r="N303" t="str">
        <f t="shared" si="13"/>
        <v>Liberica</v>
      </c>
      <c r="O303" t="str">
        <f t="shared" si="14"/>
        <v>Dark</v>
      </c>
      <c r="P303" t="str">
        <f>_xlfn.XLOOKUP(Orders!C303,Customers!$A$2:$A$1001,Customers!$I$2:$I$1001)</f>
        <v>Yes</v>
      </c>
    </row>
    <row r="304" spans="1:16" x14ac:dyDescent="0.3">
      <c r="A304" t="s">
        <v>623</v>
      </c>
      <c r="B304" s="11">
        <v>43762</v>
      </c>
      <c r="C304" t="s">
        <v>624</v>
      </c>
      <c r="D304" t="s">
        <v>72</v>
      </c>
      <c r="E304">
        <v>1</v>
      </c>
      <c r="F304" t="str">
        <f>_xlfn.XLOOKUP(C304,Customers!$A$2:$A$1001,Customers!$B$2:$B$1001)</f>
        <v>Perkin Stonner</v>
      </c>
      <c r="G304" t="str">
        <f>_xlfn.XLOOKUP(C304,Customers!$A$2:$A$1001,Customers!$C$2:$C$1001)</f>
        <v>pstonner8e@moonfruit.com</v>
      </c>
      <c r="H304" t="str">
        <f>_xlfn.XLOOKUP(C304,Customers!$A$2:$A$1001,Customers!$G$2:$G$1001)</f>
        <v>United States</v>
      </c>
      <c r="I304" t="str" cm="1">
        <f t="array" ref="I304:L304">_xlfn.XLOOKUP(D304,products!$A$2:$A$49,products!$B$2:$E$49)</f>
        <v>Ara</v>
      </c>
      <c r="J304" t="str">
        <v>M</v>
      </c>
      <c r="K304" s="8">
        <v>0.5</v>
      </c>
      <c r="L304" s="6">
        <v>6.75</v>
      </c>
      <c r="M304" s="7">
        <f t="shared" si="12"/>
        <v>6.75</v>
      </c>
      <c r="N304" t="str">
        <f t="shared" si="13"/>
        <v>Arasbica</v>
      </c>
      <c r="O304" t="str">
        <f t="shared" si="14"/>
        <v>Medium</v>
      </c>
      <c r="P304" t="str">
        <f>_xlfn.XLOOKUP(Orders!C304,Customers!$A$2:$A$1001,Customers!$I$2:$I$1001)</f>
        <v>No</v>
      </c>
    </row>
    <row r="305" spans="1:16" x14ac:dyDescent="0.3">
      <c r="A305" t="s">
        <v>625</v>
      </c>
      <c r="B305" s="11">
        <v>44412</v>
      </c>
      <c r="C305" t="s">
        <v>626</v>
      </c>
      <c r="D305" t="s">
        <v>535</v>
      </c>
      <c r="E305">
        <v>4</v>
      </c>
      <c r="F305" t="str">
        <f>_xlfn.XLOOKUP(C305,Customers!$A$2:$A$1001,Customers!$B$2:$B$1001)</f>
        <v>Darrin Tingly</v>
      </c>
      <c r="G305" t="str">
        <f>_xlfn.XLOOKUP(C305,Customers!$A$2:$A$1001,Customers!$C$2:$C$1001)</f>
        <v>dtingly8f@goo.ne.jp</v>
      </c>
      <c r="H305" t="str">
        <f>_xlfn.XLOOKUP(C305,Customers!$A$2:$A$1001,Customers!$G$2:$G$1001)</f>
        <v>United States</v>
      </c>
      <c r="I305" t="str" cm="1">
        <f t="array" ref="I305:L305">_xlfn.XLOOKUP(D305,products!$A$2:$A$49,products!$B$2:$E$49)</f>
        <v>Exc</v>
      </c>
      <c r="J305" t="str">
        <v>D</v>
      </c>
      <c r="K305" s="8">
        <v>2.5</v>
      </c>
      <c r="L305" s="6">
        <v>27.945</v>
      </c>
      <c r="M305" s="7">
        <f t="shared" si="12"/>
        <v>111.78</v>
      </c>
      <c r="N305" t="str">
        <f t="shared" si="13"/>
        <v>Excelsa</v>
      </c>
      <c r="O305" t="str">
        <f t="shared" si="14"/>
        <v>Dark</v>
      </c>
      <c r="P305" t="str">
        <f>_xlfn.XLOOKUP(Orders!C305,Customers!$A$2:$A$1001,Customers!$I$2:$I$1001)</f>
        <v>Yes</v>
      </c>
    </row>
    <row r="306" spans="1:16" x14ac:dyDescent="0.3">
      <c r="A306" t="s">
        <v>627</v>
      </c>
      <c r="B306" s="11">
        <v>43828</v>
      </c>
      <c r="C306" t="s">
        <v>628</v>
      </c>
      <c r="D306" t="s">
        <v>120</v>
      </c>
      <c r="E306">
        <v>1</v>
      </c>
      <c r="F306" t="str">
        <f>_xlfn.XLOOKUP(C306,Customers!$A$2:$A$1001,Customers!$B$2:$B$1001)</f>
        <v>Claudetta Rushe</v>
      </c>
      <c r="G306" t="str">
        <f>_xlfn.XLOOKUP(C306,Customers!$A$2:$A$1001,Customers!$C$2:$C$1001)</f>
        <v>crushe8n@about.me</v>
      </c>
      <c r="H306" t="str">
        <f>_xlfn.XLOOKUP(C306,Customers!$A$2:$A$1001,Customers!$G$2:$G$1001)</f>
        <v>United States</v>
      </c>
      <c r="I306" t="str" cm="1">
        <f t="array" ref="I306:L306">_xlfn.XLOOKUP(D306,products!$A$2:$A$49,products!$B$2:$E$49)</f>
        <v>Ara</v>
      </c>
      <c r="J306" t="str">
        <v>L</v>
      </c>
      <c r="K306" s="8">
        <v>0.2</v>
      </c>
      <c r="L306" s="6">
        <v>3.8849999999999998</v>
      </c>
      <c r="M306" s="7">
        <f t="shared" si="12"/>
        <v>3.8849999999999998</v>
      </c>
      <c r="N306" t="str">
        <f t="shared" si="13"/>
        <v>Arasbica</v>
      </c>
      <c r="O306" t="str">
        <f t="shared" si="14"/>
        <v>Lite</v>
      </c>
      <c r="P306" t="str">
        <f>_xlfn.XLOOKUP(Orders!C306,Customers!$A$2:$A$1001,Customers!$I$2:$I$1001)</f>
        <v>Yes</v>
      </c>
    </row>
    <row r="307" spans="1:16" x14ac:dyDescent="0.3">
      <c r="A307" t="s">
        <v>629</v>
      </c>
      <c r="B307" s="11">
        <v>43796</v>
      </c>
      <c r="C307" t="s">
        <v>630</v>
      </c>
      <c r="D307" t="s">
        <v>82</v>
      </c>
      <c r="E307">
        <v>5</v>
      </c>
      <c r="F307" t="str">
        <f>_xlfn.XLOOKUP(C307,Customers!$A$2:$A$1001,Customers!$B$2:$B$1001)</f>
        <v>Benn Checci</v>
      </c>
      <c r="G307" t="str">
        <f>_xlfn.XLOOKUP(C307,Customers!$A$2:$A$1001,Customers!$C$2:$C$1001)</f>
        <v>bchecci8h@usa.gov</v>
      </c>
      <c r="H307" t="str">
        <f>_xlfn.XLOOKUP(C307,Customers!$A$2:$A$1001,Customers!$G$2:$G$1001)</f>
        <v>United Kingdom</v>
      </c>
      <c r="I307" t="str" cm="1">
        <f t="array" ref="I307:L307">_xlfn.XLOOKUP(D307,products!$A$2:$A$49,products!$B$2:$E$49)</f>
        <v>Lib</v>
      </c>
      <c r="J307" t="str">
        <v>M</v>
      </c>
      <c r="K307" s="8">
        <v>0.2</v>
      </c>
      <c r="L307" s="6">
        <v>4.3650000000000002</v>
      </c>
      <c r="M307" s="7">
        <f t="shared" si="12"/>
        <v>21.825000000000003</v>
      </c>
      <c r="N307" t="str">
        <f t="shared" si="13"/>
        <v>Liberica</v>
      </c>
      <c r="O307" t="str">
        <f t="shared" si="14"/>
        <v>Medium</v>
      </c>
      <c r="P307" t="str">
        <f>_xlfn.XLOOKUP(Orders!C307,Customers!$A$2:$A$1001,Customers!$I$2:$I$1001)</f>
        <v>No</v>
      </c>
    </row>
    <row r="308" spans="1:16" x14ac:dyDescent="0.3">
      <c r="A308" t="s">
        <v>631</v>
      </c>
      <c r="B308" s="11">
        <v>43890</v>
      </c>
      <c r="C308" t="s">
        <v>632</v>
      </c>
      <c r="D308" t="s">
        <v>167</v>
      </c>
      <c r="E308">
        <v>5</v>
      </c>
      <c r="F308" t="str">
        <f>_xlfn.XLOOKUP(C308,Customers!$A$2:$A$1001,Customers!$B$2:$B$1001)</f>
        <v>Janifer Bagot</v>
      </c>
      <c r="G308" t="str">
        <f>_xlfn.XLOOKUP(C308,Customers!$A$2:$A$1001,Customers!$C$2:$C$1001)</f>
        <v>jbagot8i@mac.com</v>
      </c>
      <c r="H308" t="str">
        <f>_xlfn.XLOOKUP(C308,Customers!$A$2:$A$1001,Customers!$G$2:$G$1001)</f>
        <v>United States</v>
      </c>
      <c r="I308" t="str" cm="1">
        <f t="array" ref="I308:L308">_xlfn.XLOOKUP(D308,products!$A$2:$A$49,products!$B$2:$E$49)</f>
        <v>Rob</v>
      </c>
      <c r="J308" t="str">
        <v>M</v>
      </c>
      <c r="K308" s="8">
        <v>0.2</v>
      </c>
      <c r="L308" s="6">
        <v>2.9849999999999999</v>
      </c>
      <c r="M308" s="7">
        <f t="shared" si="12"/>
        <v>14.924999999999999</v>
      </c>
      <c r="N308" t="str">
        <f t="shared" si="13"/>
        <v>Robusta</v>
      </c>
      <c r="O308" t="str">
        <f t="shared" si="14"/>
        <v>Medium</v>
      </c>
      <c r="P308" t="str">
        <f>_xlfn.XLOOKUP(Orders!C308,Customers!$A$2:$A$1001,Customers!$I$2:$I$1001)</f>
        <v>No</v>
      </c>
    </row>
    <row r="309" spans="1:16" x14ac:dyDescent="0.3">
      <c r="A309" t="s">
        <v>633</v>
      </c>
      <c r="B309" s="11">
        <v>44227</v>
      </c>
      <c r="C309" t="s">
        <v>634</v>
      </c>
      <c r="D309" t="s">
        <v>66</v>
      </c>
      <c r="E309">
        <v>3</v>
      </c>
      <c r="F309" t="str">
        <f>_xlfn.XLOOKUP(C309,Customers!$A$2:$A$1001,Customers!$B$2:$B$1001)</f>
        <v>Ermin Beeble</v>
      </c>
      <c r="G309" t="str">
        <f>_xlfn.XLOOKUP(C309,Customers!$A$2:$A$1001,Customers!$C$2:$C$1001)</f>
        <v>ebeeble8j@soundcloud.com</v>
      </c>
      <c r="H309" t="str">
        <f>_xlfn.XLOOKUP(C309,Customers!$A$2:$A$1001,Customers!$G$2:$G$1001)</f>
        <v>United States</v>
      </c>
      <c r="I309" t="str" cm="1">
        <f t="array" ref="I309:L309">_xlfn.XLOOKUP(D309,products!$A$2:$A$49,products!$B$2:$E$49)</f>
        <v>Ara</v>
      </c>
      <c r="J309" t="str">
        <v>M</v>
      </c>
      <c r="K309" s="8">
        <v>1</v>
      </c>
      <c r="L309" s="6">
        <v>11.25</v>
      </c>
      <c r="M309" s="7">
        <f t="shared" si="12"/>
        <v>33.75</v>
      </c>
      <c r="N309" t="str">
        <f t="shared" si="13"/>
        <v>Arasbica</v>
      </c>
      <c r="O309" t="str">
        <f t="shared" si="14"/>
        <v>Medium</v>
      </c>
      <c r="P309" t="str">
        <f>_xlfn.XLOOKUP(Orders!C309,Customers!$A$2:$A$1001,Customers!$I$2:$I$1001)</f>
        <v>Yes</v>
      </c>
    </row>
    <row r="310" spans="1:16" x14ac:dyDescent="0.3">
      <c r="A310" t="s">
        <v>635</v>
      </c>
      <c r="B310" s="11">
        <v>44729</v>
      </c>
      <c r="C310" t="s">
        <v>636</v>
      </c>
      <c r="D310" t="s">
        <v>66</v>
      </c>
      <c r="E310">
        <v>3</v>
      </c>
      <c r="F310" t="str">
        <f>_xlfn.XLOOKUP(C310,Customers!$A$2:$A$1001,Customers!$B$2:$B$1001)</f>
        <v>Cos Fluin</v>
      </c>
      <c r="G310" t="str">
        <f>_xlfn.XLOOKUP(C310,Customers!$A$2:$A$1001,Customers!$C$2:$C$1001)</f>
        <v>cfluin8k@flickr.com</v>
      </c>
      <c r="H310" t="str">
        <f>_xlfn.XLOOKUP(C310,Customers!$A$2:$A$1001,Customers!$G$2:$G$1001)</f>
        <v>United Kingdom</v>
      </c>
      <c r="I310" t="str" cm="1">
        <f t="array" ref="I310:L310">_xlfn.XLOOKUP(D310,products!$A$2:$A$49,products!$B$2:$E$49)</f>
        <v>Ara</v>
      </c>
      <c r="J310" t="str">
        <v>M</v>
      </c>
      <c r="K310" s="8">
        <v>1</v>
      </c>
      <c r="L310" s="6">
        <v>11.25</v>
      </c>
      <c r="M310" s="7">
        <f t="shared" si="12"/>
        <v>33.75</v>
      </c>
      <c r="N310" t="str">
        <f t="shared" si="13"/>
        <v>Arasbica</v>
      </c>
      <c r="O310" t="str">
        <f t="shared" si="14"/>
        <v>Medium</v>
      </c>
      <c r="P310" t="str">
        <f>_xlfn.XLOOKUP(Orders!C310,Customers!$A$2:$A$1001,Customers!$I$2:$I$1001)</f>
        <v>No</v>
      </c>
    </row>
    <row r="311" spans="1:16" x14ac:dyDescent="0.3">
      <c r="A311" t="s">
        <v>637</v>
      </c>
      <c r="B311" s="11">
        <v>43864</v>
      </c>
      <c r="C311" t="s">
        <v>638</v>
      </c>
      <c r="D311" t="s">
        <v>82</v>
      </c>
      <c r="E311">
        <v>6</v>
      </c>
      <c r="F311" t="str">
        <f>_xlfn.XLOOKUP(C311,Customers!$A$2:$A$1001,Customers!$B$2:$B$1001)</f>
        <v>Eveleen Bletsor</v>
      </c>
      <c r="G311" t="str">
        <f>_xlfn.XLOOKUP(C311,Customers!$A$2:$A$1001,Customers!$C$2:$C$1001)</f>
        <v>ebletsor8l@vinaora.com</v>
      </c>
      <c r="H311" t="str">
        <f>_xlfn.XLOOKUP(C311,Customers!$A$2:$A$1001,Customers!$G$2:$G$1001)</f>
        <v>United States</v>
      </c>
      <c r="I311" t="str" cm="1">
        <f t="array" ref="I311:L311">_xlfn.XLOOKUP(D311,products!$A$2:$A$49,products!$B$2:$E$49)</f>
        <v>Lib</v>
      </c>
      <c r="J311" t="str">
        <v>M</v>
      </c>
      <c r="K311" s="8">
        <v>0.2</v>
      </c>
      <c r="L311" s="6">
        <v>4.3650000000000002</v>
      </c>
      <c r="M311" s="7">
        <f t="shared" si="12"/>
        <v>26.19</v>
      </c>
      <c r="N311" t="str">
        <f t="shared" si="13"/>
        <v>Liberica</v>
      </c>
      <c r="O311" t="str">
        <f t="shared" si="14"/>
        <v>Medium</v>
      </c>
      <c r="P311" t="str">
        <f>_xlfn.XLOOKUP(Orders!C311,Customers!$A$2:$A$1001,Customers!$I$2:$I$1001)</f>
        <v>Yes</v>
      </c>
    </row>
    <row r="312" spans="1:16" x14ac:dyDescent="0.3">
      <c r="A312" t="s">
        <v>639</v>
      </c>
      <c r="B312" s="11">
        <v>44586</v>
      </c>
      <c r="C312" t="s">
        <v>640</v>
      </c>
      <c r="D312" t="s">
        <v>142</v>
      </c>
      <c r="E312">
        <v>1</v>
      </c>
      <c r="F312" t="str">
        <f>_xlfn.XLOOKUP(C312,Customers!$A$2:$A$1001,Customers!$B$2:$B$1001)</f>
        <v>Paola Brydell</v>
      </c>
      <c r="G312" t="str">
        <f>_xlfn.XLOOKUP(C312,Customers!$A$2:$A$1001,Customers!$C$2:$C$1001)</f>
        <v>pbrydell8m@bloglovin.com</v>
      </c>
      <c r="H312" t="str">
        <f>_xlfn.XLOOKUP(C312,Customers!$A$2:$A$1001,Customers!$G$2:$G$1001)</f>
        <v>Ireland</v>
      </c>
      <c r="I312" t="str" cm="1">
        <f t="array" ref="I312:L312">_xlfn.XLOOKUP(D312,products!$A$2:$A$49,products!$B$2:$E$49)</f>
        <v>Exc</v>
      </c>
      <c r="J312" t="str">
        <v>L</v>
      </c>
      <c r="K312" s="8">
        <v>1</v>
      </c>
      <c r="L312" s="6">
        <v>14.85</v>
      </c>
      <c r="M312" s="7">
        <f t="shared" si="12"/>
        <v>14.85</v>
      </c>
      <c r="N312" t="str">
        <f t="shared" si="13"/>
        <v>Excelsa</v>
      </c>
      <c r="O312" t="str">
        <f t="shared" si="14"/>
        <v>Lite</v>
      </c>
      <c r="P312" t="str">
        <f>_xlfn.XLOOKUP(Orders!C312,Customers!$A$2:$A$1001,Customers!$I$2:$I$1001)</f>
        <v>No</v>
      </c>
    </row>
    <row r="313" spans="1:16" x14ac:dyDescent="0.3">
      <c r="A313" t="s">
        <v>641</v>
      </c>
      <c r="B313" s="11">
        <v>43951</v>
      </c>
      <c r="C313" t="s">
        <v>628</v>
      </c>
      <c r="D313" t="s">
        <v>117</v>
      </c>
      <c r="E313">
        <v>6</v>
      </c>
      <c r="F313" t="str">
        <f>_xlfn.XLOOKUP(C313,Customers!$A$2:$A$1001,Customers!$B$2:$B$1001)</f>
        <v>Claudetta Rushe</v>
      </c>
      <c r="G313" t="str">
        <f>_xlfn.XLOOKUP(C313,Customers!$A$2:$A$1001,Customers!$C$2:$C$1001)</f>
        <v>crushe8n@about.me</v>
      </c>
      <c r="H313" t="str">
        <f>_xlfn.XLOOKUP(C313,Customers!$A$2:$A$1001,Customers!$G$2:$G$1001)</f>
        <v>United States</v>
      </c>
      <c r="I313" t="str" cm="1">
        <f t="array" ref="I313:L313">_xlfn.XLOOKUP(D313,products!$A$2:$A$49,products!$B$2:$E$49)</f>
        <v>Exc</v>
      </c>
      <c r="J313" t="str">
        <v>M</v>
      </c>
      <c r="K313" s="8">
        <v>2.5</v>
      </c>
      <c r="L313" s="6">
        <v>31.624999999999996</v>
      </c>
      <c r="M313" s="7">
        <f t="shared" si="12"/>
        <v>189.74999999999997</v>
      </c>
      <c r="N313" t="str">
        <f t="shared" si="13"/>
        <v>Excelsa</v>
      </c>
      <c r="O313" t="str">
        <f t="shared" si="14"/>
        <v>Medium</v>
      </c>
      <c r="P313" t="str">
        <f>_xlfn.XLOOKUP(Orders!C313,Customers!$A$2:$A$1001,Customers!$I$2:$I$1001)</f>
        <v>Yes</v>
      </c>
    </row>
    <row r="314" spans="1:16" x14ac:dyDescent="0.3">
      <c r="A314" t="s">
        <v>642</v>
      </c>
      <c r="B314" s="11">
        <v>44317</v>
      </c>
      <c r="C314" t="s">
        <v>643</v>
      </c>
      <c r="D314" t="s">
        <v>27</v>
      </c>
      <c r="E314">
        <v>1</v>
      </c>
      <c r="F314" t="str">
        <f>_xlfn.XLOOKUP(C314,Customers!$A$2:$A$1001,Customers!$B$2:$B$1001)</f>
        <v>Natka Leethem</v>
      </c>
      <c r="G314" t="str">
        <f>_xlfn.XLOOKUP(C314,Customers!$A$2:$A$1001,Customers!$C$2:$C$1001)</f>
        <v>nleethem8o@mac.com</v>
      </c>
      <c r="H314" t="str">
        <f>_xlfn.XLOOKUP(C314,Customers!$A$2:$A$1001,Customers!$G$2:$G$1001)</f>
        <v>United States</v>
      </c>
      <c r="I314" t="str" cm="1">
        <f t="array" ref="I314:L314">_xlfn.XLOOKUP(D314,products!$A$2:$A$49,products!$B$2:$E$49)</f>
        <v>Rob</v>
      </c>
      <c r="J314" t="str">
        <v>M</v>
      </c>
      <c r="K314" s="8">
        <v>0.5</v>
      </c>
      <c r="L314" s="6">
        <v>5.97</v>
      </c>
      <c r="M314" s="7">
        <f t="shared" si="12"/>
        <v>5.97</v>
      </c>
      <c r="N314" t="str">
        <f t="shared" si="13"/>
        <v>Robusta</v>
      </c>
      <c r="O314" t="str">
        <f t="shared" si="14"/>
        <v>Medium</v>
      </c>
      <c r="P314" t="str">
        <f>_xlfn.XLOOKUP(Orders!C314,Customers!$A$2:$A$1001,Customers!$I$2:$I$1001)</f>
        <v>Yes</v>
      </c>
    </row>
    <row r="315" spans="1:16" x14ac:dyDescent="0.3">
      <c r="A315" t="s">
        <v>644</v>
      </c>
      <c r="B315" s="11">
        <v>44497</v>
      </c>
      <c r="C315" t="s">
        <v>645</v>
      </c>
      <c r="D315" t="s">
        <v>7</v>
      </c>
      <c r="E315">
        <v>3</v>
      </c>
      <c r="F315" t="str">
        <f>_xlfn.XLOOKUP(C315,Customers!$A$2:$A$1001,Customers!$B$2:$B$1001)</f>
        <v>Ailene Nesfield</v>
      </c>
      <c r="G315" t="str">
        <f>_xlfn.XLOOKUP(C315,Customers!$A$2:$A$1001,Customers!$C$2:$C$1001)</f>
        <v>anesfield8p@people.com.cn</v>
      </c>
      <c r="H315" t="str">
        <f>_xlfn.XLOOKUP(C315,Customers!$A$2:$A$1001,Customers!$G$2:$G$1001)</f>
        <v>United Kingdom</v>
      </c>
      <c r="I315" t="str" cm="1">
        <f t="array" ref="I315:L315">_xlfn.XLOOKUP(D315,products!$A$2:$A$49,products!$B$2:$E$49)</f>
        <v>Rob</v>
      </c>
      <c r="J315" t="str">
        <v>M</v>
      </c>
      <c r="K315" s="8">
        <v>1</v>
      </c>
      <c r="L315" s="6">
        <v>9.9499999999999993</v>
      </c>
      <c r="M315" s="7">
        <f t="shared" si="12"/>
        <v>29.849999999999998</v>
      </c>
      <c r="N315" t="str">
        <f t="shared" si="13"/>
        <v>Robusta</v>
      </c>
      <c r="O315" t="str">
        <f t="shared" si="14"/>
        <v>Medium</v>
      </c>
      <c r="P315" t="str">
        <f>_xlfn.XLOOKUP(Orders!C315,Customers!$A$2:$A$1001,Customers!$I$2:$I$1001)</f>
        <v>Yes</v>
      </c>
    </row>
    <row r="316" spans="1:16" x14ac:dyDescent="0.3">
      <c r="A316" t="s">
        <v>646</v>
      </c>
      <c r="B316" s="11">
        <v>44437</v>
      </c>
      <c r="C316" t="s">
        <v>647</v>
      </c>
      <c r="D316" t="s">
        <v>184</v>
      </c>
      <c r="E316">
        <v>5</v>
      </c>
      <c r="F316" t="str">
        <f>_xlfn.XLOOKUP(C316,Customers!$A$2:$A$1001,Customers!$B$2:$B$1001)</f>
        <v>Stacy Pickworth</v>
      </c>
      <c r="G316">
        <f>_xlfn.XLOOKUP(C316,Customers!$A$2:$A$1001,Customers!$C$2:$C$1001)</f>
        <v>0</v>
      </c>
      <c r="H316" t="str">
        <f>_xlfn.XLOOKUP(C316,Customers!$A$2:$A$1001,Customers!$G$2:$G$1001)</f>
        <v>United States</v>
      </c>
      <c r="I316" t="str" cm="1">
        <f t="array" ref="I316:L316">_xlfn.XLOOKUP(D316,products!$A$2:$A$49,products!$B$2:$E$49)</f>
        <v>Rob</v>
      </c>
      <c r="J316" t="str">
        <v>D</v>
      </c>
      <c r="K316" s="8">
        <v>1</v>
      </c>
      <c r="L316" s="6">
        <v>8.9499999999999993</v>
      </c>
      <c r="M316" s="7">
        <f t="shared" si="12"/>
        <v>44.75</v>
      </c>
      <c r="N316" t="str">
        <f t="shared" si="13"/>
        <v>Robusta</v>
      </c>
      <c r="O316" t="str">
        <f t="shared" si="14"/>
        <v>Dark</v>
      </c>
      <c r="P316" t="str">
        <f>_xlfn.XLOOKUP(Orders!C316,Customers!$A$2:$A$1001,Customers!$I$2:$I$1001)</f>
        <v>No</v>
      </c>
    </row>
    <row r="317" spans="1:16" x14ac:dyDescent="0.3">
      <c r="A317" t="s">
        <v>648</v>
      </c>
      <c r="B317" s="11">
        <v>43826</v>
      </c>
      <c r="C317" t="s">
        <v>649</v>
      </c>
      <c r="D317" t="s">
        <v>35</v>
      </c>
      <c r="E317">
        <v>1</v>
      </c>
      <c r="F317" t="str">
        <f>_xlfn.XLOOKUP(C317,Customers!$A$2:$A$1001,Customers!$B$2:$B$1001)</f>
        <v>Melli Brockway</v>
      </c>
      <c r="G317" t="str">
        <f>_xlfn.XLOOKUP(C317,Customers!$A$2:$A$1001,Customers!$C$2:$C$1001)</f>
        <v>mbrockway8r@ibm.com</v>
      </c>
      <c r="H317" t="str">
        <f>_xlfn.XLOOKUP(C317,Customers!$A$2:$A$1001,Customers!$G$2:$G$1001)</f>
        <v>United States</v>
      </c>
      <c r="I317" t="str" cm="1">
        <f t="array" ref="I317:L317">_xlfn.XLOOKUP(D317,products!$A$2:$A$49,products!$B$2:$E$49)</f>
        <v>Exc</v>
      </c>
      <c r="J317" t="str">
        <v>L</v>
      </c>
      <c r="K317" s="8">
        <v>2.5</v>
      </c>
      <c r="L317" s="6">
        <v>34.154999999999994</v>
      </c>
      <c r="M317" s="7">
        <f t="shared" si="12"/>
        <v>34.154999999999994</v>
      </c>
      <c r="N317" t="str">
        <f t="shared" si="13"/>
        <v>Excelsa</v>
      </c>
      <c r="O317" t="str">
        <f t="shared" si="14"/>
        <v>Lite</v>
      </c>
      <c r="P317" t="str">
        <f>_xlfn.XLOOKUP(Orders!C317,Customers!$A$2:$A$1001,Customers!$I$2:$I$1001)</f>
        <v>Yes</v>
      </c>
    </row>
    <row r="318" spans="1:16" x14ac:dyDescent="0.3">
      <c r="A318" t="s">
        <v>650</v>
      </c>
      <c r="B318" s="11">
        <v>43641</v>
      </c>
      <c r="C318" t="s">
        <v>651</v>
      </c>
      <c r="D318" t="s">
        <v>35</v>
      </c>
      <c r="E318">
        <v>6</v>
      </c>
      <c r="F318" t="str">
        <f>_xlfn.XLOOKUP(C318,Customers!$A$2:$A$1001,Customers!$B$2:$B$1001)</f>
        <v>Nanny Lush</v>
      </c>
      <c r="G318" t="str">
        <f>_xlfn.XLOOKUP(C318,Customers!$A$2:$A$1001,Customers!$C$2:$C$1001)</f>
        <v>nlush8s@dedecms.com</v>
      </c>
      <c r="H318" t="str">
        <f>_xlfn.XLOOKUP(C318,Customers!$A$2:$A$1001,Customers!$G$2:$G$1001)</f>
        <v>Ireland</v>
      </c>
      <c r="I318" t="str" cm="1">
        <f t="array" ref="I318:L318">_xlfn.XLOOKUP(D318,products!$A$2:$A$49,products!$B$2:$E$49)</f>
        <v>Exc</v>
      </c>
      <c r="J318" t="str">
        <v>L</v>
      </c>
      <c r="K318" s="8">
        <v>2.5</v>
      </c>
      <c r="L318" s="6">
        <v>34.154999999999994</v>
      </c>
      <c r="M318" s="7">
        <f t="shared" si="12"/>
        <v>204.92999999999995</v>
      </c>
      <c r="N318" t="str">
        <f t="shared" si="13"/>
        <v>Excelsa</v>
      </c>
      <c r="O318" t="str">
        <f t="shared" si="14"/>
        <v>Lite</v>
      </c>
      <c r="P318" t="str">
        <f>_xlfn.XLOOKUP(Orders!C318,Customers!$A$2:$A$1001,Customers!$I$2:$I$1001)</f>
        <v>No</v>
      </c>
    </row>
    <row r="319" spans="1:16" x14ac:dyDescent="0.3">
      <c r="A319" t="s">
        <v>652</v>
      </c>
      <c r="B319" s="11">
        <v>43526</v>
      </c>
      <c r="C319" t="s">
        <v>653</v>
      </c>
      <c r="D319" t="s">
        <v>21</v>
      </c>
      <c r="E319">
        <v>3</v>
      </c>
      <c r="F319" t="str">
        <f>_xlfn.XLOOKUP(C319,Customers!$A$2:$A$1001,Customers!$B$2:$B$1001)</f>
        <v>Selma McMillian</v>
      </c>
      <c r="G319" t="str">
        <f>_xlfn.XLOOKUP(C319,Customers!$A$2:$A$1001,Customers!$C$2:$C$1001)</f>
        <v>smcmillian8t@csmonitor.com</v>
      </c>
      <c r="H319" t="str">
        <f>_xlfn.XLOOKUP(C319,Customers!$A$2:$A$1001,Customers!$G$2:$G$1001)</f>
        <v>United States</v>
      </c>
      <c r="I319" t="str" cm="1">
        <f t="array" ref="I319:L319">_xlfn.XLOOKUP(D319,products!$A$2:$A$49,products!$B$2:$E$49)</f>
        <v>Exc</v>
      </c>
      <c r="J319" t="str">
        <v>D</v>
      </c>
      <c r="K319" s="8">
        <v>0.5</v>
      </c>
      <c r="L319" s="6">
        <v>7.29</v>
      </c>
      <c r="M319" s="7">
        <f t="shared" si="12"/>
        <v>21.87</v>
      </c>
      <c r="N319" t="str">
        <f t="shared" si="13"/>
        <v>Excelsa</v>
      </c>
      <c r="O319" t="str">
        <f t="shared" si="14"/>
        <v>Dark</v>
      </c>
      <c r="P319" t="str">
        <f>_xlfn.XLOOKUP(Orders!C319,Customers!$A$2:$A$1001,Customers!$I$2:$I$1001)</f>
        <v>No</v>
      </c>
    </row>
    <row r="320" spans="1:16" x14ac:dyDescent="0.3">
      <c r="A320" t="s">
        <v>654</v>
      </c>
      <c r="B320" s="11">
        <v>44563</v>
      </c>
      <c r="C320" t="s">
        <v>655</v>
      </c>
      <c r="D320" t="s">
        <v>176</v>
      </c>
      <c r="E320">
        <v>2</v>
      </c>
      <c r="F320" t="str">
        <f>_xlfn.XLOOKUP(C320,Customers!$A$2:$A$1001,Customers!$B$2:$B$1001)</f>
        <v>Tess Bennison</v>
      </c>
      <c r="G320" t="str">
        <f>_xlfn.XLOOKUP(C320,Customers!$A$2:$A$1001,Customers!$C$2:$C$1001)</f>
        <v>tbennison8u@google.cn</v>
      </c>
      <c r="H320" t="str">
        <f>_xlfn.XLOOKUP(C320,Customers!$A$2:$A$1001,Customers!$G$2:$G$1001)</f>
        <v>United States</v>
      </c>
      <c r="I320" t="str" cm="1">
        <f t="array" ref="I320:L320">_xlfn.XLOOKUP(D320,products!$A$2:$A$49,products!$B$2:$E$49)</f>
        <v>Ara</v>
      </c>
      <c r="J320" t="str">
        <v>M</v>
      </c>
      <c r="K320" s="8">
        <v>2.5</v>
      </c>
      <c r="L320" s="6">
        <v>25.874999999999996</v>
      </c>
      <c r="M320" s="7">
        <f t="shared" si="12"/>
        <v>51.749999999999993</v>
      </c>
      <c r="N320" t="str">
        <f t="shared" si="13"/>
        <v>Arasbica</v>
      </c>
      <c r="O320" t="str">
        <f t="shared" si="14"/>
        <v>Medium</v>
      </c>
      <c r="P320" t="str">
        <f>_xlfn.XLOOKUP(Orders!C320,Customers!$A$2:$A$1001,Customers!$I$2:$I$1001)</f>
        <v>Yes</v>
      </c>
    </row>
    <row r="321" spans="1:16" x14ac:dyDescent="0.3">
      <c r="A321" t="s">
        <v>656</v>
      </c>
      <c r="B321" s="11">
        <v>43676</v>
      </c>
      <c r="C321" t="s">
        <v>657</v>
      </c>
      <c r="D321" t="s">
        <v>69</v>
      </c>
      <c r="E321">
        <v>2</v>
      </c>
      <c r="F321" t="str">
        <f>_xlfn.XLOOKUP(C321,Customers!$A$2:$A$1001,Customers!$B$2:$B$1001)</f>
        <v>Gabie Tweed</v>
      </c>
      <c r="G321" t="str">
        <f>_xlfn.XLOOKUP(C321,Customers!$A$2:$A$1001,Customers!$C$2:$C$1001)</f>
        <v>gtweed8v@yolasite.com</v>
      </c>
      <c r="H321" t="str">
        <f>_xlfn.XLOOKUP(C321,Customers!$A$2:$A$1001,Customers!$G$2:$G$1001)</f>
        <v>United States</v>
      </c>
      <c r="I321" t="str" cm="1">
        <f t="array" ref="I321:L321">_xlfn.XLOOKUP(D321,products!$A$2:$A$49,products!$B$2:$E$49)</f>
        <v>Exc</v>
      </c>
      <c r="J321" t="str">
        <v>M</v>
      </c>
      <c r="K321" s="8">
        <v>0.2</v>
      </c>
      <c r="L321" s="6">
        <v>4.125</v>
      </c>
      <c r="M321" s="7">
        <f t="shared" si="12"/>
        <v>8.25</v>
      </c>
      <c r="N321" t="str">
        <f t="shared" si="13"/>
        <v>Excelsa</v>
      </c>
      <c r="O321" t="str">
        <f t="shared" si="14"/>
        <v>Medium</v>
      </c>
      <c r="P321" t="str">
        <f>_xlfn.XLOOKUP(Orders!C321,Customers!$A$2:$A$1001,Customers!$I$2:$I$1001)</f>
        <v>Yes</v>
      </c>
    </row>
    <row r="322" spans="1:16" x14ac:dyDescent="0.3">
      <c r="A322" t="s">
        <v>656</v>
      </c>
      <c r="B322" s="11">
        <v>43676</v>
      </c>
      <c r="C322" t="s">
        <v>657</v>
      </c>
      <c r="D322" t="s">
        <v>120</v>
      </c>
      <c r="E322">
        <v>5</v>
      </c>
      <c r="F322" t="str">
        <f>_xlfn.XLOOKUP(C322,Customers!$A$2:$A$1001,Customers!$B$2:$B$1001)</f>
        <v>Gabie Tweed</v>
      </c>
      <c r="G322" t="str">
        <f>_xlfn.XLOOKUP(C322,Customers!$A$2:$A$1001,Customers!$C$2:$C$1001)</f>
        <v>gtweed8v@yolasite.com</v>
      </c>
      <c r="H322" t="str">
        <f>_xlfn.XLOOKUP(C322,Customers!$A$2:$A$1001,Customers!$G$2:$G$1001)</f>
        <v>United States</v>
      </c>
      <c r="I322" t="str" cm="1">
        <f t="array" ref="I322:L322">_xlfn.XLOOKUP(D322,products!$A$2:$A$49,products!$B$2:$E$49)</f>
        <v>Ara</v>
      </c>
      <c r="J322" t="str">
        <v>L</v>
      </c>
      <c r="K322" s="8">
        <v>0.2</v>
      </c>
      <c r="L322" s="6">
        <v>3.8849999999999998</v>
      </c>
      <c r="M322" s="7">
        <f t="shared" si="12"/>
        <v>19.424999999999997</v>
      </c>
      <c r="N322" t="str">
        <f t="shared" si="13"/>
        <v>Arasbica</v>
      </c>
      <c r="O322" t="str">
        <f t="shared" si="14"/>
        <v>Lite</v>
      </c>
      <c r="P322" t="str">
        <f>_xlfn.XLOOKUP(Orders!C322,Customers!$A$2:$A$1001,Customers!$I$2:$I$1001)</f>
        <v>Yes</v>
      </c>
    </row>
    <row r="323" spans="1:16" x14ac:dyDescent="0.3">
      <c r="A323" t="s">
        <v>658</v>
      </c>
      <c r="B323" s="11">
        <v>44170</v>
      </c>
      <c r="C323" t="s">
        <v>659</v>
      </c>
      <c r="D323" t="s">
        <v>49</v>
      </c>
      <c r="E323">
        <v>6</v>
      </c>
      <c r="F323" t="str">
        <f>_xlfn.XLOOKUP(C323,Customers!$A$2:$A$1001,Customers!$B$2:$B$1001)</f>
        <v>Gaile Goggin</v>
      </c>
      <c r="G323" t="str">
        <f>_xlfn.XLOOKUP(C323,Customers!$A$2:$A$1001,Customers!$C$2:$C$1001)</f>
        <v>ggoggin8x@wix.com</v>
      </c>
      <c r="H323" t="str">
        <f>_xlfn.XLOOKUP(C323,Customers!$A$2:$A$1001,Customers!$G$2:$G$1001)</f>
        <v>Ireland</v>
      </c>
      <c r="I323" t="str" cm="1">
        <f t="array" ref="I323:L323">_xlfn.XLOOKUP(D323,products!$A$2:$A$49,products!$B$2:$E$49)</f>
        <v>Ara</v>
      </c>
      <c r="J323" t="str">
        <v>M</v>
      </c>
      <c r="K323" s="8">
        <v>0.2</v>
      </c>
      <c r="L323" s="6">
        <v>3.375</v>
      </c>
      <c r="M323" s="7">
        <f t="shared" ref="M323:M386" si="15">E323*L323</f>
        <v>20.25</v>
      </c>
      <c r="N323" t="str">
        <f t="shared" ref="N323:N386" si="16">IF(I323="rob","Robusta",IF(I323="Exc","Excelsa",IF(I323="Ara","Arasbica",IF(I323="Lib","Liberica"))))</f>
        <v>Arasbica</v>
      </c>
      <c r="O323" t="str">
        <f t="shared" ref="O323:O386" si="17">IF(J323="M","Medium",IF(J323="L","Lite",IF(J323="D","Dark")))</f>
        <v>Medium</v>
      </c>
      <c r="P323" t="str">
        <f>_xlfn.XLOOKUP(Orders!C323,Customers!$A$2:$A$1001,Customers!$I$2:$I$1001)</f>
        <v>Yes</v>
      </c>
    </row>
    <row r="324" spans="1:16" x14ac:dyDescent="0.3">
      <c r="A324" t="s">
        <v>660</v>
      </c>
      <c r="B324" s="11">
        <v>44182</v>
      </c>
      <c r="C324" t="s">
        <v>661</v>
      </c>
      <c r="D324" t="s">
        <v>128</v>
      </c>
      <c r="E324">
        <v>3</v>
      </c>
      <c r="F324" t="str">
        <f>_xlfn.XLOOKUP(C324,Customers!$A$2:$A$1001,Customers!$B$2:$B$1001)</f>
        <v>Skylar Jeyness</v>
      </c>
      <c r="G324" t="str">
        <f>_xlfn.XLOOKUP(C324,Customers!$A$2:$A$1001,Customers!$C$2:$C$1001)</f>
        <v>sjeyness8y@biglobe.ne.jp</v>
      </c>
      <c r="H324" t="str">
        <f>_xlfn.XLOOKUP(C324,Customers!$A$2:$A$1001,Customers!$G$2:$G$1001)</f>
        <v>Ireland</v>
      </c>
      <c r="I324" t="str" cm="1">
        <f t="array" ref="I324:L324">_xlfn.XLOOKUP(D324,products!$A$2:$A$49,products!$B$2:$E$49)</f>
        <v>Lib</v>
      </c>
      <c r="J324" t="str">
        <v>D</v>
      </c>
      <c r="K324" s="8">
        <v>0.5</v>
      </c>
      <c r="L324" s="6">
        <v>7.77</v>
      </c>
      <c r="M324" s="7">
        <f t="shared" si="15"/>
        <v>23.31</v>
      </c>
      <c r="N324" t="str">
        <f t="shared" si="16"/>
        <v>Liberica</v>
      </c>
      <c r="O324" t="str">
        <f t="shared" si="17"/>
        <v>Dark</v>
      </c>
      <c r="P324" t="str">
        <f>_xlfn.XLOOKUP(Orders!C324,Customers!$A$2:$A$1001,Customers!$I$2:$I$1001)</f>
        <v>No</v>
      </c>
    </row>
    <row r="325" spans="1:16" x14ac:dyDescent="0.3">
      <c r="A325" t="s">
        <v>662</v>
      </c>
      <c r="B325" s="11">
        <v>44373</v>
      </c>
      <c r="C325" t="s">
        <v>663</v>
      </c>
      <c r="D325" t="s">
        <v>56</v>
      </c>
      <c r="E325">
        <v>5</v>
      </c>
      <c r="F325" t="str">
        <f>_xlfn.XLOOKUP(C325,Customers!$A$2:$A$1001,Customers!$B$2:$B$1001)</f>
        <v>Donica Bonhome</v>
      </c>
      <c r="G325" t="str">
        <f>_xlfn.XLOOKUP(C325,Customers!$A$2:$A$1001,Customers!$C$2:$C$1001)</f>
        <v>dbonhome8z@shinystat.com</v>
      </c>
      <c r="H325" t="str">
        <f>_xlfn.XLOOKUP(C325,Customers!$A$2:$A$1001,Customers!$G$2:$G$1001)</f>
        <v>United States</v>
      </c>
      <c r="I325" t="str" cm="1">
        <f t="array" ref="I325:L325">_xlfn.XLOOKUP(D325,products!$A$2:$A$49,products!$B$2:$E$49)</f>
        <v>Exc</v>
      </c>
      <c r="J325" t="str">
        <v>D</v>
      </c>
      <c r="K325" s="8">
        <v>0.2</v>
      </c>
      <c r="L325" s="6">
        <v>3.645</v>
      </c>
      <c r="M325" s="7">
        <f t="shared" si="15"/>
        <v>18.225000000000001</v>
      </c>
      <c r="N325" t="str">
        <f t="shared" si="16"/>
        <v>Excelsa</v>
      </c>
      <c r="O325" t="str">
        <f t="shared" si="17"/>
        <v>Dark</v>
      </c>
      <c r="P325" t="str">
        <f>_xlfn.XLOOKUP(Orders!C325,Customers!$A$2:$A$1001,Customers!$I$2:$I$1001)</f>
        <v>Yes</v>
      </c>
    </row>
    <row r="326" spans="1:16" x14ac:dyDescent="0.3">
      <c r="A326" t="s">
        <v>664</v>
      </c>
      <c r="B326" s="11">
        <v>43666</v>
      </c>
      <c r="C326" t="s">
        <v>665</v>
      </c>
      <c r="D326" t="s">
        <v>14</v>
      </c>
      <c r="E326">
        <v>1</v>
      </c>
      <c r="F326" t="str">
        <f>_xlfn.XLOOKUP(C326,Customers!$A$2:$A$1001,Customers!$B$2:$B$1001)</f>
        <v>Diena Peetermann</v>
      </c>
      <c r="G326">
        <f>_xlfn.XLOOKUP(C326,Customers!$A$2:$A$1001,Customers!$C$2:$C$1001)</f>
        <v>0</v>
      </c>
      <c r="H326" t="str">
        <f>_xlfn.XLOOKUP(C326,Customers!$A$2:$A$1001,Customers!$G$2:$G$1001)</f>
        <v>United States</v>
      </c>
      <c r="I326" t="str" cm="1">
        <f t="array" ref="I326:L326">_xlfn.XLOOKUP(D326,products!$A$2:$A$49,products!$B$2:$E$49)</f>
        <v>Exc</v>
      </c>
      <c r="J326" t="str">
        <v>M</v>
      </c>
      <c r="K326" s="8">
        <v>1</v>
      </c>
      <c r="L326" s="6">
        <v>13.75</v>
      </c>
      <c r="M326" s="7">
        <f t="shared" si="15"/>
        <v>13.75</v>
      </c>
      <c r="N326" t="str">
        <f t="shared" si="16"/>
        <v>Excelsa</v>
      </c>
      <c r="O326" t="str">
        <f t="shared" si="17"/>
        <v>Medium</v>
      </c>
      <c r="P326" t="str">
        <f>_xlfn.XLOOKUP(Orders!C326,Customers!$A$2:$A$1001,Customers!$I$2:$I$1001)</f>
        <v>No</v>
      </c>
    </row>
    <row r="327" spans="1:16" x14ac:dyDescent="0.3">
      <c r="A327" t="s">
        <v>666</v>
      </c>
      <c r="B327" s="11">
        <v>44756</v>
      </c>
      <c r="C327" t="s">
        <v>667</v>
      </c>
      <c r="D327" t="s">
        <v>209</v>
      </c>
      <c r="E327">
        <v>1</v>
      </c>
      <c r="F327" t="str">
        <f>_xlfn.XLOOKUP(C327,Customers!$A$2:$A$1001,Customers!$B$2:$B$1001)</f>
        <v>Trina Le Sarr</v>
      </c>
      <c r="G327" t="str">
        <f>_xlfn.XLOOKUP(C327,Customers!$A$2:$A$1001,Customers!$C$2:$C$1001)</f>
        <v>tle91@epa.gov</v>
      </c>
      <c r="H327" t="str">
        <f>_xlfn.XLOOKUP(C327,Customers!$A$2:$A$1001,Customers!$G$2:$G$1001)</f>
        <v>United States</v>
      </c>
      <c r="I327" t="str" cm="1">
        <f t="array" ref="I327:L327">_xlfn.XLOOKUP(D327,products!$A$2:$A$49,products!$B$2:$E$49)</f>
        <v>Ara</v>
      </c>
      <c r="J327" t="str">
        <v>L</v>
      </c>
      <c r="K327" s="8">
        <v>2.5</v>
      </c>
      <c r="L327" s="6">
        <v>29.784999999999997</v>
      </c>
      <c r="M327" s="7">
        <f t="shared" si="15"/>
        <v>29.784999999999997</v>
      </c>
      <c r="N327" t="str">
        <f t="shared" si="16"/>
        <v>Arasbica</v>
      </c>
      <c r="O327" t="str">
        <f t="shared" si="17"/>
        <v>Lite</v>
      </c>
      <c r="P327" t="str">
        <f>_xlfn.XLOOKUP(Orders!C327,Customers!$A$2:$A$1001,Customers!$I$2:$I$1001)</f>
        <v>Yes</v>
      </c>
    </row>
    <row r="328" spans="1:16" x14ac:dyDescent="0.3">
      <c r="A328" t="s">
        <v>668</v>
      </c>
      <c r="B328" s="11">
        <v>44057</v>
      </c>
      <c r="C328" t="s">
        <v>669</v>
      </c>
      <c r="D328" t="s">
        <v>184</v>
      </c>
      <c r="E328">
        <v>5</v>
      </c>
      <c r="F328" t="str">
        <f>_xlfn.XLOOKUP(C328,Customers!$A$2:$A$1001,Customers!$B$2:$B$1001)</f>
        <v>Flynn Antony</v>
      </c>
      <c r="G328">
        <f>_xlfn.XLOOKUP(C328,Customers!$A$2:$A$1001,Customers!$C$2:$C$1001)</f>
        <v>0</v>
      </c>
      <c r="H328" t="str">
        <f>_xlfn.XLOOKUP(C328,Customers!$A$2:$A$1001,Customers!$G$2:$G$1001)</f>
        <v>United States</v>
      </c>
      <c r="I328" t="str" cm="1">
        <f t="array" ref="I328:L328">_xlfn.XLOOKUP(D328,products!$A$2:$A$49,products!$B$2:$E$49)</f>
        <v>Rob</v>
      </c>
      <c r="J328" t="str">
        <v>D</v>
      </c>
      <c r="K328" s="8">
        <v>1</v>
      </c>
      <c r="L328" s="6">
        <v>8.9499999999999993</v>
      </c>
      <c r="M328" s="7">
        <f t="shared" si="15"/>
        <v>44.75</v>
      </c>
      <c r="N328" t="str">
        <f t="shared" si="16"/>
        <v>Robusta</v>
      </c>
      <c r="O328" t="str">
        <f t="shared" si="17"/>
        <v>Dark</v>
      </c>
      <c r="P328" t="str">
        <f>_xlfn.XLOOKUP(Orders!C328,Customers!$A$2:$A$1001,Customers!$I$2:$I$1001)</f>
        <v>No</v>
      </c>
    </row>
    <row r="329" spans="1:16" x14ac:dyDescent="0.3">
      <c r="A329" t="s">
        <v>670</v>
      </c>
      <c r="B329" s="11">
        <v>43579</v>
      </c>
      <c r="C329" t="s">
        <v>671</v>
      </c>
      <c r="D329" t="s">
        <v>184</v>
      </c>
      <c r="E329">
        <v>5</v>
      </c>
      <c r="F329" t="str">
        <f>_xlfn.XLOOKUP(C329,Customers!$A$2:$A$1001,Customers!$B$2:$B$1001)</f>
        <v>Baudoin Alldridge</v>
      </c>
      <c r="G329" t="str">
        <f>_xlfn.XLOOKUP(C329,Customers!$A$2:$A$1001,Customers!$C$2:$C$1001)</f>
        <v>balldridge93@yandex.ru</v>
      </c>
      <c r="H329" t="str">
        <f>_xlfn.XLOOKUP(C329,Customers!$A$2:$A$1001,Customers!$G$2:$G$1001)</f>
        <v>United States</v>
      </c>
      <c r="I329" t="str" cm="1">
        <f t="array" ref="I329:L329">_xlfn.XLOOKUP(D329,products!$A$2:$A$49,products!$B$2:$E$49)</f>
        <v>Rob</v>
      </c>
      <c r="J329" t="str">
        <v>D</v>
      </c>
      <c r="K329" s="8">
        <v>1</v>
      </c>
      <c r="L329" s="6">
        <v>8.9499999999999993</v>
      </c>
      <c r="M329" s="7">
        <f t="shared" si="15"/>
        <v>44.75</v>
      </c>
      <c r="N329" t="str">
        <f t="shared" si="16"/>
        <v>Robusta</v>
      </c>
      <c r="O329" t="str">
        <f t="shared" si="17"/>
        <v>Dark</v>
      </c>
      <c r="P329" t="str">
        <f>_xlfn.XLOOKUP(Orders!C329,Customers!$A$2:$A$1001,Customers!$I$2:$I$1001)</f>
        <v>Yes</v>
      </c>
    </row>
    <row r="330" spans="1:16" x14ac:dyDescent="0.3">
      <c r="A330" t="s">
        <v>672</v>
      </c>
      <c r="B330" s="11">
        <v>43620</v>
      </c>
      <c r="C330" t="s">
        <v>673</v>
      </c>
      <c r="D330" t="s">
        <v>88</v>
      </c>
      <c r="E330">
        <v>4</v>
      </c>
      <c r="F330" t="str">
        <f>_xlfn.XLOOKUP(C330,Customers!$A$2:$A$1001,Customers!$B$2:$B$1001)</f>
        <v>Homer Dulany</v>
      </c>
      <c r="G330">
        <f>_xlfn.XLOOKUP(C330,Customers!$A$2:$A$1001,Customers!$C$2:$C$1001)</f>
        <v>0</v>
      </c>
      <c r="H330" t="str">
        <f>_xlfn.XLOOKUP(C330,Customers!$A$2:$A$1001,Customers!$G$2:$G$1001)</f>
        <v>United States</v>
      </c>
      <c r="I330" t="str" cm="1">
        <f t="array" ref="I330:L330">_xlfn.XLOOKUP(D330,products!$A$2:$A$49,products!$B$2:$E$49)</f>
        <v>Lib</v>
      </c>
      <c r="J330" t="str">
        <v>L</v>
      </c>
      <c r="K330" s="8">
        <v>0.5</v>
      </c>
      <c r="L330" s="6">
        <v>9.51</v>
      </c>
      <c r="M330" s="7">
        <f t="shared" si="15"/>
        <v>38.04</v>
      </c>
      <c r="N330" t="str">
        <f t="shared" si="16"/>
        <v>Liberica</v>
      </c>
      <c r="O330" t="str">
        <f t="shared" si="17"/>
        <v>Lite</v>
      </c>
      <c r="P330" t="str">
        <f>_xlfn.XLOOKUP(Orders!C330,Customers!$A$2:$A$1001,Customers!$I$2:$I$1001)</f>
        <v>Yes</v>
      </c>
    </row>
    <row r="331" spans="1:16" x14ac:dyDescent="0.3">
      <c r="A331" t="s">
        <v>674</v>
      </c>
      <c r="B331" s="11">
        <v>44781</v>
      </c>
      <c r="C331" t="s">
        <v>675</v>
      </c>
      <c r="D331" t="s">
        <v>151</v>
      </c>
      <c r="E331">
        <v>4</v>
      </c>
      <c r="F331" t="str">
        <f>_xlfn.XLOOKUP(C331,Customers!$A$2:$A$1001,Customers!$B$2:$B$1001)</f>
        <v>Lisa Goodger</v>
      </c>
      <c r="G331" t="str">
        <f>_xlfn.XLOOKUP(C331,Customers!$A$2:$A$1001,Customers!$C$2:$C$1001)</f>
        <v>lgoodger95@guardian.co.uk</v>
      </c>
      <c r="H331" t="str">
        <f>_xlfn.XLOOKUP(C331,Customers!$A$2:$A$1001,Customers!$G$2:$G$1001)</f>
        <v>United States</v>
      </c>
      <c r="I331" t="str" cm="1">
        <f t="array" ref="I331:L331">_xlfn.XLOOKUP(D331,products!$A$2:$A$49,products!$B$2:$E$49)</f>
        <v>Rob</v>
      </c>
      <c r="J331" t="str">
        <v>D</v>
      </c>
      <c r="K331" s="8">
        <v>0.5</v>
      </c>
      <c r="L331" s="6">
        <v>5.3699999999999992</v>
      </c>
      <c r="M331" s="7">
        <f t="shared" si="15"/>
        <v>21.479999999999997</v>
      </c>
      <c r="N331" t="str">
        <f t="shared" si="16"/>
        <v>Robusta</v>
      </c>
      <c r="O331" t="str">
        <f t="shared" si="17"/>
        <v>Dark</v>
      </c>
      <c r="P331" t="str">
        <f>_xlfn.XLOOKUP(Orders!C331,Customers!$A$2:$A$1001,Customers!$I$2:$I$1001)</f>
        <v>Yes</v>
      </c>
    </row>
    <row r="332" spans="1:16" x14ac:dyDescent="0.3">
      <c r="A332" t="s">
        <v>676</v>
      </c>
      <c r="B332" s="11">
        <v>43782</v>
      </c>
      <c r="C332" t="s">
        <v>653</v>
      </c>
      <c r="D332" t="s">
        <v>151</v>
      </c>
      <c r="E332">
        <v>3</v>
      </c>
      <c r="F332" t="str">
        <f>_xlfn.XLOOKUP(C332,Customers!$A$2:$A$1001,Customers!$B$2:$B$1001)</f>
        <v>Selma McMillian</v>
      </c>
      <c r="G332" t="str">
        <f>_xlfn.XLOOKUP(C332,Customers!$A$2:$A$1001,Customers!$C$2:$C$1001)</f>
        <v>smcmillian8t@csmonitor.com</v>
      </c>
      <c r="H332" t="str">
        <f>_xlfn.XLOOKUP(C332,Customers!$A$2:$A$1001,Customers!$G$2:$G$1001)</f>
        <v>United States</v>
      </c>
      <c r="I332" t="str" cm="1">
        <f t="array" ref="I332:L332">_xlfn.XLOOKUP(D332,products!$A$2:$A$49,products!$B$2:$E$49)</f>
        <v>Rob</v>
      </c>
      <c r="J332" t="str">
        <v>D</v>
      </c>
      <c r="K332" s="8">
        <v>0.5</v>
      </c>
      <c r="L332" s="6">
        <v>5.3699999999999992</v>
      </c>
      <c r="M332" s="7">
        <f t="shared" si="15"/>
        <v>16.11</v>
      </c>
      <c r="N332" t="str">
        <f t="shared" si="16"/>
        <v>Robusta</v>
      </c>
      <c r="O332" t="str">
        <f t="shared" si="17"/>
        <v>Dark</v>
      </c>
      <c r="P332" t="str">
        <f>_xlfn.XLOOKUP(Orders!C332,Customers!$A$2:$A$1001,Customers!$I$2:$I$1001)</f>
        <v>No</v>
      </c>
    </row>
    <row r="333" spans="1:16" x14ac:dyDescent="0.3">
      <c r="A333" t="s">
        <v>677</v>
      </c>
      <c r="B333" s="11">
        <v>43989</v>
      </c>
      <c r="C333" t="s">
        <v>678</v>
      </c>
      <c r="D333" t="s">
        <v>46</v>
      </c>
      <c r="E333">
        <v>1</v>
      </c>
      <c r="F333" t="str">
        <f>_xlfn.XLOOKUP(C333,Customers!$A$2:$A$1001,Customers!$B$2:$B$1001)</f>
        <v>Corine Drewett</v>
      </c>
      <c r="G333" t="str">
        <f>_xlfn.XLOOKUP(C333,Customers!$A$2:$A$1001,Customers!$C$2:$C$1001)</f>
        <v>cdrewett97@wikipedia.org</v>
      </c>
      <c r="H333" t="str">
        <f>_xlfn.XLOOKUP(C333,Customers!$A$2:$A$1001,Customers!$G$2:$G$1001)</f>
        <v>United States</v>
      </c>
      <c r="I333" t="str" cm="1">
        <f t="array" ref="I333:L333">_xlfn.XLOOKUP(D333,products!$A$2:$A$49,products!$B$2:$E$49)</f>
        <v>Rob</v>
      </c>
      <c r="J333" t="str">
        <v>M</v>
      </c>
      <c r="K333" s="8">
        <v>2.5</v>
      </c>
      <c r="L333" s="6">
        <v>22.884999999999998</v>
      </c>
      <c r="M333" s="7">
        <f t="shared" si="15"/>
        <v>22.884999999999998</v>
      </c>
      <c r="N333" t="str">
        <f t="shared" si="16"/>
        <v>Robusta</v>
      </c>
      <c r="O333" t="str">
        <f t="shared" si="17"/>
        <v>Medium</v>
      </c>
      <c r="P333" t="str">
        <f>_xlfn.XLOOKUP(Orders!C333,Customers!$A$2:$A$1001,Customers!$I$2:$I$1001)</f>
        <v>Yes</v>
      </c>
    </row>
    <row r="334" spans="1:16" x14ac:dyDescent="0.3">
      <c r="A334" t="s">
        <v>679</v>
      </c>
      <c r="B334" s="11">
        <v>43689</v>
      </c>
      <c r="C334" t="s">
        <v>680</v>
      </c>
      <c r="D334" t="s">
        <v>77</v>
      </c>
      <c r="E334">
        <v>3</v>
      </c>
      <c r="F334" t="str">
        <f>_xlfn.XLOOKUP(C334,Customers!$A$2:$A$1001,Customers!$B$2:$B$1001)</f>
        <v>Quinn Parsons</v>
      </c>
      <c r="G334" t="str">
        <f>_xlfn.XLOOKUP(C334,Customers!$A$2:$A$1001,Customers!$C$2:$C$1001)</f>
        <v>qparsons98@blogtalkradio.com</v>
      </c>
      <c r="H334" t="str">
        <f>_xlfn.XLOOKUP(C334,Customers!$A$2:$A$1001,Customers!$G$2:$G$1001)</f>
        <v>United States</v>
      </c>
      <c r="I334" t="str" cm="1">
        <f t="array" ref="I334:L334">_xlfn.XLOOKUP(D334,products!$A$2:$A$49,products!$B$2:$E$49)</f>
        <v>Ara</v>
      </c>
      <c r="J334" t="str">
        <v>D</v>
      </c>
      <c r="K334" s="8">
        <v>0.5</v>
      </c>
      <c r="L334" s="6">
        <v>5.97</v>
      </c>
      <c r="M334" s="7">
        <f t="shared" si="15"/>
        <v>17.91</v>
      </c>
      <c r="N334" t="str">
        <f t="shared" si="16"/>
        <v>Arasbica</v>
      </c>
      <c r="O334" t="str">
        <f t="shared" si="17"/>
        <v>Dark</v>
      </c>
      <c r="P334" t="str">
        <f>_xlfn.XLOOKUP(Orders!C334,Customers!$A$2:$A$1001,Customers!$I$2:$I$1001)</f>
        <v>Yes</v>
      </c>
    </row>
    <row r="335" spans="1:16" x14ac:dyDescent="0.3">
      <c r="A335" t="s">
        <v>681</v>
      </c>
      <c r="B335" s="11">
        <v>43712</v>
      </c>
      <c r="C335" t="s">
        <v>682</v>
      </c>
      <c r="D335" t="s">
        <v>27</v>
      </c>
      <c r="E335">
        <v>4</v>
      </c>
      <c r="F335" t="str">
        <f>_xlfn.XLOOKUP(C335,Customers!$A$2:$A$1001,Customers!$B$2:$B$1001)</f>
        <v>Vivyan Ceely</v>
      </c>
      <c r="G335" t="str">
        <f>_xlfn.XLOOKUP(C335,Customers!$A$2:$A$1001,Customers!$C$2:$C$1001)</f>
        <v>vceely99@auda.org.au</v>
      </c>
      <c r="H335" t="str">
        <f>_xlfn.XLOOKUP(C335,Customers!$A$2:$A$1001,Customers!$G$2:$G$1001)</f>
        <v>United States</v>
      </c>
      <c r="I335" t="str" cm="1">
        <f t="array" ref="I335:L335">_xlfn.XLOOKUP(D335,products!$A$2:$A$49,products!$B$2:$E$49)</f>
        <v>Rob</v>
      </c>
      <c r="J335" t="str">
        <v>M</v>
      </c>
      <c r="K335" s="8">
        <v>0.5</v>
      </c>
      <c r="L335" s="6">
        <v>5.97</v>
      </c>
      <c r="M335" s="7">
        <f t="shared" si="15"/>
        <v>23.88</v>
      </c>
      <c r="N335" t="str">
        <f t="shared" si="16"/>
        <v>Robusta</v>
      </c>
      <c r="O335" t="str">
        <f t="shared" si="17"/>
        <v>Medium</v>
      </c>
      <c r="P335" t="str">
        <f>_xlfn.XLOOKUP(Orders!C335,Customers!$A$2:$A$1001,Customers!$I$2:$I$1001)</f>
        <v>Yes</v>
      </c>
    </row>
    <row r="336" spans="1:16" x14ac:dyDescent="0.3">
      <c r="A336" t="s">
        <v>683</v>
      </c>
      <c r="B336" s="11">
        <v>43742</v>
      </c>
      <c r="C336" t="s">
        <v>684</v>
      </c>
      <c r="D336" t="s">
        <v>194</v>
      </c>
      <c r="E336">
        <v>5</v>
      </c>
      <c r="F336" t="str">
        <f>_xlfn.XLOOKUP(C336,Customers!$A$2:$A$1001,Customers!$B$2:$B$1001)</f>
        <v>Elonore Goodings</v>
      </c>
      <c r="G336">
        <f>_xlfn.XLOOKUP(C336,Customers!$A$2:$A$1001,Customers!$C$2:$C$1001)</f>
        <v>0</v>
      </c>
      <c r="H336" t="str">
        <f>_xlfn.XLOOKUP(C336,Customers!$A$2:$A$1001,Customers!$G$2:$G$1001)</f>
        <v>United States</v>
      </c>
      <c r="I336" t="str" cm="1">
        <f t="array" ref="I336:L336">_xlfn.XLOOKUP(D336,products!$A$2:$A$49,products!$B$2:$E$49)</f>
        <v>Rob</v>
      </c>
      <c r="J336" t="str">
        <v>L</v>
      </c>
      <c r="K336" s="8">
        <v>1</v>
      </c>
      <c r="L336" s="6">
        <v>11.95</v>
      </c>
      <c r="M336" s="7">
        <f t="shared" si="15"/>
        <v>59.75</v>
      </c>
      <c r="N336" t="str">
        <f t="shared" si="16"/>
        <v>Robusta</v>
      </c>
      <c r="O336" t="str">
        <f t="shared" si="17"/>
        <v>Lite</v>
      </c>
      <c r="P336" t="str">
        <f>_xlfn.XLOOKUP(Orders!C336,Customers!$A$2:$A$1001,Customers!$I$2:$I$1001)</f>
        <v>No</v>
      </c>
    </row>
    <row r="337" spans="1:16" x14ac:dyDescent="0.3">
      <c r="A337" t="s">
        <v>685</v>
      </c>
      <c r="B337" s="11">
        <v>43885</v>
      </c>
      <c r="C337" t="s">
        <v>686</v>
      </c>
      <c r="D337" t="s">
        <v>24</v>
      </c>
      <c r="E337">
        <v>6</v>
      </c>
      <c r="F337" t="str">
        <f>_xlfn.XLOOKUP(C337,Customers!$A$2:$A$1001,Customers!$B$2:$B$1001)</f>
        <v>Clement Vasiliev</v>
      </c>
      <c r="G337" t="str">
        <f>_xlfn.XLOOKUP(C337,Customers!$A$2:$A$1001,Customers!$C$2:$C$1001)</f>
        <v>cvasiliev9b@discuz.net</v>
      </c>
      <c r="H337" t="str">
        <f>_xlfn.XLOOKUP(C337,Customers!$A$2:$A$1001,Customers!$G$2:$G$1001)</f>
        <v>United States</v>
      </c>
      <c r="I337" t="str" cm="1">
        <f t="array" ref="I337:L337">_xlfn.XLOOKUP(D337,products!$A$2:$A$49,products!$B$2:$E$49)</f>
        <v>Lib</v>
      </c>
      <c r="J337" t="str">
        <v>L</v>
      </c>
      <c r="K337" s="8">
        <v>0.2</v>
      </c>
      <c r="L337" s="6">
        <v>4.7549999999999999</v>
      </c>
      <c r="M337" s="7">
        <f t="shared" si="15"/>
        <v>28.53</v>
      </c>
      <c r="N337" t="str">
        <f t="shared" si="16"/>
        <v>Liberica</v>
      </c>
      <c r="O337" t="str">
        <f t="shared" si="17"/>
        <v>Lite</v>
      </c>
      <c r="P337" t="str">
        <f>_xlfn.XLOOKUP(Orders!C337,Customers!$A$2:$A$1001,Customers!$I$2:$I$1001)</f>
        <v>Yes</v>
      </c>
    </row>
    <row r="338" spans="1:16" x14ac:dyDescent="0.3">
      <c r="A338" t="s">
        <v>687</v>
      </c>
      <c r="B338" s="11">
        <v>44434</v>
      </c>
      <c r="C338" t="s">
        <v>688</v>
      </c>
      <c r="D338" t="s">
        <v>66</v>
      </c>
      <c r="E338">
        <v>4</v>
      </c>
      <c r="F338" t="str">
        <f>_xlfn.XLOOKUP(C338,Customers!$A$2:$A$1001,Customers!$B$2:$B$1001)</f>
        <v>Terencio O'Moylan</v>
      </c>
      <c r="G338" t="str">
        <f>_xlfn.XLOOKUP(C338,Customers!$A$2:$A$1001,Customers!$C$2:$C$1001)</f>
        <v>tomoylan9c@liveinternet.ru</v>
      </c>
      <c r="H338" t="str">
        <f>_xlfn.XLOOKUP(C338,Customers!$A$2:$A$1001,Customers!$G$2:$G$1001)</f>
        <v>United Kingdom</v>
      </c>
      <c r="I338" t="str" cm="1">
        <f t="array" ref="I338:L338">_xlfn.XLOOKUP(D338,products!$A$2:$A$49,products!$B$2:$E$49)</f>
        <v>Ara</v>
      </c>
      <c r="J338" t="str">
        <v>M</v>
      </c>
      <c r="K338" s="8">
        <v>1</v>
      </c>
      <c r="L338" s="6">
        <v>11.25</v>
      </c>
      <c r="M338" s="7">
        <f t="shared" si="15"/>
        <v>45</v>
      </c>
      <c r="N338" t="str">
        <f t="shared" si="16"/>
        <v>Arasbica</v>
      </c>
      <c r="O338" t="str">
        <f t="shared" si="17"/>
        <v>Medium</v>
      </c>
      <c r="P338" t="str">
        <f>_xlfn.XLOOKUP(Orders!C338,Customers!$A$2:$A$1001,Customers!$I$2:$I$1001)</f>
        <v>No</v>
      </c>
    </row>
    <row r="339" spans="1:16" x14ac:dyDescent="0.3">
      <c r="A339" t="s">
        <v>689</v>
      </c>
      <c r="B339" s="11">
        <v>44472</v>
      </c>
      <c r="C339" t="s">
        <v>669</v>
      </c>
      <c r="D339" t="s">
        <v>535</v>
      </c>
      <c r="E339">
        <v>2</v>
      </c>
      <c r="F339" t="str">
        <f>_xlfn.XLOOKUP(C339,Customers!$A$2:$A$1001,Customers!$B$2:$B$1001)</f>
        <v>Flynn Antony</v>
      </c>
      <c r="G339">
        <f>_xlfn.XLOOKUP(C339,Customers!$A$2:$A$1001,Customers!$C$2:$C$1001)</f>
        <v>0</v>
      </c>
      <c r="H339" t="str">
        <f>_xlfn.XLOOKUP(C339,Customers!$A$2:$A$1001,Customers!$G$2:$G$1001)</f>
        <v>United States</v>
      </c>
      <c r="I339" t="str" cm="1">
        <f t="array" ref="I339:L339">_xlfn.XLOOKUP(D339,products!$A$2:$A$49,products!$B$2:$E$49)</f>
        <v>Exc</v>
      </c>
      <c r="J339" t="str">
        <v>D</v>
      </c>
      <c r="K339" s="8">
        <v>2.5</v>
      </c>
      <c r="L339" s="6">
        <v>27.945</v>
      </c>
      <c r="M339" s="7">
        <f t="shared" si="15"/>
        <v>55.89</v>
      </c>
      <c r="N339" t="str">
        <f t="shared" si="16"/>
        <v>Excelsa</v>
      </c>
      <c r="O339" t="str">
        <f t="shared" si="17"/>
        <v>Dark</v>
      </c>
      <c r="P339" t="str">
        <f>_xlfn.XLOOKUP(Orders!C339,Customers!$A$2:$A$1001,Customers!$I$2:$I$1001)</f>
        <v>No</v>
      </c>
    </row>
    <row r="340" spans="1:16" x14ac:dyDescent="0.3">
      <c r="A340" t="s">
        <v>690</v>
      </c>
      <c r="B340" s="11">
        <v>43995</v>
      </c>
      <c r="C340" t="s">
        <v>691</v>
      </c>
      <c r="D340" t="s">
        <v>142</v>
      </c>
      <c r="E340">
        <v>4</v>
      </c>
      <c r="F340" t="str">
        <f>_xlfn.XLOOKUP(C340,Customers!$A$2:$A$1001,Customers!$B$2:$B$1001)</f>
        <v>Wyatan Fetherston</v>
      </c>
      <c r="G340" t="str">
        <f>_xlfn.XLOOKUP(C340,Customers!$A$2:$A$1001,Customers!$C$2:$C$1001)</f>
        <v>wfetherston9e@constantcontact.com</v>
      </c>
      <c r="H340" t="str">
        <f>_xlfn.XLOOKUP(C340,Customers!$A$2:$A$1001,Customers!$G$2:$G$1001)</f>
        <v>United States</v>
      </c>
      <c r="I340" t="str" cm="1">
        <f t="array" ref="I340:L340">_xlfn.XLOOKUP(D340,products!$A$2:$A$49,products!$B$2:$E$49)</f>
        <v>Exc</v>
      </c>
      <c r="J340" t="str">
        <v>L</v>
      </c>
      <c r="K340" s="8">
        <v>1</v>
      </c>
      <c r="L340" s="6">
        <v>14.85</v>
      </c>
      <c r="M340" s="7">
        <f t="shared" si="15"/>
        <v>59.4</v>
      </c>
      <c r="N340" t="str">
        <f t="shared" si="16"/>
        <v>Excelsa</v>
      </c>
      <c r="O340" t="str">
        <f t="shared" si="17"/>
        <v>Lite</v>
      </c>
      <c r="P340" t="str">
        <f>_xlfn.XLOOKUP(Orders!C340,Customers!$A$2:$A$1001,Customers!$I$2:$I$1001)</f>
        <v>No</v>
      </c>
    </row>
    <row r="341" spans="1:16" x14ac:dyDescent="0.3">
      <c r="A341" t="s">
        <v>692</v>
      </c>
      <c r="B341" s="11">
        <v>44256</v>
      </c>
      <c r="C341" t="s">
        <v>693</v>
      </c>
      <c r="D341" t="s">
        <v>56</v>
      </c>
      <c r="E341">
        <v>2</v>
      </c>
      <c r="F341" t="str">
        <f>_xlfn.XLOOKUP(C341,Customers!$A$2:$A$1001,Customers!$B$2:$B$1001)</f>
        <v>Emmaline Rasmus</v>
      </c>
      <c r="G341" t="str">
        <f>_xlfn.XLOOKUP(C341,Customers!$A$2:$A$1001,Customers!$C$2:$C$1001)</f>
        <v>erasmus9f@techcrunch.com</v>
      </c>
      <c r="H341" t="str">
        <f>_xlfn.XLOOKUP(C341,Customers!$A$2:$A$1001,Customers!$G$2:$G$1001)</f>
        <v>United States</v>
      </c>
      <c r="I341" t="str" cm="1">
        <f t="array" ref="I341:L341">_xlfn.XLOOKUP(D341,products!$A$2:$A$49,products!$B$2:$E$49)</f>
        <v>Exc</v>
      </c>
      <c r="J341" t="str">
        <v>D</v>
      </c>
      <c r="K341" s="8">
        <v>0.2</v>
      </c>
      <c r="L341" s="6">
        <v>3.645</v>
      </c>
      <c r="M341" s="7">
        <f t="shared" si="15"/>
        <v>7.29</v>
      </c>
      <c r="N341" t="str">
        <f t="shared" si="16"/>
        <v>Excelsa</v>
      </c>
      <c r="O341" t="str">
        <f t="shared" si="17"/>
        <v>Dark</v>
      </c>
      <c r="P341" t="str">
        <f>_xlfn.XLOOKUP(Orders!C341,Customers!$A$2:$A$1001,Customers!$I$2:$I$1001)</f>
        <v>Yes</v>
      </c>
    </row>
    <row r="342" spans="1:16" x14ac:dyDescent="0.3">
      <c r="A342" t="s">
        <v>694</v>
      </c>
      <c r="B342" s="11">
        <v>43528</v>
      </c>
      <c r="C342" t="s">
        <v>695</v>
      </c>
      <c r="D342" t="s">
        <v>21</v>
      </c>
      <c r="E342">
        <v>1</v>
      </c>
      <c r="F342" t="str">
        <f>_xlfn.XLOOKUP(C342,Customers!$A$2:$A$1001,Customers!$B$2:$B$1001)</f>
        <v>Wesley Giorgioni</v>
      </c>
      <c r="G342" t="str">
        <f>_xlfn.XLOOKUP(C342,Customers!$A$2:$A$1001,Customers!$C$2:$C$1001)</f>
        <v>wgiorgioni9g@wikipedia.org</v>
      </c>
      <c r="H342" t="str">
        <f>_xlfn.XLOOKUP(C342,Customers!$A$2:$A$1001,Customers!$G$2:$G$1001)</f>
        <v>United States</v>
      </c>
      <c r="I342" t="str" cm="1">
        <f t="array" ref="I342:L342">_xlfn.XLOOKUP(D342,products!$A$2:$A$49,products!$B$2:$E$49)</f>
        <v>Exc</v>
      </c>
      <c r="J342" t="str">
        <v>D</v>
      </c>
      <c r="K342" s="8">
        <v>0.5</v>
      </c>
      <c r="L342" s="6">
        <v>7.29</v>
      </c>
      <c r="M342" s="7">
        <f t="shared" si="15"/>
        <v>7.29</v>
      </c>
      <c r="N342" t="str">
        <f t="shared" si="16"/>
        <v>Excelsa</v>
      </c>
      <c r="O342" t="str">
        <f t="shared" si="17"/>
        <v>Dark</v>
      </c>
      <c r="P342" t="str">
        <f>_xlfn.XLOOKUP(Orders!C342,Customers!$A$2:$A$1001,Customers!$I$2:$I$1001)</f>
        <v>Yes</v>
      </c>
    </row>
    <row r="343" spans="1:16" x14ac:dyDescent="0.3">
      <c r="A343" t="s">
        <v>696</v>
      </c>
      <c r="B343" s="11">
        <v>43751</v>
      </c>
      <c r="C343" t="s">
        <v>697</v>
      </c>
      <c r="D343" t="s">
        <v>181</v>
      </c>
      <c r="E343">
        <v>2</v>
      </c>
      <c r="F343" t="str">
        <f>_xlfn.XLOOKUP(C343,Customers!$A$2:$A$1001,Customers!$B$2:$B$1001)</f>
        <v>Lucienne Scargle</v>
      </c>
      <c r="G343" t="str">
        <f>_xlfn.XLOOKUP(C343,Customers!$A$2:$A$1001,Customers!$C$2:$C$1001)</f>
        <v>lscargle9h@myspace.com</v>
      </c>
      <c r="H343" t="str">
        <f>_xlfn.XLOOKUP(C343,Customers!$A$2:$A$1001,Customers!$G$2:$G$1001)</f>
        <v>United States</v>
      </c>
      <c r="I343" t="str" cm="1">
        <f t="array" ref="I343:L343">_xlfn.XLOOKUP(D343,products!$A$2:$A$49,products!$B$2:$E$49)</f>
        <v>Exc</v>
      </c>
      <c r="J343" t="str">
        <v>L</v>
      </c>
      <c r="K343" s="8">
        <v>0.5</v>
      </c>
      <c r="L343" s="6">
        <v>8.91</v>
      </c>
      <c r="M343" s="7">
        <f t="shared" si="15"/>
        <v>17.82</v>
      </c>
      <c r="N343" t="str">
        <f t="shared" si="16"/>
        <v>Excelsa</v>
      </c>
      <c r="O343" t="str">
        <f t="shared" si="17"/>
        <v>Lite</v>
      </c>
      <c r="P343" t="str">
        <f>_xlfn.XLOOKUP(Orders!C343,Customers!$A$2:$A$1001,Customers!$I$2:$I$1001)</f>
        <v>No</v>
      </c>
    </row>
    <row r="344" spans="1:16" x14ac:dyDescent="0.3">
      <c r="A344" t="s">
        <v>696</v>
      </c>
      <c r="B344" s="11">
        <v>43751</v>
      </c>
      <c r="C344" t="s">
        <v>697</v>
      </c>
      <c r="D344" t="s">
        <v>128</v>
      </c>
      <c r="E344">
        <v>5</v>
      </c>
      <c r="F344" t="str">
        <f>_xlfn.XLOOKUP(C344,Customers!$A$2:$A$1001,Customers!$B$2:$B$1001)</f>
        <v>Lucienne Scargle</v>
      </c>
      <c r="G344" t="str">
        <f>_xlfn.XLOOKUP(C344,Customers!$A$2:$A$1001,Customers!$C$2:$C$1001)</f>
        <v>lscargle9h@myspace.com</v>
      </c>
      <c r="H344" t="str">
        <f>_xlfn.XLOOKUP(C344,Customers!$A$2:$A$1001,Customers!$G$2:$G$1001)</f>
        <v>United States</v>
      </c>
      <c r="I344" t="str" cm="1">
        <f t="array" ref="I344:L344">_xlfn.XLOOKUP(D344,products!$A$2:$A$49,products!$B$2:$E$49)</f>
        <v>Lib</v>
      </c>
      <c r="J344" t="str">
        <v>D</v>
      </c>
      <c r="K344" s="8">
        <v>0.5</v>
      </c>
      <c r="L344" s="6">
        <v>7.77</v>
      </c>
      <c r="M344" s="7">
        <f t="shared" si="15"/>
        <v>38.849999999999994</v>
      </c>
      <c r="N344" t="str">
        <f t="shared" si="16"/>
        <v>Liberica</v>
      </c>
      <c r="O344" t="str">
        <f t="shared" si="17"/>
        <v>Dark</v>
      </c>
      <c r="P344" t="str">
        <f>_xlfn.XLOOKUP(Orders!C344,Customers!$A$2:$A$1001,Customers!$I$2:$I$1001)</f>
        <v>No</v>
      </c>
    </row>
    <row r="345" spans="1:16" x14ac:dyDescent="0.3">
      <c r="A345" t="s">
        <v>698</v>
      </c>
      <c r="B345" s="11">
        <v>43692</v>
      </c>
      <c r="C345" t="s">
        <v>699</v>
      </c>
      <c r="D345" t="s">
        <v>151</v>
      </c>
      <c r="E345">
        <v>6</v>
      </c>
      <c r="F345" t="str">
        <f>_xlfn.XLOOKUP(C345,Customers!$A$2:$A$1001,Customers!$B$2:$B$1001)</f>
        <v>Noam Climance</v>
      </c>
      <c r="G345" t="str">
        <f>_xlfn.XLOOKUP(C345,Customers!$A$2:$A$1001,Customers!$C$2:$C$1001)</f>
        <v>nclimance9j@europa.eu</v>
      </c>
      <c r="H345" t="str">
        <f>_xlfn.XLOOKUP(C345,Customers!$A$2:$A$1001,Customers!$G$2:$G$1001)</f>
        <v>United States</v>
      </c>
      <c r="I345" t="str" cm="1">
        <f t="array" ref="I345:L345">_xlfn.XLOOKUP(D345,products!$A$2:$A$49,products!$B$2:$E$49)</f>
        <v>Rob</v>
      </c>
      <c r="J345" t="str">
        <v>D</v>
      </c>
      <c r="K345" s="8">
        <v>0.5</v>
      </c>
      <c r="L345" s="6">
        <v>5.3699999999999992</v>
      </c>
      <c r="M345" s="7">
        <f t="shared" si="15"/>
        <v>32.22</v>
      </c>
      <c r="N345" t="str">
        <f t="shared" si="16"/>
        <v>Robusta</v>
      </c>
      <c r="O345" t="str">
        <f t="shared" si="17"/>
        <v>Dark</v>
      </c>
      <c r="P345" t="str">
        <f>_xlfn.XLOOKUP(Orders!C345,Customers!$A$2:$A$1001,Customers!$I$2:$I$1001)</f>
        <v>No</v>
      </c>
    </row>
    <row r="346" spans="1:16" x14ac:dyDescent="0.3">
      <c r="A346" t="s">
        <v>700</v>
      </c>
      <c r="B346" s="11">
        <v>44529</v>
      </c>
      <c r="C346" t="s">
        <v>701</v>
      </c>
      <c r="D346" t="s">
        <v>7</v>
      </c>
      <c r="E346">
        <v>2</v>
      </c>
      <c r="F346" t="str">
        <f>_xlfn.XLOOKUP(C346,Customers!$A$2:$A$1001,Customers!$B$2:$B$1001)</f>
        <v>Catarina Donn</v>
      </c>
      <c r="G346">
        <f>_xlfn.XLOOKUP(C346,Customers!$A$2:$A$1001,Customers!$C$2:$C$1001)</f>
        <v>0</v>
      </c>
      <c r="H346" t="str">
        <f>_xlfn.XLOOKUP(C346,Customers!$A$2:$A$1001,Customers!$G$2:$G$1001)</f>
        <v>Ireland</v>
      </c>
      <c r="I346" t="str" cm="1">
        <f t="array" ref="I346:L346">_xlfn.XLOOKUP(D346,products!$A$2:$A$49,products!$B$2:$E$49)</f>
        <v>Rob</v>
      </c>
      <c r="J346" t="str">
        <v>M</v>
      </c>
      <c r="K346" s="8">
        <v>1</v>
      </c>
      <c r="L346" s="6">
        <v>9.9499999999999993</v>
      </c>
      <c r="M346" s="7">
        <f t="shared" si="15"/>
        <v>19.899999999999999</v>
      </c>
      <c r="N346" t="str">
        <f t="shared" si="16"/>
        <v>Robusta</v>
      </c>
      <c r="O346" t="str">
        <f t="shared" si="17"/>
        <v>Medium</v>
      </c>
      <c r="P346" t="str">
        <f>_xlfn.XLOOKUP(Orders!C346,Customers!$A$2:$A$1001,Customers!$I$2:$I$1001)</f>
        <v>Yes</v>
      </c>
    </row>
    <row r="347" spans="1:16" x14ac:dyDescent="0.3">
      <c r="A347" t="s">
        <v>702</v>
      </c>
      <c r="B347" s="11">
        <v>43849</v>
      </c>
      <c r="C347" t="s">
        <v>703</v>
      </c>
      <c r="D347" t="s">
        <v>194</v>
      </c>
      <c r="E347">
        <v>5</v>
      </c>
      <c r="F347" t="str">
        <f>_xlfn.XLOOKUP(C347,Customers!$A$2:$A$1001,Customers!$B$2:$B$1001)</f>
        <v>Ameline Snazle</v>
      </c>
      <c r="G347" t="str">
        <f>_xlfn.XLOOKUP(C347,Customers!$A$2:$A$1001,Customers!$C$2:$C$1001)</f>
        <v>asnazle9l@oracle.com</v>
      </c>
      <c r="H347" t="str">
        <f>_xlfn.XLOOKUP(C347,Customers!$A$2:$A$1001,Customers!$G$2:$G$1001)</f>
        <v>United States</v>
      </c>
      <c r="I347" t="str" cm="1">
        <f t="array" ref="I347:L347">_xlfn.XLOOKUP(D347,products!$A$2:$A$49,products!$B$2:$E$49)</f>
        <v>Rob</v>
      </c>
      <c r="J347" t="str">
        <v>L</v>
      </c>
      <c r="K347" s="8">
        <v>1</v>
      </c>
      <c r="L347" s="6">
        <v>11.95</v>
      </c>
      <c r="M347" s="7">
        <f t="shared" si="15"/>
        <v>59.75</v>
      </c>
      <c r="N347" t="str">
        <f t="shared" si="16"/>
        <v>Robusta</v>
      </c>
      <c r="O347" t="str">
        <f t="shared" si="17"/>
        <v>Lite</v>
      </c>
      <c r="P347" t="str">
        <f>_xlfn.XLOOKUP(Orders!C347,Customers!$A$2:$A$1001,Customers!$I$2:$I$1001)</f>
        <v>No</v>
      </c>
    </row>
    <row r="348" spans="1:16" x14ac:dyDescent="0.3">
      <c r="A348" t="s">
        <v>704</v>
      </c>
      <c r="B348" s="11">
        <v>44344</v>
      </c>
      <c r="C348" t="s">
        <v>705</v>
      </c>
      <c r="D348" t="s">
        <v>197</v>
      </c>
      <c r="E348">
        <v>3</v>
      </c>
      <c r="F348" t="str">
        <f>_xlfn.XLOOKUP(C348,Customers!$A$2:$A$1001,Customers!$B$2:$B$1001)</f>
        <v>Rebeka Worg</v>
      </c>
      <c r="G348" t="str">
        <f>_xlfn.XLOOKUP(C348,Customers!$A$2:$A$1001,Customers!$C$2:$C$1001)</f>
        <v>rworg9m@arstechnica.com</v>
      </c>
      <c r="H348" t="str">
        <f>_xlfn.XLOOKUP(C348,Customers!$A$2:$A$1001,Customers!$G$2:$G$1001)</f>
        <v>United States</v>
      </c>
      <c r="I348" t="str" cm="1">
        <f t="array" ref="I348:L348">_xlfn.XLOOKUP(D348,products!$A$2:$A$49,products!$B$2:$E$49)</f>
        <v>Ara</v>
      </c>
      <c r="J348" t="str">
        <v>L</v>
      </c>
      <c r="K348" s="8">
        <v>0.5</v>
      </c>
      <c r="L348" s="6">
        <v>7.77</v>
      </c>
      <c r="M348" s="7">
        <f t="shared" si="15"/>
        <v>23.31</v>
      </c>
      <c r="N348" t="str">
        <f t="shared" si="16"/>
        <v>Arasbica</v>
      </c>
      <c r="O348" t="str">
        <f t="shared" si="17"/>
        <v>Lite</v>
      </c>
      <c r="P348" t="str">
        <f>_xlfn.XLOOKUP(Orders!C348,Customers!$A$2:$A$1001,Customers!$I$2:$I$1001)</f>
        <v>Yes</v>
      </c>
    </row>
    <row r="349" spans="1:16" x14ac:dyDescent="0.3">
      <c r="A349" t="s">
        <v>706</v>
      </c>
      <c r="B349" s="11">
        <v>44576</v>
      </c>
      <c r="C349" t="s">
        <v>707</v>
      </c>
      <c r="D349" t="s">
        <v>101</v>
      </c>
      <c r="E349">
        <v>3</v>
      </c>
      <c r="F349" t="str">
        <f>_xlfn.XLOOKUP(C349,Customers!$A$2:$A$1001,Customers!$B$2:$B$1001)</f>
        <v>Lewes Danes</v>
      </c>
      <c r="G349" t="str">
        <f>_xlfn.XLOOKUP(C349,Customers!$A$2:$A$1001,Customers!$C$2:$C$1001)</f>
        <v>ldanes9n@umn.edu</v>
      </c>
      <c r="H349" t="str">
        <f>_xlfn.XLOOKUP(C349,Customers!$A$2:$A$1001,Customers!$G$2:$G$1001)</f>
        <v>United States</v>
      </c>
      <c r="I349" t="str" cm="1">
        <f t="array" ref="I349:L349">_xlfn.XLOOKUP(D349,products!$A$2:$A$49,products!$B$2:$E$49)</f>
        <v>Lib</v>
      </c>
      <c r="J349" t="str">
        <v>M</v>
      </c>
      <c r="K349" s="8">
        <v>1</v>
      </c>
      <c r="L349" s="6">
        <v>14.55</v>
      </c>
      <c r="M349" s="7">
        <f t="shared" si="15"/>
        <v>43.650000000000006</v>
      </c>
      <c r="N349" t="str">
        <f t="shared" si="16"/>
        <v>Liberica</v>
      </c>
      <c r="O349" t="str">
        <f t="shared" si="17"/>
        <v>Medium</v>
      </c>
      <c r="P349" t="str">
        <f>_xlfn.XLOOKUP(Orders!C349,Customers!$A$2:$A$1001,Customers!$I$2:$I$1001)</f>
        <v>No</v>
      </c>
    </row>
    <row r="350" spans="1:16" x14ac:dyDescent="0.3">
      <c r="A350" t="s">
        <v>708</v>
      </c>
      <c r="B350" s="11">
        <v>43803</v>
      </c>
      <c r="C350" t="s">
        <v>709</v>
      </c>
      <c r="D350" t="s">
        <v>35</v>
      </c>
      <c r="E350">
        <v>6</v>
      </c>
      <c r="F350" t="str">
        <f>_xlfn.XLOOKUP(C350,Customers!$A$2:$A$1001,Customers!$B$2:$B$1001)</f>
        <v>Shelli Keynd</v>
      </c>
      <c r="G350" t="str">
        <f>_xlfn.XLOOKUP(C350,Customers!$A$2:$A$1001,Customers!$C$2:$C$1001)</f>
        <v>skeynd9o@narod.ru</v>
      </c>
      <c r="H350" t="str">
        <f>_xlfn.XLOOKUP(C350,Customers!$A$2:$A$1001,Customers!$G$2:$G$1001)</f>
        <v>United States</v>
      </c>
      <c r="I350" t="str" cm="1">
        <f t="array" ref="I350:L350">_xlfn.XLOOKUP(D350,products!$A$2:$A$49,products!$B$2:$E$49)</f>
        <v>Exc</v>
      </c>
      <c r="J350" t="str">
        <v>L</v>
      </c>
      <c r="K350" s="8">
        <v>2.5</v>
      </c>
      <c r="L350" s="6">
        <v>34.154999999999994</v>
      </c>
      <c r="M350" s="7">
        <f t="shared" si="15"/>
        <v>204.92999999999995</v>
      </c>
      <c r="N350" t="str">
        <f t="shared" si="16"/>
        <v>Excelsa</v>
      </c>
      <c r="O350" t="str">
        <f t="shared" si="17"/>
        <v>Lite</v>
      </c>
      <c r="P350" t="str">
        <f>_xlfn.XLOOKUP(Orders!C350,Customers!$A$2:$A$1001,Customers!$I$2:$I$1001)</f>
        <v>No</v>
      </c>
    </row>
    <row r="351" spans="1:16" x14ac:dyDescent="0.3">
      <c r="A351" t="s">
        <v>710</v>
      </c>
      <c r="B351" s="11">
        <v>44743</v>
      </c>
      <c r="C351" t="s">
        <v>711</v>
      </c>
      <c r="D351" t="s">
        <v>187</v>
      </c>
      <c r="E351">
        <v>4</v>
      </c>
      <c r="F351" t="str">
        <f>_xlfn.XLOOKUP(C351,Customers!$A$2:$A$1001,Customers!$B$2:$B$1001)</f>
        <v>Dell Daveridge</v>
      </c>
      <c r="G351" t="str">
        <f>_xlfn.XLOOKUP(C351,Customers!$A$2:$A$1001,Customers!$C$2:$C$1001)</f>
        <v>ddaveridge9p@arstechnica.com</v>
      </c>
      <c r="H351" t="str">
        <f>_xlfn.XLOOKUP(C351,Customers!$A$2:$A$1001,Customers!$G$2:$G$1001)</f>
        <v>United States</v>
      </c>
      <c r="I351" t="str" cm="1">
        <f t="array" ref="I351:L351">_xlfn.XLOOKUP(D351,products!$A$2:$A$49,products!$B$2:$E$49)</f>
        <v>Rob</v>
      </c>
      <c r="J351" t="str">
        <v>L</v>
      </c>
      <c r="K351" s="8">
        <v>0.2</v>
      </c>
      <c r="L351" s="6">
        <v>3.5849999999999995</v>
      </c>
      <c r="M351" s="7">
        <f t="shared" si="15"/>
        <v>14.339999999999998</v>
      </c>
      <c r="N351" t="str">
        <f t="shared" si="16"/>
        <v>Robusta</v>
      </c>
      <c r="O351" t="str">
        <f t="shared" si="17"/>
        <v>Lite</v>
      </c>
      <c r="P351" t="str">
        <f>_xlfn.XLOOKUP(Orders!C351,Customers!$A$2:$A$1001,Customers!$I$2:$I$1001)</f>
        <v>No</v>
      </c>
    </row>
    <row r="352" spans="1:16" x14ac:dyDescent="0.3">
      <c r="A352" t="s">
        <v>712</v>
      </c>
      <c r="B352" s="11">
        <v>43592</v>
      </c>
      <c r="C352" t="s">
        <v>713</v>
      </c>
      <c r="D352" t="s">
        <v>77</v>
      </c>
      <c r="E352">
        <v>4</v>
      </c>
      <c r="F352" t="str">
        <f>_xlfn.XLOOKUP(C352,Customers!$A$2:$A$1001,Customers!$B$2:$B$1001)</f>
        <v>Joshuah Awdry</v>
      </c>
      <c r="G352" t="str">
        <f>_xlfn.XLOOKUP(C352,Customers!$A$2:$A$1001,Customers!$C$2:$C$1001)</f>
        <v>jawdry9q@utexas.edu</v>
      </c>
      <c r="H352" t="str">
        <f>_xlfn.XLOOKUP(C352,Customers!$A$2:$A$1001,Customers!$G$2:$G$1001)</f>
        <v>United States</v>
      </c>
      <c r="I352" t="str" cm="1">
        <f t="array" ref="I352:L352">_xlfn.XLOOKUP(D352,products!$A$2:$A$49,products!$B$2:$E$49)</f>
        <v>Ara</v>
      </c>
      <c r="J352" t="str">
        <v>D</v>
      </c>
      <c r="K352" s="8">
        <v>0.5</v>
      </c>
      <c r="L352" s="6">
        <v>5.97</v>
      </c>
      <c r="M352" s="7">
        <f t="shared" si="15"/>
        <v>23.88</v>
      </c>
      <c r="N352" t="str">
        <f t="shared" si="16"/>
        <v>Arasbica</v>
      </c>
      <c r="O352" t="str">
        <f t="shared" si="17"/>
        <v>Dark</v>
      </c>
      <c r="P352" t="str">
        <f>_xlfn.XLOOKUP(Orders!C352,Customers!$A$2:$A$1001,Customers!$I$2:$I$1001)</f>
        <v>No</v>
      </c>
    </row>
    <row r="353" spans="1:16" x14ac:dyDescent="0.3">
      <c r="A353" t="s">
        <v>714</v>
      </c>
      <c r="B353" s="11">
        <v>44066</v>
      </c>
      <c r="C353" t="s">
        <v>715</v>
      </c>
      <c r="D353" t="s">
        <v>66</v>
      </c>
      <c r="E353">
        <v>2</v>
      </c>
      <c r="F353" t="str">
        <f>_xlfn.XLOOKUP(C353,Customers!$A$2:$A$1001,Customers!$B$2:$B$1001)</f>
        <v>Ethel Ryles</v>
      </c>
      <c r="G353" t="str">
        <f>_xlfn.XLOOKUP(C353,Customers!$A$2:$A$1001,Customers!$C$2:$C$1001)</f>
        <v>eryles9r@fastcompany.com</v>
      </c>
      <c r="H353" t="str">
        <f>_xlfn.XLOOKUP(C353,Customers!$A$2:$A$1001,Customers!$G$2:$G$1001)</f>
        <v>United States</v>
      </c>
      <c r="I353" t="str" cm="1">
        <f t="array" ref="I353:L353">_xlfn.XLOOKUP(D353,products!$A$2:$A$49,products!$B$2:$E$49)</f>
        <v>Ara</v>
      </c>
      <c r="J353" t="str">
        <v>M</v>
      </c>
      <c r="K353" s="8">
        <v>1</v>
      </c>
      <c r="L353" s="6">
        <v>11.25</v>
      </c>
      <c r="M353" s="7">
        <f t="shared" si="15"/>
        <v>22.5</v>
      </c>
      <c r="N353" t="str">
        <f t="shared" si="16"/>
        <v>Arasbica</v>
      </c>
      <c r="O353" t="str">
        <f t="shared" si="17"/>
        <v>Medium</v>
      </c>
      <c r="P353" t="str">
        <f>_xlfn.XLOOKUP(Orders!C353,Customers!$A$2:$A$1001,Customers!$I$2:$I$1001)</f>
        <v>No</v>
      </c>
    </row>
    <row r="354" spans="1:16" x14ac:dyDescent="0.3">
      <c r="A354" t="s">
        <v>716</v>
      </c>
      <c r="B354" s="11">
        <v>43984</v>
      </c>
      <c r="C354" t="s">
        <v>669</v>
      </c>
      <c r="D354" t="s">
        <v>21</v>
      </c>
      <c r="E354">
        <v>5</v>
      </c>
      <c r="F354" t="str">
        <f>_xlfn.XLOOKUP(C354,Customers!$A$2:$A$1001,Customers!$B$2:$B$1001)</f>
        <v>Flynn Antony</v>
      </c>
      <c r="G354">
        <f>_xlfn.XLOOKUP(C354,Customers!$A$2:$A$1001,Customers!$C$2:$C$1001)</f>
        <v>0</v>
      </c>
      <c r="H354" t="str">
        <f>_xlfn.XLOOKUP(C354,Customers!$A$2:$A$1001,Customers!$G$2:$G$1001)</f>
        <v>United States</v>
      </c>
      <c r="I354" t="str" cm="1">
        <f t="array" ref="I354:L354">_xlfn.XLOOKUP(D354,products!$A$2:$A$49,products!$B$2:$E$49)</f>
        <v>Exc</v>
      </c>
      <c r="J354" t="str">
        <v>D</v>
      </c>
      <c r="K354" s="8">
        <v>0.5</v>
      </c>
      <c r="L354" s="6">
        <v>7.29</v>
      </c>
      <c r="M354" s="7">
        <f t="shared" si="15"/>
        <v>36.450000000000003</v>
      </c>
      <c r="N354" t="str">
        <f t="shared" si="16"/>
        <v>Excelsa</v>
      </c>
      <c r="O354" t="str">
        <f t="shared" si="17"/>
        <v>Dark</v>
      </c>
      <c r="P354" t="str">
        <f>_xlfn.XLOOKUP(Orders!C354,Customers!$A$2:$A$1001,Customers!$I$2:$I$1001)</f>
        <v>No</v>
      </c>
    </row>
    <row r="355" spans="1:16" x14ac:dyDescent="0.3">
      <c r="A355" t="s">
        <v>717</v>
      </c>
      <c r="B355" s="11">
        <v>43860</v>
      </c>
      <c r="C355" t="s">
        <v>718</v>
      </c>
      <c r="D355" t="s">
        <v>72</v>
      </c>
      <c r="E355">
        <v>4</v>
      </c>
      <c r="F355" t="str">
        <f>_xlfn.XLOOKUP(C355,Customers!$A$2:$A$1001,Customers!$B$2:$B$1001)</f>
        <v>Maitilde Boxill</v>
      </c>
      <c r="G355">
        <f>_xlfn.XLOOKUP(C355,Customers!$A$2:$A$1001,Customers!$C$2:$C$1001)</f>
        <v>0</v>
      </c>
      <c r="H355" t="str">
        <f>_xlfn.XLOOKUP(C355,Customers!$A$2:$A$1001,Customers!$G$2:$G$1001)</f>
        <v>United States</v>
      </c>
      <c r="I355" t="str" cm="1">
        <f t="array" ref="I355:L355">_xlfn.XLOOKUP(D355,products!$A$2:$A$49,products!$B$2:$E$49)</f>
        <v>Ara</v>
      </c>
      <c r="J355" t="str">
        <v>M</v>
      </c>
      <c r="K355" s="8">
        <v>0.5</v>
      </c>
      <c r="L355" s="6">
        <v>6.75</v>
      </c>
      <c r="M355" s="7">
        <f t="shared" si="15"/>
        <v>27</v>
      </c>
      <c r="N355" t="str">
        <f t="shared" si="16"/>
        <v>Arasbica</v>
      </c>
      <c r="O355" t="str">
        <f t="shared" si="17"/>
        <v>Medium</v>
      </c>
      <c r="P355" t="str">
        <f>_xlfn.XLOOKUP(Orders!C355,Customers!$A$2:$A$1001,Customers!$I$2:$I$1001)</f>
        <v>Yes</v>
      </c>
    </row>
    <row r="356" spans="1:16" x14ac:dyDescent="0.3">
      <c r="A356" t="s">
        <v>719</v>
      </c>
      <c r="B356" s="11">
        <v>43876</v>
      </c>
      <c r="C356" t="s">
        <v>720</v>
      </c>
      <c r="D356" t="s">
        <v>176</v>
      </c>
      <c r="E356">
        <v>6</v>
      </c>
      <c r="F356" t="str">
        <f>_xlfn.XLOOKUP(C356,Customers!$A$2:$A$1001,Customers!$B$2:$B$1001)</f>
        <v>Jodee Caldicott</v>
      </c>
      <c r="G356" t="str">
        <f>_xlfn.XLOOKUP(C356,Customers!$A$2:$A$1001,Customers!$C$2:$C$1001)</f>
        <v>jcaldicott9u@usda.gov</v>
      </c>
      <c r="H356" t="str">
        <f>_xlfn.XLOOKUP(C356,Customers!$A$2:$A$1001,Customers!$G$2:$G$1001)</f>
        <v>United States</v>
      </c>
      <c r="I356" t="str" cm="1">
        <f t="array" ref="I356:L356">_xlfn.XLOOKUP(D356,products!$A$2:$A$49,products!$B$2:$E$49)</f>
        <v>Ara</v>
      </c>
      <c r="J356" t="str">
        <v>M</v>
      </c>
      <c r="K356" s="8">
        <v>2.5</v>
      </c>
      <c r="L356" s="6">
        <v>25.874999999999996</v>
      </c>
      <c r="M356" s="7">
        <f t="shared" si="15"/>
        <v>155.24999999999997</v>
      </c>
      <c r="N356" t="str">
        <f t="shared" si="16"/>
        <v>Arasbica</v>
      </c>
      <c r="O356" t="str">
        <f t="shared" si="17"/>
        <v>Medium</v>
      </c>
      <c r="P356" t="str">
        <f>_xlfn.XLOOKUP(Orders!C356,Customers!$A$2:$A$1001,Customers!$I$2:$I$1001)</f>
        <v>No</v>
      </c>
    </row>
    <row r="357" spans="1:16" x14ac:dyDescent="0.3">
      <c r="A357" t="s">
        <v>721</v>
      </c>
      <c r="B357" s="11">
        <v>44358</v>
      </c>
      <c r="C357" t="s">
        <v>722</v>
      </c>
      <c r="D357" t="s">
        <v>123</v>
      </c>
      <c r="E357">
        <v>5</v>
      </c>
      <c r="F357" t="str">
        <f>_xlfn.XLOOKUP(C357,Customers!$A$2:$A$1001,Customers!$B$2:$B$1001)</f>
        <v>Marianna Vedmore</v>
      </c>
      <c r="G357" t="str">
        <f>_xlfn.XLOOKUP(C357,Customers!$A$2:$A$1001,Customers!$C$2:$C$1001)</f>
        <v>mvedmore9v@a8.net</v>
      </c>
      <c r="H357" t="str">
        <f>_xlfn.XLOOKUP(C357,Customers!$A$2:$A$1001,Customers!$G$2:$G$1001)</f>
        <v>United States</v>
      </c>
      <c r="I357" t="str" cm="1">
        <f t="array" ref="I357:L357">_xlfn.XLOOKUP(D357,products!$A$2:$A$49,products!$B$2:$E$49)</f>
        <v>Ara</v>
      </c>
      <c r="J357" t="str">
        <v>D</v>
      </c>
      <c r="K357" s="8">
        <v>2.5</v>
      </c>
      <c r="L357" s="6">
        <v>22.884999999999998</v>
      </c>
      <c r="M357" s="7">
        <f t="shared" si="15"/>
        <v>114.42499999999998</v>
      </c>
      <c r="N357" t="str">
        <f t="shared" si="16"/>
        <v>Arasbica</v>
      </c>
      <c r="O357" t="str">
        <f t="shared" si="17"/>
        <v>Dark</v>
      </c>
      <c r="P357" t="str">
        <f>_xlfn.XLOOKUP(Orders!C357,Customers!$A$2:$A$1001,Customers!$I$2:$I$1001)</f>
        <v>Yes</v>
      </c>
    </row>
    <row r="358" spans="1:16" x14ac:dyDescent="0.3">
      <c r="A358" t="s">
        <v>723</v>
      </c>
      <c r="B358" s="11">
        <v>44631</v>
      </c>
      <c r="C358" t="s">
        <v>724</v>
      </c>
      <c r="D358" t="s">
        <v>18</v>
      </c>
      <c r="E358">
        <v>4</v>
      </c>
      <c r="F358" t="str">
        <f>_xlfn.XLOOKUP(C358,Customers!$A$2:$A$1001,Customers!$B$2:$B$1001)</f>
        <v>Willey Romao</v>
      </c>
      <c r="G358" t="str">
        <f>_xlfn.XLOOKUP(C358,Customers!$A$2:$A$1001,Customers!$C$2:$C$1001)</f>
        <v>wromao9w@chronoengine.com</v>
      </c>
      <c r="H358" t="str">
        <f>_xlfn.XLOOKUP(C358,Customers!$A$2:$A$1001,Customers!$G$2:$G$1001)</f>
        <v>United States</v>
      </c>
      <c r="I358" t="str" cm="1">
        <f t="array" ref="I358:L358">_xlfn.XLOOKUP(D358,products!$A$2:$A$49,products!$B$2:$E$49)</f>
        <v>Lib</v>
      </c>
      <c r="J358" t="str">
        <v>D</v>
      </c>
      <c r="K358" s="8">
        <v>1</v>
      </c>
      <c r="L358" s="6">
        <v>12.95</v>
      </c>
      <c r="M358" s="7">
        <f t="shared" si="15"/>
        <v>51.8</v>
      </c>
      <c r="N358" t="str">
        <f t="shared" si="16"/>
        <v>Liberica</v>
      </c>
      <c r="O358" t="str">
        <f t="shared" si="17"/>
        <v>Dark</v>
      </c>
      <c r="P358" t="str">
        <f>_xlfn.XLOOKUP(Orders!C358,Customers!$A$2:$A$1001,Customers!$I$2:$I$1001)</f>
        <v>Yes</v>
      </c>
    </row>
    <row r="359" spans="1:16" x14ac:dyDescent="0.3">
      <c r="A359" t="s">
        <v>725</v>
      </c>
      <c r="B359" s="11">
        <v>44448</v>
      </c>
      <c r="C359" t="s">
        <v>726</v>
      </c>
      <c r="D359" t="s">
        <v>176</v>
      </c>
      <c r="E359">
        <v>6</v>
      </c>
      <c r="F359" t="str">
        <f>_xlfn.XLOOKUP(C359,Customers!$A$2:$A$1001,Customers!$B$2:$B$1001)</f>
        <v>Enriqueta Ixor</v>
      </c>
      <c r="G359">
        <f>_xlfn.XLOOKUP(C359,Customers!$A$2:$A$1001,Customers!$C$2:$C$1001)</f>
        <v>0</v>
      </c>
      <c r="H359" t="str">
        <f>_xlfn.XLOOKUP(C359,Customers!$A$2:$A$1001,Customers!$G$2:$G$1001)</f>
        <v>United States</v>
      </c>
      <c r="I359" t="str" cm="1">
        <f t="array" ref="I359:L359">_xlfn.XLOOKUP(D359,products!$A$2:$A$49,products!$B$2:$E$49)</f>
        <v>Ara</v>
      </c>
      <c r="J359" t="str">
        <v>M</v>
      </c>
      <c r="K359" s="8">
        <v>2.5</v>
      </c>
      <c r="L359" s="6">
        <v>25.874999999999996</v>
      </c>
      <c r="M359" s="7">
        <f t="shared" si="15"/>
        <v>155.24999999999997</v>
      </c>
      <c r="N359" t="str">
        <f t="shared" si="16"/>
        <v>Arasbica</v>
      </c>
      <c r="O359" t="str">
        <f t="shared" si="17"/>
        <v>Medium</v>
      </c>
      <c r="P359" t="str">
        <f>_xlfn.XLOOKUP(Orders!C359,Customers!$A$2:$A$1001,Customers!$I$2:$I$1001)</f>
        <v>No</v>
      </c>
    </row>
    <row r="360" spans="1:16" x14ac:dyDescent="0.3">
      <c r="A360" t="s">
        <v>727</v>
      </c>
      <c r="B360" s="11">
        <v>43599</v>
      </c>
      <c r="C360" t="s">
        <v>728</v>
      </c>
      <c r="D360" t="s">
        <v>209</v>
      </c>
      <c r="E360">
        <v>1</v>
      </c>
      <c r="F360" t="str">
        <f>_xlfn.XLOOKUP(C360,Customers!$A$2:$A$1001,Customers!$B$2:$B$1001)</f>
        <v>Tomasina Cotmore</v>
      </c>
      <c r="G360" t="str">
        <f>_xlfn.XLOOKUP(C360,Customers!$A$2:$A$1001,Customers!$C$2:$C$1001)</f>
        <v>tcotmore9y@amazonaws.com</v>
      </c>
      <c r="H360" t="str">
        <f>_xlfn.XLOOKUP(C360,Customers!$A$2:$A$1001,Customers!$G$2:$G$1001)</f>
        <v>United States</v>
      </c>
      <c r="I360" t="str" cm="1">
        <f t="array" ref="I360:L360">_xlfn.XLOOKUP(D360,products!$A$2:$A$49,products!$B$2:$E$49)</f>
        <v>Ara</v>
      </c>
      <c r="J360" t="str">
        <v>L</v>
      </c>
      <c r="K360" s="8">
        <v>2.5</v>
      </c>
      <c r="L360" s="6">
        <v>29.784999999999997</v>
      </c>
      <c r="M360" s="7">
        <f t="shared" si="15"/>
        <v>29.784999999999997</v>
      </c>
      <c r="N360" t="str">
        <f t="shared" si="16"/>
        <v>Arasbica</v>
      </c>
      <c r="O360" t="str">
        <f t="shared" si="17"/>
        <v>Lite</v>
      </c>
      <c r="P360" t="str">
        <f>_xlfn.XLOOKUP(Orders!C360,Customers!$A$2:$A$1001,Customers!$I$2:$I$1001)</f>
        <v>No</v>
      </c>
    </row>
    <row r="361" spans="1:16" x14ac:dyDescent="0.3">
      <c r="A361" t="s">
        <v>729</v>
      </c>
      <c r="B361" s="11">
        <v>43563</v>
      </c>
      <c r="C361" t="s">
        <v>730</v>
      </c>
      <c r="D361" t="s">
        <v>187</v>
      </c>
      <c r="E361">
        <v>6</v>
      </c>
      <c r="F361" t="str">
        <f>_xlfn.XLOOKUP(C361,Customers!$A$2:$A$1001,Customers!$B$2:$B$1001)</f>
        <v>Yuma Skipsey</v>
      </c>
      <c r="G361" t="str">
        <f>_xlfn.XLOOKUP(C361,Customers!$A$2:$A$1001,Customers!$C$2:$C$1001)</f>
        <v>yskipsey9z@spotify.com</v>
      </c>
      <c r="H361" t="str">
        <f>_xlfn.XLOOKUP(C361,Customers!$A$2:$A$1001,Customers!$G$2:$G$1001)</f>
        <v>United Kingdom</v>
      </c>
      <c r="I361" t="str" cm="1">
        <f t="array" ref="I361:L361">_xlfn.XLOOKUP(D361,products!$A$2:$A$49,products!$B$2:$E$49)</f>
        <v>Rob</v>
      </c>
      <c r="J361" t="str">
        <v>L</v>
      </c>
      <c r="K361" s="8">
        <v>0.2</v>
      </c>
      <c r="L361" s="6">
        <v>3.5849999999999995</v>
      </c>
      <c r="M361" s="7">
        <f t="shared" si="15"/>
        <v>21.509999999999998</v>
      </c>
      <c r="N361" t="str">
        <f t="shared" si="16"/>
        <v>Robusta</v>
      </c>
      <c r="O361" t="str">
        <f t="shared" si="17"/>
        <v>Lite</v>
      </c>
      <c r="P361" t="str">
        <f>_xlfn.XLOOKUP(Orders!C361,Customers!$A$2:$A$1001,Customers!$I$2:$I$1001)</f>
        <v>No</v>
      </c>
    </row>
    <row r="362" spans="1:16" x14ac:dyDescent="0.3">
      <c r="A362" t="s">
        <v>731</v>
      </c>
      <c r="B362" s="11">
        <v>44058</v>
      </c>
      <c r="C362" t="s">
        <v>732</v>
      </c>
      <c r="D362" t="s">
        <v>40</v>
      </c>
      <c r="E362">
        <v>2</v>
      </c>
      <c r="F362" t="str">
        <f>_xlfn.XLOOKUP(C362,Customers!$A$2:$A$1001,Customers!$B$2:$B$1001)</f>
        <v>Nicko Corps</v>
      </c>
      <c r="G362" t="str">
        <f>_xlfn.XLOOKUP(C362,Customers!$A$2:$A$1001,Customers!$C$2:$C$1001)</f>
        <v>ncorpsa0@gmpg.org</v>
      </c>
      <c r="H362" t="str">
        <f>_xlfn.XLOOKUP(C362,Customers!$A$2:$A$1001,Customers!$G$2:$G$1001)</f>
        <v>United States</v>
      </c>
      <c r="I362" t="str" cm="1">
        <f t="array" ref="I362:L362">_xlfn.XLOOKUP(D362,products!$A$2:$A$49,products!$B$2:$E$49)</f>
        <v>Rob</v>
      </c>
      <c r="J362" t="str">
        <v>D</v>
      </c>
      <c r="K362" s="8">
        <v>2.5</v>
      </c>
      <c r="L362" s="6">
        <v>20.584999999999997</v>
      </c>
      <c r="M362" s="7">
        <f t="shared" si="15"/>
        <v>41.169999999999995</v>
      </c>
      <c r="N362" t="str">
        <f t="shared" si="16"/>
        <v>Robusta</v>
      </c>
      <c r="O362" t="str">
        <f t="shared" si="17"/>
        <v>Dark</v>
      </c>
      <c r="P362" t="str">
        <f>_xlfn.XLOOKUP(Orders!C362,Customers!$A$2:$A$1001,Customers!$I$2:$I$1001)</f>
        <v>No</v>
      </c>
    </row>
    <row r="363" spans="1:16" x14ac:dyDescent="0.3">
      <c r="A363" t="s">
        <v>731</v>
      </c>
      <c r="B363" s="11">
        <v>44058</v>
      </c>
      <c r="C363" t="s">
        <v>732</v>
      </c>
      <c r="D363" t="s">
        <v>27</v>
      </c>
      <c r="E363">
        <v>1</v>
      </c>
      <c r="F363" t="str">
        <f>_xlfn.XLOOKUP(C363,Customers!$A$2:$A$1001,Customers!$B$2:$B$1001)</f>
        <v>Nicko Corps</v>
      </c>
      <c r="G363" t="str">
        <f>_xlfn.XLOOKUP(C363,Customers!$A$2:$A$1001,Customers!$C$2:$C$1001)</f>
        <v>ncorpsa0@gmpg.org</v>
      </c>
      <c r="H363" t="str">
        <f>_xlfn.XLOOKUP(C363,Customers!$A$2:$A$1001,Customers!$G$2:$G$1001)</f>
        <v>United States</v>
      </c>
      <c r="I363" t="str" cm="1">
        <f t="array" ref="I363:L363">_xlfn.XLOOKUP(D363,products!$A$2:$A$49,products!$B$2:$E$49)</f>
        <v>Rob</v>
      </c>
      <c r="J363" t="str">
        <v>M</v>
      </c>
      <c r="K363" s="8">
        <v>0.5</v>
      </c>
      <c r="L363" s="6">
        <v>5.97</v>
      </c>
      <c r="M363" s="7">
        <f t="shared" si="15"/>
        <v>5.97</v>
      </c>
      <c r="N363" t="str">
        <f t="shared" si="16"/>
        <v>Robusta</v>
      </c>
      <c r="O363" t="str">
        <f t="shared" si="17"/>
        <v>Medium</v>
      </c>
      <c r="P363" t="str">
        <f>_xlfn.XLOOKUP(Orders!C363,Customers!$A$2:$A$1001,Customers!$I$2:$I$1001)</f>
        <v>No</v>
      </c>
    </row>
    <row r="364" spans="1:16" x14ac:dyDescent="0.3">
      <c r="A364" t="s">
        <v>733</v>
      </c>
      <c r="B364" s="11">
        <v>44686</v>
      </c>
      <c r="C364" t="s">
        <v>734</v>
      </c>
      <c r="D364" t="s">
        <v>142</v>
      </c>
      <c r="E364">
        <v>5</v>
      </c>
      <c r="F364" t="str">
        <f>_xlfn.XLOOKUP(C364,Customers!$A$2:$A$1001,Customers!$B$2:$B$1001)</f>
        <v>Feliks Babber</v>
      </c>
      <c r="G364" t="str">
        <f>_xlfn.XLOOKUP(C364,Customers!$A$2:$A$1001,Customers!$C$2:$C$1001)</f>
        <v>fbabbera2@stanford.edu</v>
      </c>
      <c r="H364" t="str">
        <f>_xlfn.XLOOKUP(C364,Customers!$A$2:$A$1001,Customers!$G$2:$G$1001)</f>
        <v>United States</v>
      </c>
      <c r="I364" t="str" cm="1">
        <f t="array" ref="I364:L364">_xlfn.XLOOKUP(D364,products!$A$2:$A$49,products!$B$2:$E$49)</f>
        <v>Exc</v>
      </c>
      <c r="J364" t="str">
        <v>L</v>
      </c>
      <c r="K364" s="8">
        <v>1</v>
      </c>
      <c r="L364" s="6">
        <v>14.85</v>
      </c>
      <c r="M364" s="7">
        <f t="shared" si="15"/>
        <v>74.25</v>
      </c>
      <c r="N364" t="str">
        <f t="shared" si="16"/>
        <v>Excelsa</v>
      </c>
      <c r="O364" t="str">
        <f t="shared" si="17"/>
        <v>Lite</v>
      </c>
      <c r="P364" t="str">
        <f>_xlfn.XLOOKUP(Orders!C364,Customers!$A$2:$A$1001,Customers!$I$2:$I$1001)</f>
        <v>Yes</v>
      </c>
    </row>
    <row r="365" spans="1:16" x14ac:dyDescent="0.3">
      <c r="A365" t="s">
        <v>735</v>
      </c>
      <c r="B365" s="11">
        <v>44282</v>
      </c>
      <c r="C365" t="s">
        <v>736</v>
      </c>
      <c r="D365" t="s">
        <v>101</v>
      </c>
      <c r="E365">
        <v>6</v>
      </c>
      <c r="F365" t="str">
        <f>_xlfn.XLOOKUP(C365,Customers!$A$2:$A$1001,Customers!$B$2:$B$1001)</f>
        <v>Kaja Loxton</v>
      </c>
      <c r="G365" t="str">
        <f>_xlfn.XLOOKUP(C365,Customers!$A$2:$A$1001,Customers!$C$2:$C$1001)</f>
        <v>kloxtona3@opensource.org</v>
      </c>
      <c r="H365" t="str">
        <f>_xlfn.XLOOKUP(C365,Customers!$A$2:$A$1001,Customers!$G$2:$G$1001)</f>
        <v>United States</v>
      </c>
      <c r="I365" t="str" cm="1">
        <f t="array" ref="I365:L365">_xlfn.XLOOKUP(D365,products!$A$2:$A$49,products!$B$2:$E$49)</f>
        <v>Lib</v>
      </c>
      <c r="J365" t="str">
        <v>M</v>
      </c>
      <c r="K365" s="8">
        <v>1</v>
      </c>
      <c r="L365" s="6">
        <v>14.55</v>
      </c>
      <c r="M365" s="7">
        <f t="shared" si="15"/>
        <v>87.300000000000011</v>
      </c>
      <c r="N365" t="str">
        <f t="shared" si="16"/>
        <v>Liberica</v>
      </c>
      <c r="O365" t="str">
        <f t="shared" si="17"/>
        <v>Medium</v>
      </c>
      <c r="P365" t="str">
        <f>_xlfn.XLOOKUP(Orders!C365,Customers!$A$2:$A$1001,Customers!$I$2:$I$1001)</f>
        <v>No</v>
      </c>
    </row>
    <row r="366" spans="1:16" x14ac:dyDescent="0.3">
      <c r="A366" t="s">
        <v>737</v>
      </c>
      <c r="B366" s="11">
        <v>43582</v>
      </c>
      <c r="C366" t="s">
        <v>738</v>
      </c>
      <c r="D366" t="s">
        <v>250</v>
      </c>
      <c r="E366">
        <v>6</v>
      </c>
      <c r="F366" t="str">
        <f>_xlfn.XLOOKUP(C366,Customers!$A$2:$A$1001,Customers!$B$2:$B$1001)</f>
        <v>Parker Tofful</v>
      </c>
      <c r="G366" t="str">
        <f>_xlfn.XLOOKUP(C366,Customers!$A$2:$A$1001,Customers!$C$2:$C$1001)</f>
        <v>ptoffula4@posterous.com</v>
      </c>
      <c r="H366" t="str">
        <f>_xlfn.XLOOKUP(C366,Customers!$A$2:$A$1001,Customers!$G$2:$G$1001)</f>
        <v>United States</v>
      </c>
      <c r="I366" t="str" cm="1">
        <f t="array" ref="I366:L366">_xlfn.XLOOKUP(D366,products!$A$2:$A$49,products!$B$2:$E$49)</f>
        <v>Exc</v>
      </c>
      <c r="J366" t="str">
        <v>D</v>
      </c>
      <c r="K366" s="8">
        <v>1</v>
      </c>
      <c r="L366" s="6">
        <v>12.15</v>
      </c>
      <c r="M366" s="7">
        <f t="shared" si="15"/>
        <v>72.900000000000006</v>
      </c>
      <c r="N366" t="str">
        <f t="shared" si="16"/>
        <v>Excelsa</v>
      </c>
      <c r="O366" t="str">
        <f t="shared" si="17"/>
        <v>Dark</v>
      </c>
      <c r="P366" t="str">
        <f>_xlfn.XLOOKUP(Orders!C366,Customers!$A$2:$A$1001,Customers!$I$2:$I$1001)</f>
        <v>Yes</v>
      </c>
    </row>
    <row r="367" spans="1:16" x14ac:dyDescent="0.3">
      <c r="A367" t="s">
        <v>739</v>
      </c>
      <c r="B367" s="11">
        <v>44464</v>
      </c>
      <c r="C367" t="s">
        <v>740</v>
      </c>
      <c r="D367" t="s">
        <v>128</v>
      </c>
      <c r="E367">
        <v>1</v>
      </c>
      <c r="F367" t="str">
        <f>_xlfn.XLOOKUP(C367,Customers!$A$2:$A$1001,Customers!$B$2:$B$1001)</f>
        <v>Casi Gwinnett</v>
      </c>
      <c r="G367" t="str">
        <f>_xlfn.XLOOKUP(C367,Customers!$A$2:$A$1001,Customers!$C$2:$C$1001)</f>
        <v>cgwinnetta5@behance.net</v>
      </c>
      <c r="H367" t="str">
        <f>_xlfn.XLOOKUP(C367,Customers!$A$2:$A$1001,Customers!$G$2:$G$1001)</f>
        <v>United States</v>
      </c>
      <c r="I367" t="str" cm="1">
        <f t="array" ref="I367:L367">_xlfn.XLOOKUP(D367,products!$A$2:$A$49,products!$B$2:$E$49)</f>
        <v>Lib</v>
      </c>
      <c r="J367" t="str">
        <v>D</v>
      </c>
      <c r="K367" s="8">
        <v>0.5</v>
      </c>
      <c r="L367" s="6">
        <v>7.77</v>
      </c>
      <c r="M367" s="7">
        <f t="shared" si="15"/>
        <v>7.77</v>
      </c>
      <c r="N367" t="str">
        <f t="shared" si="16"/>
        <v>Liberica</v>
      </c>
      <c r="O367" t="str">
        <f t="shared" si="17"/>
        <v>Dark</v>
      </c>
      <c r="P367" t="str">
        <f>_xlfn.XLOOKUP(Orders!C367,Customers!$A$2:$A$1001,Customers!$I$2:$I$1001)</f>
        <v>No</v>
      </c>
    </row>
    <row r="368" spans="1:16" x14ac:dyDescent="0.3">
      <c r="A368" t="s">
        <v>741</v>
      </c>
      <c r="B368" s="11">
        <v>43874</v>
      </c>
      <c r="C368" t="s">
        <v>742</v>
      </c>
      <c r="D368" t="s">
        <v>21</v>
      </c>
      <c r="E368">
        <v>6</v>
      </c>
      <c r="F368" t="str">
        <f>_xlfn.XLOOKUP(C368,Customers!$A$2:$A$1001,Customers!$B$2:$B$1001)</f>
        <v>Saree Ellesworth</v>
      </c>
      <c r="G368">
        <f>_xlfn.XLOOKUP(C368,Customers!$A$2:$A$1001,Customers!$C$2:$C$1001)</f>
        <v>0</v>
      </c>
      <c r="H368" t="str">
        <f>_xlfn.XLOOKUP(C368,Customers!$A$2:$A$1001,Customers!$G$2:$G$1001)</f>
        <v>United States</v>
      </c>
      <c r="I368" t="str" cm="1">
        <f t="array" ref="I368:L368">_xlfn.XLOOKUP(D368,products!$A$2:$A$49,products!$B$2:$E$49)</f>
        <v>Exc</v>
      </c>
      <c r="J368" t="str">
        <v>D</v>
      </c>
      <c r="K368" s="8">
        <v>0.5</v>
      </c>
      <c r="L368" s="6">
        <v>7.29</v>
      </c>
      <c r="M368" s="7">
        <f t="shared" si="15"/>
        <v>43.74</v>
      </c>
      <c r="N368" t="str">
        <f t="shared" si="16"/>
        <v>Excelsa</v>
      </c>
      <c r="O368" t="str">
        <f t="shared" si="17"/>
        <v>Dark</v>
      </c>
      <c r="P368" t="str">
        <f>_xlfn.XLOOKUP(Orders!C368,Customers!$A$2:$A$1001,Customers!$I$2:$I$1001)</f>
        <v>No</v>
      </c>
    </row>
    <row r="369" spans="1:16" x14ac:dyDescent="0.3">
      <c r="A369" t="s">
        <v>743</v>
      </c>
      <c r="B369" s="11">
        <v>44393</v>
      </c>
      <c r="C369" t="s">
        <v>744</v>
      </c>
      <c r="D369" t="s">
        <v>82</v>
      </c>
      <c r="E369">
        <v>2</v>
      </c>
      <c r="F369" t="str">
        <f>_xlfn.XLOOKUP(C369,Customers!$A$2:$A$1001,Customers!$B$2:$B$1001)</f>
        <v>Silvio Iorizzi</v>
      </c>
      <c r="G369">
        <f>_xlfn.XLOOKUP(C369,Customers!$A$2:$A$1001,Customers!$C$2:$C$1001)</f>
        <v>0</v>
      </c>
      <c r="H369" t="str">
        <f>_xlfn.XLOOKUP(C369,Customers!$A$2:$A$1001,Customers!$G$2:$G$1001)</f>
        <v>United States</v>
      </c>
      <c r="I369" t="str" cm="1">
        <f t="array" ref="I369:L369">_xlfn.XLOOKUP(D369,products!$A$2:$A$49,products!$B$2:$E$49)</f>
        <v>Lib</v>
      </c>
      <c r="J369" t="str">
        <v>M</v>
      </c>
      <c r="K369" s="8">
        <v>0.2</v>
      </c>
      <c r="L369" s="6">
        <v>4.3650000000000002</v>
      </c>
      <c r="M369" s="7">
        <f t="shared" si="15"/>
        <v>8.73</v>
      </c>
      <c r="N369" t="str">
        <f t="shared" si="16"/>
        <v>Liberica</v>
      </c>
      <c r="O369" t="str">
        <f t="shared" si="17"/>
        <v>Medium</v>
      </c>
      <c r="P369" t="str">
        <f>_xlfn.XLOOKUP(Orders!C369,Customers!$A$2:$A$1001,Customers!$I$2:$I$1001)</f>
        <v>Yes</v>
      </c>
    </row>
    <row r="370" spans="1:16" x14ac:dyDescent="0.3">
      <c r="A370" t="s">
        <v>745</v>
      </c>
      <c r="B370" s="11">
        <v>44692</v>
      </c>
      <c r="C370" t="s">
        <v>746</v>
      </c>
      <c r="D370" t="s">
        <v>117</v>
      </c>
      <c r="E370">
        <v>2</v>
      </c>
      <c r="F370" t="str">
        <f>_xlfn.XLOOKUP(C370,Customers!$A$2:$A$1001,Customers!$B$2:$B$1001)</f>
        <v>Leesa Flaonier</v>
      </c>
      <c r="G370" t="str">
        <f>_xlfn.XLOOKUP(C370,Customers!$A$2:$A$1001,Customers!$C$2:$C$1001)</f>
        <v>lflaoniera8@wordpress.org</v>
      </c>
      <c r="H370" t="str">
        <f>_xlfn.XLOOKUP(C370,Customers!$A$2:$A$1001,Customers!$G$2:$G$1001)</f>
        <v>United States</v>
      </c>
      <c r="I370" t="str" cm="1">
        <f t="array" ref="I370:L370">_xlfn.XLOOKUP(D370,products!$A$2:$A$49,products!$B$2:$E$49)</f>
        <v>Exc</v>
      </c>
      <c r="J370" t="str">
        <v>M</v>
      </c>
      <c r="K370" s="8">
        <v>2.5</v>
      </c>
      <c r="L370" s="6">
        <v>31.624999999999996</v>
      </c>
      <c r="M370" s="7">
        <f t="shared" si="15"/>
        <v>63.249999999999993</v>
      </c>
      <c r="N370" t="str">
        <f t="shared" si="16"/>
        <v>Excelsa</v>
      </c>
      <c r="O370" t="str">
        <f t="shared" si="17"/>
        <v>Medium</v>
      </c>
      <c r="P370" t="str">
        <f>_xlfn.XLOOKUP(Orders!C370,Customers!$A$2:$A$1001,Customers!$I$2:$I$1001)</f>
        <v>No</v>
      </c>
    </row>
    <row r="371" spans="1:16" x14ac:dyDescent="0.3">
      <c r="A371" t="s">
        <v>747</v>
      </c>
      <c r="B371" s="11">
        <v>43500</v>
      </c>
      <c r="C371" t="s">
        <v>748</v>
      </c>
      <c r="D371" t="s">
        <v>181</v>
      </c>
      <c r="E371">
        <v>1</v>
      </c>
      <c r="F371" t="str">
        <f>_xlfn.XLOOKUP(C371,Customers!$A$2:$A$1001,Customers!$B$2:$B$1001)</f>
        <v>Abba Pummell</v>
      </c>
      <c r="G371">
        <f>_xlfn.XLOOKUP(C371,Customers!$A$2:$A$1001,Customers!$C$2:$C$1001)</f>
        <v>0</v>
      </c>
      <c r="H371" t="str">
        <f>_xlfn.XLOOKUP(C371,Customers!$A$2:$A$1001,Customers!$G$2:$G$1001)</f>
        <v>United States</v>
      </c>
      <c r="I371" t="str" cm="1">
        <f t="array" ref="I371:L371">_xlfn.XLOOKUP(D371,products!$A$2:$A$49,products!$B$2:$E$49)</f>
        <v>Exc</v>
      </c>
      <c r="J371" t="str">
        <v>L</v>
      </c>
      <c r="K371" s="8">
        <v>0.5</v>
      </c>
      <c r="L371" s="6">
        <v>8.91</v>
      </c>
      <c r="M371" s="7">
        <f t="shared" si="15"/>
        <v>8.91</v>
      </c>
      <c r="N371" t="str">
        <f t="shared" si="16"/>
        <v>Excelsa</v>
      </c>
      <c r="O371" t="str">
        <f t="shared" si="17"/>
        <v>Lite</v>
      </c>
      <c r="P371" t="str">
        <f>_xlfn.XLOOKUP(Orders!C371,Customers!$A$2:$A$1001,Customers!$I$2:$I$1001)</f>
        <v>Yes</v>
      </c>
    </row>
    <row r="372" spans="1:16" x14ac:dyDescent="0.3">
      <c r="A372" t="s">
        <v>749</v>
      </c>
      <c r="B372" s="11">
        <v>43501</v>
      </c>
      <c r="C372" t="s">
        <v>750</v>
      </c>
      <c r="D372" t="s">
        <v>250</v>
      </c>
      <c r="E372">
        <v>2</v>
      </c>
      <c r="F372" t="str">
        <f>_xlfn.XLOOKUP(C372,Customers!$A$2:$A$1001,Customers!$B$2:$B$1001)</f>
        <v>Corinna Catcheside</v>
      </c>
      <c r="G372" t="str">
        <f>_xlfn.XLOOKUP(C372,Customers!$A$2:$A$1001,Customers!$C$2:$C$1001)</f>
        <v>ccatchesideaa@macromedia.com</v>
      </c>
      <c r="H372" t="str">
        <f>_xlfn.XLOOKUP(C372,Customers!$A$2:$A$1001,Customers!$G$2:$G$1001)</f>
        <v>United States</v>
      </c>
      <c r="I372" t="str" cm="1">
        <f t="array" ref="I372:L372">_xlfn.XLOOKUP(D372,products!$A$2:$A$49,products!$B$2:$E$49)</f>
        <v>Exc</v>
      </c>
      <c r="J372" t="str">
        <v>D</v>
      </c>
      <c r="K372" s="8">
        <v>1</v>
      </c>
      <c r="L372" s="6">
        <v>12.15</v>
      </c>
      <c r="M372" s="7">
        <f t="shared" si="15"/>
        <v>24.3</v>
      </c>
      <c r="N372" t="str">
        <f t="shared" si="16"/>
        <v>Excelsa</v>
      </c>
      <c r="O372" t="str">
        <f t="shared" si="17"/>
        <v>Dark</v>
      </c>
      <c r="P372" t="str">
        <f>_xlfn.XLOOKUP(Orders!C372,Customers!$A$2:$A$1001,Customers!$I$2:$I$1001)</f>
        <v>Yes</v>
      </c>
    </row>
    <row r="373" spans="1:16" x14ac:dyDescent="0.3">
      <c r="A373" t="s">
        <v>751</v>
      </c>
      <c r="B373" s="11">
        <v>44705</v>
      </c>
      <c r="C373" t="s">
        <v>752</v>
      </c>
      <c r="D373" t="s">
        <v>197</v>
      </c>
      <c r="E373">
        <v>6</v>
      </c>
      <c r="F373" t="str">
        <f>_xlfn.XLOOKUP(C373,Customers!$A$2:$A$1001,Customers!$B$2:$B$1001)</f>
        <v>Cortney Gibbonson</v>
      </c>
      <c r="G373" t="str">
        <f>_xlfn.XLOOKUP(C373,Customers!$A$2:$A$1001,Customers!$C$2:$C$1001)</f>
        <v>cgibbonsonab@accuweather.com</v>
      </c>
      <c r="H373" t="str">
        <f>_xlfn.XLOOKUP(C373,Customers!$A$2:$A$1001,Customers!$G$2:$G$1001)</f>
        <v>United States</v>
      </c>
      <c r="I373" t="str" cm="1">
        <f t="array" ref="I373:L373">_xlfn.XLOOKUP(D373,products!$A$2:$A$49,products!$B$2:$E$49)</f>
        <v>Ara</v>
      </c>
      <c r="J373" t="str">
        <v>L</v>
      </c>
      <c r="K373" s="8">
        <v>0.5</v>
      </c>
      <c r="L373" s="6">
        <v>7.77</v>
      </c>
      <c r="M373" s="7">
        <f t="shared" si="15"/>
        <v>46.62</v>
      </c>
      <c r="N373" t="str">
        <f t="shared" si="16"/>
        <v>Arasbica</v>
      </c>
      <c r="O373" t="str">
        <f t="shared" si="17"/>
        <v>Lite</v>
      </c>
      <c r="P373" t="str">
        <f>_xlfn.XLOOKUP(Orders!C373,Customers!$A$2:$A$1001,Customers!$I$2:$I$1001)</f>
        <v>Yes</v>
      </c>
    </row>
    <row r="374" spans="1:16" x14ac:dyDescent="0.3">
      <c r="A374" t="s">
        <v>753</v>
      </c>
      <c r="B374" s="11">
        <v>44108</v>
      </c>
      <c r="C374" t="s">
        <v>754</v>
      </c>
      <c r="D374" t="s">
        <v>162</v>
      </c>
      <c r="E374">
        <v>6</v>
      </c>
      <c r="F374" t="str">
        <f>_xlfn.XLOOKUP(C374,Customers!$A$2:$A$1001,Customers!$B$2:$B$1001)</f>
        <v>Terri Farra</v>
      </c>
      <c r="G374" t="str">
        <f>_xlfn.XLOOKUP(C374,Customers!$A$2:$A$1001,Customers!$C$2:$C$1001)</f>
        <v>tfarraac@behance.net</v>
      </c>
      <c r="H374" t="str">
        <f>_xlfn.XLOOKUP(C374,Customers!$A$2:$A$1001,Customers!$G$2:$G$1001)</f>
        <v>United States</v>
      </c>
      <c r="I374" t="str" cm="1">
        <f t="array" ref="I374:L374">_xlfn.XLOOKUP(D374,products!$A$2:$A$49,products!$B$2:$E$49)</f>
        <v>Rob</v>
      </c>
      <c r="J374" t="str">
        <v>L</v>
      </c>
      <c r="K374" s="8">
        <v>0.5</v>
      </c>
      <c r="L374" s="6">
        <v>7.169999999999999</v>
      </c>
      <c r="M374" s="7">
        <f t="shared" si="15"/>
        <v>43.019999999999996</v>
      </c>
      <c r="N374" t="str">
        <f t="shared" si="16"/>
        <v>Robusta</v>
      </c>
      <c r="O374" t="str">
        <f t="shared" si="17"/>
        <v>Lite</v>
      </c>
      <c r="P374" t="str">
        <f>_xlfn.XLOOKUP(Orders!C374,Customers!$A$2:$A$1001,Customers!$I$2:$I$1001)</f>
        <v>No</v>
      </c>
    </row>
    <row r="375" spans="1:16" x14ac:dyDescent="0.3">
      <c r="A375" t="s">
        <v>755</v>
      </c>
      <c r="B375" s="11">
        <v>44742</v>
      </c>
      <c r="C375" t="s">
        <v>756</v>
      </c>
      <c r="D375" t="s">
        <v>77</v>
      </c>
      <c r="E375">
        <v>3</v>
      </c>
      <c r="F375" t="str">
        <f>_xlfn.XLOOKUP(C375,Customers!$A$2:$A$1001,Customers!$B$2:$B$1001)</f>
        <v>Corney Curme</v>
      </c>
      <c r="G375">
        <f>_xlfn.XLOOKUP(C375,Customers!$A$2:$A$1001,Customers!$C$2:$C$1001)</f>
        <v>0</v>
      </c>
      <c r="H375" t="str">
        <f>_xlfn.XLOOKUP(C375,Customers!$A$2:$A$1001,Customers!$G$2:$G$1001)</f>
        <v>Ireland</v>
      </c>
      <c r="I375" t="str" cm="1">
        <f t="array" ref="I375:L375">_xlfn.XLOOKUP(D375,products!$A$2:$A$49,products!$B$2:$E$49)</f>
        <v>Ara</v>
      </c>
      <c r="J375" t="str">
        <v>D</v>
      </c>
      <c r="K375" s="8">
        <v>0.5</v>
      </c>
      <c r="L375" s="6">
        <v>5.97</v>
      </c>
      <c r="M375" s="7">
        <f t="shared" si="15"/>
        <v>17.91</v>
      </c>
      <c r="N375" t="str">
        <f t="shared" si="16"/>
        <v>Arasbica</v>
      </c>
      <c r="O375" t="str">
        <f t="shared" si="17"/>
        <v>Dark</v>
      </c>
      <c r="P375" t="str">
        <f>_xlfn.XLOOKUP(Orders!C375,Customers!$A$2:$A$1001,Customers!$I$2:$I$1001)</f>
        <v>Yes</v>
      </c>
    </row>
    <row r="376" spans="1:16" x14ac:dyDescent="0.3">
      <c r="A376" t="s">
        <v>757</v>
      </c>
      <c r="B376" s="11">
        <v>44125</v>
      </c>
      <c r="C376" t="s">
        <v>758</v>
      </c>
      <c r="D376" t="s">
        <v>88</v>
      </c>
      <c r="E376">
        <v>4</v>
      </c>
      <c r="F376" t="str">
        <f>_xlfn.XLOOKUP(C376,Customers!$A$2:$A$1001,Customers!$B$2:$B$1001)</f>
        <v>Gothart Bamfield</v>
      </c>
      <c r="G376" t="str">
        <f>_xlfn.XLOOKUP(C376,Customers!$A$2:$A$1001,Customers!$C$2:$C$1001)</f>
        <v>gbamfieldae@yellowpages.com</v>
      </c>
      <c r="H376" t="str">
        <f>_xlfn.XLOOKUP(C376,Customers!$A$2:$A$1001,Customers!$G$2:$G$1001)</f>
        <v>United States</v>
      </c>
      <c r="I376" t="str" cm="1">
        <f t="array" ref="I376:L376">_xlfn.XLOOKUP(D376,products!$A$2:$A$49,products!$B$2:$E$49)</f>
        <v>Lib</v>
      </c>
      <c r="J376" t="str">
        <v>L</v>
      </c>
      <c r="K376" s="8">
        <v>0.5</v>
      </c>
      <c r="L376" s="6">
        <v>9.51</v>
      </c>
      <c r="M376" s="7">
        <f t="shared" si="15"/>
        <v>38.04</v>
      </c>
      <c r="N376" t="str">
        <f t="shared" si="16"/>
        <v>Liberica</v>
      </c>
      <c r="O376" t="str">
        <f t="shared" si="17"/>
        <v>Lite</v>
      </c>
      <c r="P376" t="str">
        <f>_xlfn.XLOOKUP(Orders!C376,Customers!$A$2:$A$1001,Customers!$I$2:$I$1001)</f>
        <v>Yes</v>
      </c>
    </row>
    <row r="377" spans="1:16" x14ac:dyDescent="0.3">
      <c r="A377" t="s">
        <v>759</v>
      </c>
      <c r="B377" s="11">
        <v>44120</v>
      </c>
      <c r="C377" t="s">
        <v>760</v>
      </c>
      <c r="D377" t="s">
        <v>49</v>
      </c>
      <c r="E377">
        <v>2</v>
      </c>
      <c r="F377" t="str">
        <f>_xlfn.XLOOKUP(C377,Customers!$A$2:$A$1001,Customers!$B$2:$B$1001)</f>
        <v>Waylin Hollingdale</v>
      </c>
      <c r="G377" t="str">
        <f>_xlfn.XLOOKUP(C377,Customers!$A$2:$A$1001,Customers!$C$2:$C$1001)</f>
        <v>whollingdaleaf@about.me</v>
      </c>
      <c r="H377" t="str">
        <f>_xlfn.XLOOKUP(C377,Customers!$A$2:$A$1001,Customers!$G$2:$G$1001)</f>
        <v>United States</v>
      </c>
      <c r="I377" t="str" cm="1">
        <f t="array" ref="I377:L377">_xlfn.XLOOKUP(D377,products!$A$2:$A$49,products!$B$2:$E$49)</f>
        <v>Ara</v>
      </c>
      <c r="J377" t="str">
        <v>M</v>
      </c>
      <c r="K377" s="8">
        <v>0.2</v>
      </c>
      <c r="L377" s="6">
        <v>3.375</v>
      </c>
      <c r="M377" s="7">
        <f t="shared" si="15"/>
        <v>6.75</v>
      </c>
      <c r="N377" t="str">
        <f t="shared" si="16"/>
        <v>Arasbica</v>
      </c>
      <c r="O377" t="str">
        <f t="shared" si="17"/>
        <v>Medium</v>
      </c>
      <c r="P377" t="str">
        <f>_xlfn.XLOOKUP(Orders!C377,Customers!$A$2:$A$1001,Customers!$I$2:$I$1001)</f>
        <v>Yes</v>
      </c>
    </row>
    <row r="378" spans="1:16" x14ac:dyDescent="0.3">
      <c r="A378" t="s">
        <v>761</v>
      </c>
      <c r="B378" s="11">
        <v>44097</v>
      </c>
      <c r="C378" t="s">
        <v>762</v>
      </c>
      <c r="D378" t="s">
        <v>27</v>
      </c>
      <c r="E378">
        <v>1</v>
      </c>
      <c r="F378" t="str">
        <f>_xlfn.XLOOKUP(C378,Customers!$A$2:$A$1001,Customers!$B$2:$B$1001)</f>
        <v>Judd De Leek</v>
      </c>
      <c r="G378" t="str">
        <f>_xlfn.XLOOKUP(C378,Customers!$A$2:$A$1001,Customers!$C$2:$C$1001)</f>
        <v>jdeag@xrea.com</v>
      </c>
      <c r="H378" t="str">
        <f>_xlfn.XLOOKUP(C378,Customers!$A$2:$A$1001,Customers!$G$2:$G$1001)</f>
        <v>United States</v>
      </c>
      <c r="I378" t="str" cm="1">
        <f t="array" ref="I378:L378">_xlfn.XLOOKUP(D378,products!$A$2:$A$49,products!$B$2:$E$49)</f>
        <v>Rob</v>
      </c>
      <c r="J378" t="str">
        <v>M</v>
      </c>
      <c r="K378" s="8">
        <v>0.5</v>
      </c>
      <c r="L378" s="6">
        <v>5.97</v>
      </c>
      <c r="M378" s="7">
        <f t="shared" si="15"/>
        <v>5.97</v>
      </c>
      <c r="N378" t="str">
        <f t="shared" si="16"/>
        <v>Robusta</v>
      </c>
      <c r="O378" t="str">
        <f t="shared" si="17"/>
        <v>Medium</v>
      </c>
      <c r="P378" t="str">
        <f>_xlfn.XLOOKUP(Orders!C378,Customers!$A$2:$A$1001,Customers!$I$2:$I$1001)</f>
        <v>Yes</v>
      </c>
    </row>
    <row r="379" spans="1:16" x14ac:dyDescent="0.3">
      <c r="A379" t="s">
        <v>763</v>
      </c>
      <c r="B379" s="11">
        <v>43532</v>
      </c>
      <c r="C379" t="s">
        <v>764</v>
      </c>
      <c r="D379" t="s">
        <v>106</v>
      </c>
      <c r="E379">
        <v>3</v>
      </c>
      <c r="F379" t="str">
        <f>_xlfn.XLOOKUP(C379,Customers!$A$2:$A$1001,Customers!$B$2:$B$1001)</f>
        <v>Vanya Skullet</v>
      </c>
      <c r="G379" t="str">
        <f>_xlfn.XLOOKUP(C379,Customers!$A$2:$A$1001,Customers!$C$2:$C$1001)</f>
        <v>vskulletah@tinyurl.com</v>
      </c>
      <c r="H379" t="str">
        <f>_xlfn.XLOOKUP(C379,Customers!$A$2:$A$1001,Customers!$G$2:$G$1001)</f>
        <v>Ireland</v>
      </c>
      <c r="I379" t="str" cm="1">
        <f t="array" ref="I379:L379">_xlfn.XLOOKUP(D379,products!$A$2:$A$49,products!$B$2:$E$49)</f>
        <v>Rob</v>
      </c>
      <c r="J379" t="str">
        <v>D</v>
      </c>
      <c r="K379" s="8">
        <v>0.2</v>
      </c>
      <c r="L379" s="6">
        <v>2.6849999999999996</v>
      </c>
      <c r="M379" s="7">
        <f t="shared" si="15"/>
        <v>8.0549999999999997</v>
      </c>
      <c r="N379" t="str">
        <f t="shared" si="16"/>
        <v>Robusta</v>
      </c>
      <c r="O379" t="str">
        <f t="shared" si="17"/>
        <v>Dark</v>
      </c>
      <c r="P379" t="str">
        <f>_xlfn.XLOOKUP(Orders!C379,Customers!$A$2:$A$1001,Customers!$I$2:$I$1001)</f>
        <v>No</v>
      </c>
    </row>
    <row r="380" spans="1:16" x14ac:dyDescent="0.3">
      <c r="A380" t="s">
        <v>765</v>
      </c>
      <c r="B380" s="11">
        <v>44377</v>
      </c>
      <c r="C380" t="s">
        <v>766</v>
      </c>
      <c r="D380" t="s">
        <v>197</v>
      </c>
      <c r="E380">
        <v>3</v>
      </c>
      <c r="F380" t="str">
        <f>_xlfn.XLOOKUP(C380,Customers!$A$2:$A$1001,Customers!$B$2:$B$1001)</f>
        <v>Jany Rudeforth</v>
      </c>
      <c r="G380" t="str">
        <f>_xlfn.XLOOKUP(C380,Customers!$A$2:$A$1001,Customers!$C$2:$C$1001)</f>
        <v>jrudeforthai@wunderground.com</v>
      </c>
      <c r="H380" t="str">
        <f>_xlfn.XLOOKUP(C380,Customers!$A$2:$A$1001,Customers!$G$2:$G$1001)</f>
        <v>Ireland</v>
      </c>
      <c r="I380" t="str" cm="1">
        <f t="array" ref="I380:L380">_xlfn.XLOOKUP(D380,products!$A$2:$A$49,products!$B$2:$E$49)</f>
        <v>Ara</v>
      </c>
      <c r="J380" t="str">
        <v>L</v>
      </c>
      <c r="K380" s="8">
        <v>0.5</v>
      </c>
      <c r="L380" s="6">
        <v>7.77</v>
      </c>
      <c r="M380" s="7">
        <f t="shared" si="15"/>
        <v>23.31</v>
      </c>
      <c r="N380" t="str">
        <f t="shared" si="16"/>
        <v>Arasbica</v>
      </c>
      <c r="O380" t="str">
        <f t="shared" si="17"/>
        <v>Lite</v>
      </c>
      <c r="P380" t="str">
        <f>_xlfn.XLOOKUP(Orders!C380,Customers!$A$2:$A$1001,Customers!$I$2:$I$1001)</f>
        <v>Yes</v>
      </c>
    </row>
    <row r="381" spans="1:16" x14ac:dyDescent="0.3">
      <c r="A381" t="s">
        <v>767</v>
      </c>
      <c r="B381" s="11">
        <v>43690</v>
      </c>
      <c r="C381" t="s">
        <v>768</v>
      </c>
      <c r="D381" t="s">
        <v>162</v>
      </c>
      <c r="E381">
        <v>6</v>
      </c>
      <c r="F381" t="str">
        <f>_xlfn.XLOOKUP(C381,Customers!$A$2:$A$1001,Customers!$B$2:$B$1001)</f>
        <v>Ashbey Tomaszewski</v>
      </c>
      <c r="G381" t="str">
        <f>_xlfn.XLOOKUP(C381,Customers!$A$2:$A$1001,Customers!$C$2:$C$1001)</f>
        <v>atomaszewskiaj@answers.com</v>
      </c>
      <c r="H381" t="str">
        <f>_xlfn.XLOOKUP(C381,Customers!$A$2:$A$1001,Customers!$G$2:$G$1001)</f>
        <v>United Kingdom</v>
      </c>
      <c r="I381" t="str" cm="1">
        <f t="array" ref="I381:L381">_xlfn.XLOOKUP(D381,products!$A$2:$A$49,products!$B$2:$E$49)</f>
        <v>Rob</v>
      </c>
      <c r="J381" t="str">
        <v>L</v>
      </c>
      <c r="K381" s="8">
        <v>0.5</v>
      </c>
      <c r="L381" s="6">
        <v>7.169999999999999</v>
      </c>
      <c r="M381" s="7">
        <f t="shared" si="15"/>
        <v>43.019999999999996</v>
      </c>
      <c r="N381" t="str">
        <f t="shared" si="16"/>
        <v>Robusta</v>
      </c>
      <c r="O381" t="str">
        <f t="shared" si="17"/>
        <v>Lite</v>
      </c>
      <c r="P381" t="str">
        <f>_xlfn.XLOOKUP(Orders!C381,Customers!$A$2:$A$1001,Customers!$I$2:$I$1001)</f>
        <v>Yes</v>
      </c>
    </row>
    <row r="382" spans="1:16" x14ac:dyDescent="0.3">
      <c r="A382" t="s">
        <v>769</v>
      </c>
      <c r="B382" s="11">
        <v>44249</v>
      </c>
      <c r="C382" t="s">
        <v>669</v>
      </c>
      <c r="D382" t="s">
        <v>128</v>
      </c>
      <c r="E382">
        <v>3</v>
      </c>
      <c r="F382" t="str">
        <f>_xlfn.XLOOKUP(C382,Customers!$A$2:$A$1001,Customers!$B$2:$B$1001)</f>
        <v>Flynn Antony</v>
      </c>
      <c r="G382">
        <f>_xlfn.XLOOKUP(C382,Customers!$A$2:$A$1001,Customers!$C$2:$C$1001)</f>
        <v>0</v>
      </c>
      <c r="H382" t="str">
        <f>_xlfn.XLOOKUP(C382,Customers!$A$2:$A$1001,Customers!$G$2:$G$1001)</f>
        <v>United States</v>
      </c>
      <c r="I382" t="str" cm="1">
        <f t="array" ref="I382:L382">_xlfn.XLOOKUP(D382,products!$A$2:$A$49,products!$B$2:$E$49)</f>
        <v>Lib</v>
      </c>
      <c r="J382" t="str">
        <v>D</v>
      </c>
      <c r="K382" s="8">
        <v>0.5</v>
      </c>
      <c r="L382" s="6">
        <v>7.77</v>
      </c>
      <c r="M382" s="7">
        <f t="shared" si="15"/>
        <v>23.31</v>
      </c>
      <c r="N382" t="str">
        <f t="shared" si="16"/>
        <v>Liberica</v>
      </c>
      <c r="O382" t="str">
        <f t="shared" si="17"/>
        <v>Dark</v>
      </c>
      <c r="P382" t="str">
        <f>_xlfn.XLOOKUP(Orders!C382,Customers!$A$2:$A$1001,Customers!$I$2:$I$1001)</f>
        <v>No</v>
      </c>
    </row>
    <row r="383" spans="1:16" x14ac:dyDescent="0.3">
      <c r="A383" t="s">
        <v>770</v>
      </c>
      <c r="B383" s="11">
        <v>44646</v>
      </c>
      <c r="C383" t="s">
        <v>771</v>
      </c>
      <c r="D383" t="s">
        <v>59</v>
      </c>
      <c r="E383">
        <v>5</v>
      </c>
      <c r="F383" t="str">
        <f>_xlfn.XLOOKUP(C383,Customers!$A$2:$A$1001,Customers!$B$2:$B$1001)</f>
        <v>Pren Bess</v>
      </c>
      <c r="G383" t="str">
        <f>_xlfn.XLOOKUP(C383,Customers!$A$2:$A$1001,Customers!$C$2:$C$1001)</f>
        <v>pbessal@qq.com</v>
      </c>
      <c r="H383" t="str">
        <f>_xlfn.XLOOKUP(C383,Customers!$A$2:$A$1001,Customers!$G$2:$G$1001)</f>
        <v>United States</v>
      </c>
      <c r="I383" t="str" cm="1">
        <f t="array" ref="I383:L383">_xlfn.XLOOKUP(D383,products!$A$2:$A$49,products!$B$2:$E$49)</f>
        <v>Ara</v>
      </c>
      <c r="J383" t="str">
        <v>D</v>
      </c>
      <c r="K383" s="8">
        <v>0.2</v>
      </c>
      <c r="L383" s="6">
        <v>2.9849999999999999</v>
      </c>
      <c r="M383" s="7">
        <f t="shared" si="15"/>
        <v>14.924999999999999</v>
      </c>
      <c r="N383" t="str">
        <f t="shared" si="16"/>
        <v>Arasbica</v>
      </c>
      <c r="O383" t="str">
        <f t="shared" si="17"/>
        <v>Dark</v>
      </c>
      <c r="P383" t="str">
        <f>_xlfn.XLOOKUP(Orders!C383,Customers!$A$2:$A$1001,Customers!$I$2:$I$1001)</f>
        <v>Yes</v>
      </c>
    </row>
    <row r="384" spans="1:16" x14ac:dyDescent="0.3">
      <c r="A384" t="s">
        <v>772</v>
      </c>
      <c r="B384" s="11">
        <v>43840</v>
      </c>
      <c r="C384" t="s">
        <v>773</v>
      </c>
      <c r="D384" t="s">
        <v>21</v>
      </c>
      <c r="E384">
        <v>3</v>
      </c>
      <c r="F384" t="str">
        <f>_xlfn.XLOOKUP(C384,Customers!$A$2:$A$1001,Customers!$B$2:$B$1001)</f>
        <v>Elka Windress</v>
      </c>
      <c r="G384" t="str">
        <f>_xlfn.XLOOKUP(C384,Customers!$A$2:$A$1001,Customers!$C$2:$C$1001)</f>
        <v>ewindressam@marketwatch.com</v>
      </c>
      <c r="H384" t="str">
        <f>_xlfn.XLOOKUP(C384,Customers!$A$2:$A$1001,Customers!$G$2:$G$1001)</f>
        <v>United States</v>
      </c>
      <c r="I384" t="str" cm="1">
        <f t="array" ref="I384:L384">_xlfn.XLOOKUP(D384,products!$A$2:$A$49,products!$B$2:$E$49)</f>
        <v>Exc</v>
      </c>
      <c r="J384" t="str">
        <v>D</v>
      </c>
      <c r="K384" s="8">
        <v>0.5</v>
      </c>
      <c r="L384" s="6">
        <v>7.29</v>
      </c>
      <c r="M384" s="7">
        <f t="shared" si="15"/>
        <v>21.87</v>
      </c>
      <c r="N384" t="str">
        <f t="shared" si="16"/>
        <v>Excelsa</v>
      </c>
      <c r="O384" t="str">
        <f t="shared" si="17"/>
        <v>Dark</v>
      </c>
      <c r="P384" t="str">
        <f>_xlfn.XLOOKUP(Orders!C384,Customers!$A$2:$A$1001,Customers!$I$2:$I$1001)</f>
        <v>No</v>
      </c>
    </row>
    <row r="385" spans="1:16" x14ac:dyDescent="0.3">
      <c r="A385" t="s">
        <v>774</v>
      </c>
      <c r="B385" s="11">
        <v>43586</v>
      </c>
      <c r="C385" t="s">
        <v>775</v>
      </c>
      <c r="D385" t="s">
        <v>181</v>
      </c>
      <c r="E385">
        <v>6</v>
      </c>
      <c r="F385" t="str">
        <f>_xlfn.XLOOKUP(C385,Customers!$A$2:$A$1001,Customers!$B$2:$B$1001)</f>
        <v>Marty Kidstoun</v>
      </c>
      <c r="G385">
        <f>_xlfn.XLOOKUP(C385,Customers!$A$2:$A$1001,Customers!$C$2:$C$1001)</f>
        <v>0</v>
      </c>
      <c r="H385" t="str">
        <f>_xlfn.XLOOKUP(C385,Customers!$A$2:$A$1001,Customers!$G$2:$G$1001)</f>
        <v>United States</v>
      </c>
      <c r="I385" t="str" cm="1">
        <f t="array" ref="I385:L385">_xlfn.XLOOKUP(D385,products!$A$2:$A$49,products!$B$2:$E$49)</f>
        <v>Exc</v>
      </c>
      <c r="J385" t="str">
        <v>L</v>
      </c>
      <c r="K385" s="8">
        <v>0.5</v>
      </c>
      <c r="L385" s="6">
        <v>8.91</v>
      </c>
      <c r="M385" s="7">
        <f t="shared" si="15"/>
        <v>53.46</v>
      </c>
      <c r="N385" t="str">
        <f t="shared" si="16"/>
        <v>Excelsa</v>
      </c>
      <c r="O385" t="str">
        <f t="shared" si="17"/>
        <v>Lite</v>
      </c>
      <c r="P385" t="str">
        <f>_xlfn.XLOOKUP(Orders!C385,Customers!$A$2:$A$1001,Customers!$I$2:$I$1001)</f>
        <v>Yes</v>
      </c>
    </row>
    <row r="386" spans="1:16" x14ac:dyDescent="0.3">
      <c r="A386" t="s">
        <v>776</v>
      </c>
      <c r="B386" s="11">
        <v>43870</v>
      </c>
      <c r="C386" t="s">
        <v>777</v>
      </c>
      <c r="D386" t="s">
        <v>209</v>
      </c>
      <c r="E386">
        <v>4</v>
      </c>
      <c r="F386" t="str">
        <f>_xlfn.XLOOKUP(C386,Customers!$A$2:$A$1001,Customers!$B$2:$B$1001)</f>
        <v>Nickey Dimbleby</v>
      </c>
      <c r="G386">
        <f>_xlfn.XLOOKUP(C386,Customers!$A$2:$A$1001,Customers!$C$2:$C$1001)</f>
        <v>0</v>
      </c>
      <c r="H386" t="str">
        <f>_xlfn.XLOOKUP(C386,Customers!$A$2:$A$1001,Customers!$G$2:$G$1001)</f>
        <v>United States</v>
      </c>
      <c r="I386" t="str" cm="1">
        <f t="array" ref="I386:L386">_xlfn.XLOOKUP(D386,products!$A$2:$A$49,products!$B$2:$E$49)</f>
        <v>Ara</v>
      </c>
      <c r="J386" t="str">
        <v>L</v>
      </c>
      <c r="K386" s="8">
        <v>2.5</v>
      </c>
      <c r="L386" s="6">
        <v>29.784999999999997</v>
      </c>
      <c r="M386" s="7">
        <f t="shared" si="15"/>
        <v>119.13999999999999</v>
      </c>
      <c r="N386" t="str">
        <f t="shared" si="16"/>
        <v>Arasbica</v>
      </c>
      <c r="O386" t="str">
        <f t="shared" si="17"/>
        <v>Lite</v>
      </c>
      <c r="P386" t="str">
        <f>_xlfn.XLOOKUP(Orders!C386,Customers!$A$2:$A$1001,Customers!$I$2:$I$1001)</f>
        <v>No</v>
      </c>
    </row>
    <row r="387" spans="1:16" x14ac:dyDescent="0.3">
      <c r="A387" t="s">
        <v>778</v>
      </c>
      <c r="B387" s="11">
        <v>44559</v>
      </c>
      <c r="C387" t="s">
        <v>779</v>
      </c>
      <c r="D387" t="s">
        <v>83</v>
      </c>
      <c r="E387">
        <v>5</v>
      </c>
      <c r="F387" t="str">
        <f>_xlfn.XLOOKUP(C387,Customers!$A$2:$A$1001,Customers!$B$2:$B$1001)</f>
        <v>Virgil Baumadier</v>
      </c>
      <c r="G387" t="str">
        <f>_xlfn.XLOOKUP(C387,Customers!$A$2:$A$1001,Customers!$C$2:$C$1001)</f>
        <v>vbaumadierap@google.cn</v>
      </c>
      <c r="H387" t="str">
        <f>_xlfn.XLOOKUP(C387,Customers!$A$2:$A$1001,Customers!$G$2:$G$1001)</f>
        <v>United States</v>
      </c>
      <c r="I387" t="str" cm="1">
        <f t="array" ref="I387:L387">_xlfn.XLOOKUP(D387,products!$A$2:$A$49,products!$B$2:$E$49)</f>
        <v>Lib</v>
      </c>
      <c r="J387" t="str">
        <v>M</v>
      </c>
      <c r="K387" s="8">
        <v>0.5</v>
      </c>
      <c r="L387" s="6">
        <v>8.73</v>
      </c>
      <c r="M387" s="7">
        <f t="shared" ref="M387:M450" si="18">E387*L387</f>
        <v>43.650000000000006</v>
      </c>
      <c r="N387" t="str">
        <f t="shared" ref="N387:N450" si="19">IF(I387="rob","Robusta",IF(I387="Exc","Excelsa",IF(I387="Ara","Arasbica",IF(I387="Lib","Liberica"))))</f>
        <v>Liberica</v>
      </c>
      <c r="O387" t="str">
        <f t="shared" ref="O387:O450" si="20">IF(J387="M","Medium",IF(J387="L","Lite",IF(J387="D","Dark")))</f>
        <v>Medium</v>
      </c>
      <c r="P387" t="str">
        <f>_xlfn.XLOOKUP(Orders!C387,Customers!$A$2:$A$1001,Customers!$I$2:$I$1001)</f>
        <v>Yes</v>
      </c>
    </row>
    <row r="388" spans="1:16" x14ac:dyDescent="0.3">
      <c r="A388" t="s">
        <v>780</v>
      </c>
      <c r="B388" s="11">
        <v>44083</v>
      </c>
      <c r="C388" t="s">
        <v>781</v>
      </c>
      <c r="D388" t="s">
        <v>59</v>
      </c>
      <c r="E388">
        <v>6</v>
      </c>
      <c r="F388" t="str">
        <f>_xlfn.XLOOKUP(C388,Customers!$A$2:$A$1001,Customers!$B$2:$B$1001)</f>
        <v>Lenore Messenbird</v>
      </c>
      <c r="G388">
        <f>_xlfn.XLOOKUP(C388,Customers!$A$2:$A$1001,Customers!$C$2:$C$1001)</f>
        <v>0</v>
      </c>
      <c r="H388" t="str">
        <f>_xlfn.XLOOKUP(C388,Customers!$A$2:$A$1001,Customers!$G$2:$G$1001)</f>
        <v>United States</v>
      </c>
      <c r="I388" t="str" cm="1">
        <f t="array" ref="I388:L388">_xlfn.XLOOKUP(D388,products!$A$2:$A$49,products!$B$2:$E$49)</f>
        <v>Ara</v>
      </c>
      <c r="J388" t="str">
        <v>D</v>
      </c>
      <c r="K388" s="8">
        <v>0.2</v>
      </c>
      <c r="L388" s="6">
        <v>2.9849999999999999</v>
      </c>
      <c r="M388" s="7">
        <f t="shared" si="18"/>
        <v>17.91</v>
      </c>
      <c r="N388" t="str">
        <f t="shared" si="19"/>
        <v>Arasbica</v>
      </c>
      <c r="O388" t="str">
        <f t="shared" si="20"/>
        <v>Dark</v>
      </c>
      <c r="P388" t="str">
        <f>_xlfn.XLOOKUP(Orders!C388,Customers!$A$2:$A$1001,Customers!$I$2:$I$1001)</f>
        <v>Yes</v>
      </c>
    </row>
    <row r="389" spans="1:16" x14ac:dyDescent="0.3">
      <c r="A389" t="s">
        <v>782</v>
      </c>
      <c r="B389" s="11">
        <v>44455</v>
      </c>
      <c r="C389" t="s">
        <v>783</v>
      </c>
      <c r="D389" t="s">
        <v>142</v>
      </c>
      <c r="E389">
        <v>5</v>
      </c>
      <c r="F389" t="str">
        <f>_xlfn.XLOOKUP(C389,Customers!$A$2:$A$1001,Customers!$B$2:$B$1001)</f>
        <v>Shirleen Welds</v>
      </c>
      <c r="G389" t="str">
        <f>_xlfn.XLOOKUP(C389,Customers!$A$2:$A$1001,Customers!$C$2:$C$1001)</f>
        <v>sweldsar@wired.com</v>
      </c>
      <c r="H389" t="str">
        <f>_xlfn.XLOOKUP(C389,Customers!$A$2:$A$1001,Customers!$G$2:$G$1001)</f>
        <v>United States</v>
      </c>
      <c r="I389" t="str" cm="1">
        <f t="array" ref="I389:L389">_xlfn.XLOOKUP(D389,products!$A$2:$A$49,products!$B$2:$E$49)</f>
        <v>Exc</v>
      </c>
      <c r="J389" t="str">
        <v>L</v>
      </c>
      <c r="K389" s="8">
        <v>1</v>
      </c>
      <c r="L389" s="6">
        <v>14.85</v>
      </c>
      <c r="M389" s="7">
        <f t="shared" si="18"/>
        <v>74.25</v>
      </c>
      <c r="N389" t="str">
        <f t="shared" si="19"/>
        <v>Excelsa</v>
      </c>
      <c r="O389" t="str">
        <f t="shared" si="20"/>
        <v>Lite</v>
      </c>
      <c r="P389" t="str">
        <f>_xlfn.XLOOKUP(Orders!C389,Customers!$A$2:$A$1001,Customers!$I$2:$I$1001)</f>
        <v>Yes</v>
      </c>
    </row>
    <row r="390" spans="1:16" x14ac:dyDescent="0.3">
      <c r="A390" t="s">
        <v>784</v>
      </c>
      <c r="B390" s="11">
        <v>44130</v>
      </c>
      <c r="C390" t="s">
        <v>785</v>
      </c>
      <c r="D390" t="s">
        <v>43</v>
      </c>
      <c r="E390">
        <v>3</v>
      </c>
      <c r="F390" t="str">
        <f>_xlfn.XLOOKUP(C390,Customers!$A$2:$A$1001,Customers!$B$2:$B$1001)</f>
        <v>Maisie Sarvar</v>
      </c>
      <c r="G390" t="str">
        <f>_xlfn.XLOOKUP(C390,Customers!$A$2:$A$1001,Customers!$C$2:$C$1001)</f>
        <v>msarvaras@artisteer.com</v>
      </c>
      <c r="H390" t="str">
        <f>_xlfn.XLOOKUP(C390,Customers!$A$2:$A$1001,Customers!$G$2:$G$1001)</f>
        <v>United States</v>
      </c>
      <c r="I390" t="str" cm="1">
        <f t="array" ref="I390:L390">_xlfn.XLOOKUP(D390,products!$A$2:$A$49,products!$B$2:$E$49)</f>
        <v>Lib</v>
      </c>
      <c r="J390" t="str">
        <v>D</v>
      </c>
      <c r="K390" s="8">
        <v>0.2</v>
      </c>
      <c r="L390" s="6">
        <v>3.8849999999999998</v>
      </c>
      <c r="M390" s="7">
        <f t="shared" si="18"/>
        <v>11.654999999999999</v>
      </c>
      <c r="N390" t="str">
        <f t="shared" si="19"/>
        <v>Liberica</v>
      </c>
      <c r="O390" t="str">
        <f t="shared" si="20"/>
        <v>Dark</v>
      </c>
      <c r="P390" t="str">
        <f>_xlfn.XLOOKUP(Orders!C390,Customers!$A$2:$A$1001,Customers!$I$2:$I$1001)</f>
        <v>Yes</v>
      </c>
    </row>
    <row r="391" spans="1:16" x14ac:dyDescent="0.3">
      <c r="A391" t="s">
        <v>786</v>
      </c>
      <c r="B391" s="11">
        <v>43536</v>
      </c>
      <c r="C391" t="s">
        <v>787</v>
      </c>
      <c r="D391" t="s">
        <v>128</v>
      </c>
      <c r="E391">
        <v>3</v>
      </c>
      <c r="F391" t="str">
        <f>_xlfn.XLOOKUP(C391,Customers!$A$2:$A$1001,Customers!$B$2:$B$1001)</f>
        <v>Andrej Havick</v>
      </c>
      <c r="G391" t="str">
        <f>_xlfn.XLOOKUP(C391,Customers!$A$2:$A$1001,Customers!$C$2:$C$1001)</f>
        <v>ahavickat@nsw.gov.au</v>
      </c>
      <c r="H391" t="str">
        <f>_xlfn.XLOOKUP(C391,Customers!$A$2:$A$1001,Customers!$G$2:$G$1001)</f>
        <v>United States</v>
      </c>
      <c r="I391" t="str" cm="1">
        <f t="array" ref="I391:L391">_xlfn.XLOOKUP(D391,products!$A$2:$A$49,products!$B$2:$E$49)</f>
        <v>Lib</v>
      </c>
      <c r="J391" t="str">
        <v>D</v>
      </c>
      <c r="K391" s="8">
        <v>0.5</v>
      </c>
      <c r="L391" s="6">
        <v>7.77</v>
      </c>
      <c r="M391" s="7">
        <f t="shared" si="18"/>
        <v>23.31</v>
      </c>
      <c r="N391" t="str">
        <f t="shared" si="19"/>
        <v>Liberica</v>
      </c>
      <c r="O391" t="str">
        <f t="shared" si="20"/>
        <v>Dark</v>
      </c>
      <c r="P391" t="str">
        <f>_xlfn.XLOOKUP(Orders!C391,Customers!$A$2:$A$1001,Customers!$I$2:$I$1001)</f>
        <v>Yes</v>
      </c>
    </row>
    <row r="392" spans="1:16" x14ac:dyDescent="0.3">
      <c r="A392" t="s">
        <v>788</v>
      </c>
      <c r="B392" s="11">
        <v>44245</v>
      </c>
      <c r="C392" t="s">
        <v>789</v>
      </c>
      <c r="D392" t="s">
        <v>21</v>
      </c>
      <c r="E392">
        <v>2</v>
      </c>
      <c r="F392" t="str">
        <f>_xlfn.XLOOKUP(C392,Customers!$A$2:$A$1001,Customers!$B$2:$B$1001)</f>
        <v>Sloan Diviny</v>
      </c>
      <c r="G392" t="str">
        <f>_xlfn.XLOOKUP(C392,Customers!$A$2:$A$1001,Customers!$C$2:$C$1001)</f>
        <v>sdivinyau@ask.com</v>
      </c>
      <c r="H392" t="str">
        <f>_xlfn.XLOOKUP(C392,Customers!$A$2:$A$1001,Customers!$G$2:$G$1001)</f>
        <v>United States</v>
      </c>
      <c r="I392" t="str" cm="1">
        <f t="array" ref="I392:L392">_xlfn.XLOOKUP(D392,products!$A$2:$A$49,products!$B$2:$E$49)</f>
        <v>Exc</v>
      </c>
      <c r="J392" t="str">
        <v>D</v>
      </c>
      <c r="K392" s="8">
        <v>0.5</v>
      </c>
      <c r="L392" s="6">
        <v>7.29</v>
      </c>
      <c r="M392" s="7">
        <f t="shared" si="18"/>
        <v>14.58</v>
      </c>
      <c r="N392" t="str">
        <f t="shared" si="19"/>
        <v>Excelsa</v>
      </c>
      <c r="O392" t="str">
        <f t="shared" si="20"/>
        <v>Dark</v>
      </c>
      <c r="P392" t="str">
        <f>_xlfn.XLOOKUP(Orders!C392,Customers!$A$2:$A$1001,Customers!$I$2:$I$1001)</f>
        <v>Yes</v>
      </c>
    </row>
    <row r="393" spans="1:16" x14ac:dyDescent="0.3">
      <c r="A393" t="s">
        <v>790</v>
      </c>
      <c r="B393" s="11">
        <v>44133</v>
      </c>
      <c r="C393" t="s">
        <v>791</v>
      </c>
      <c r="D393" t="s">
        <v>72</v>
      </c>
      <c r="E393">
        <v>2</v>
      </c>
      <c r="F393" t="str">
        <f>_xlfn.XLOOKUP(C393,Customers!$A$2:$A$1001,Customers!$B$2:$B$1001)</f>
        <v>Itch Norquoy</v>
      </c>
      <c r="G393" t="str">
        <f>_xlfn.XLOOKUP(C393,Customers!$A$2:$A$1001,Customers!$C$2:$C$1001)</f>
        <v>inorquoyav@businessweek.com</v>
      </c>
      <c r="H393" t="str">
        <f>_xlfn.XLOOKUP(C393,Customers!$A$2:$A$1001,Customers!$G$2:$G$1001)</f>
        <v>United States</v>
      </c>
      <c r="I393" t="str" cm="1">
        <f t="array" ref="I393:L393">_xlfn.XLOOKUP(D393,products!$A$2:$A$49,products!$B$2:$E$49)</f>
        <v>Ara</v>
      </c>
      <c r="J393" t="str">
        <v>M</v>
      </c>
      <c r="K393" s="8">
        <v>0.5</v>
      </c>
      <c r="L393" s="6">
        <v>6.75</v>
      </c>
      <c r="M393" s="7">
        <f t="shared" si="18"/>
        <v>13.5</v>
      </c>
      <c r="N393" t="str">
        <f t="shared" si="19"/>
        <v>Arasbica</v>
      </c>
      <c r="O393" t="str">
        <f t="shared" si="20"/>
        <v>Medium</v>
      </c>
      <c r="P393" t="str">
        <f>_xlfn.XLOOKUP(Orders!C393,Customers!$A$2:$A$1001,Customers!$I$2:$I$1001)</f>
        <v>No</v>
      </c>
    </row>
    <row r="394" spans="1:16" x14ac:dyDescent="0.3">
      <c r="A394" t="s">
        <v>792</v>
      </c>
      <c r="B394" s="11">
        <v>44445</v>
      </c>
      <c r="C394" t="s">
        <v>793</v>
      </c>
      <c r="D394" t="s">
        <v>142</v>
      </c>
      <c r="E394">
        <v>6</v>
      </c>
      <c r="F394" t="str">
        <f>_xlfn.XLOOKUP(C394,Customers!$A$2:$A$1001,Customers!$B$2:$B$1001)</f>
        <v>Anson Iddison</v>
      </c>
      <c r="G394" t="str">
        <f>_xlfn.XLOOKUP(C394,Customers!$A$2:$A$1001,Customers!$C$2:$C$1001)</f>
        <v>aiddisonaw@usa.gov</v>
      </c>
      <c r="H394" t="str">
        <f>_xlfn.XLOOKUP(C394,Customers!$A$2:$A$1001,Customers!$G$2:$G$1001)</f>
        <v>United States</v>
      </c>
      <c r="I394" t="str" cm="1">
        <f t="array" ref="I394:L394">_xlfn.XLOOKUP(D394,products!$A$2:$A$49,products!$B$2:$E$49)</f>
        <v>Exc</v>
      </c>
      <c r="J394" t="str">
        <v>L</v>
      </c>
      <c r="K394" s="8">
        <v>1</v>
      </c>
      <c r="L394" s="6">
        <v>14.85</v>
      </c>
      <c r="M394" s="7">
        <f t="shared" si="18"/>
        <v>89.1</v>
      </c>
      <c r="N394" t="str">
        <f t="shared" si="19"/>
        <v>Excelsa</v>
      </c>
      <c r="O394" t="str">
        <f t="shared" si="20"/>
        <v>Lite</v>
      </c>
      <c r="P394" t="str">
        <f>_xlfn.XLOOKUP(Orders!C394,Customers!$A$2:$A$1001,Customers!$I$2:$I$1001)</f>
        <v>No</v>
      </c>
    </row>
    <row r="395" spans="1:16" x14ac:dyDescent="0.3">
      <c r="A395" t="s">
        <v>792</v>
      </c>
      <c r="B395" s="11">
        <v>44445</v>
      </c>
      <c r="C395" t="s">
        <v>793</v>
      </c>
      <c r="D395" t="s">
        <v>120</v>
      </c>
      <c r="E395">
        <v>1</v>
      </c>
      <c r="F395" t="str">
        <f>_xlfn.XLOOKUP(C395,Customers!$A$2:$A$1001,Customers!$B$2:$B$1001)</f>
        <v>Anson Iddison</v>
      </c>
      <c r="G395" t="str">
        <f>_xlfn.XLOOKUP(C395,Customers!$A$2:$A$1001,Customers!$C$2:$C$1001)</f>
        <v>aiddisonaw@usa.gov</v>
      </c>
      <c r="H395" t="str">
        <f>_xlfn.XLOOKUP(C395,Customers!$A$2:$A$1001,Customers!$G$2:$G$1001)</f>
        <v>United States</v>
      </c>
      <c r="I395" t="str" cm="1">
        <f t="array" ref="I395:L395">_xlfn.XLOOKUP(D395,products!$A$2:$A$49,products!$B$2:$E$49)</f>
        <v>Ara</v>
      </c>
      <c r="J395" t="str">
        <v>L</v>
      </c>
      <c r="K395" s="8">
        <v>0.2</v>
      </c>
      <c r="L395" s="6">
        <v>3.8849999999999998</v>
      </c>
      <c r="M395" s="7">
        <f t="shared" si="18"/>
        <v>3.8849999999999998</v>
      </c>
      <c r="N395" t="str">
        <f t="shared" si="19"/>
        <v>Arasbica</v>
      </c>
      <c r="O395" t="str">
        <f t="shared" si="20"/>
        <v>Lite</v>
      </c>
      <c r="P395" t="str">
        <f>_xlfn.XLOOKUP(Orders!C395,Customers!$A$2:$A$1001,Customers!$I$2:$I$1001)</f>
        <v>No</v>
      </c>
    </row>
    <row r="396" spans="1:16" x14ac:dyDescent="0.3">
      <c r="A396" t="s">
        <v>794</v>
      </c>
      <c r="B396" s="11">
        <v>44083</v>
      </c>
      <c r="C396" t="s">
        <v>795</v>
      </c>
      <c r="D396" t="s">
        <v>15</v>
      </c>
      <c r="E396">
        <v>4</v>
      </c>
      <c r="F396" t="str">
        <f>_xlfn.XLOOKUP(C396,Customers!$A$2:$A$1001,Customers!$B$2:$B$1001)</f>
        <v>Randal Longfield</v>
      </c>
      <c r="G396" t="str">
        <f>_xlfn.XLOOKUP(C396,Customers!$A$2:$A$1001,Customers!$C$2:$C$1001)</f>
        <v>rlongfielday@bluehost.com</v>
      </c>
      <c r="H396" t="str">
        <f>_xlfn.XLOOKUP(C396,Customers!$A$2:$A$1001,Customers!$G$2:$G$1001)</f>
        <v>United States</v>
      </c>
      <c r="I396" t="str" cm="1">
        <f t="array" ref="I396:L396">_xlfn.XLOOKUP(D396,products!$A$2:$A$49,products!$B$2:$E$49)</f>
        <v>Rob</v>
      </c>
      <c r="J396" t="str">
        <v>L</v>
      </c>
      <c r="K396" s="8">
        <v>2.5</v>
      </c>
      <c r="L396" s="6">
        <v>27.484999999999996</v>
      </c>
      <c r="M396" s="7">
        <f t="shared" si="18"/>
        <v>109.93999999999998</v>
      </c>
      <c r="N396" t="str">
        <f t="shared" si="19"/>
        <v>Robusta</v>
      </c>
      <c r="O396" t="str">
        <f t="shared" si="20"/>
        <v>Lite</v>
      </c>
      <c r="P396" t="str">
        <f>_xlfn.XLOOKUP(Orders!C396,Customers!$A$2:$A$1001,Customers!$I$2:$I$1001)</f>
        <v>No</v>
      </c>
    </row>
    <row r="397" spans="1:16" x14ac:dyDescent="0.3">
      <c r="A397" t="s">
        <v>796</v>
      </c>
      <c r="B397" s="11">
        <v>44465</v>
      </c>
      <c r="C397" t="s">
        <v>797</v>
      </c>
      <c r="D397" t="s">
        <v>128</v>
      </c>
      <c r="E397">
        <v>6</v>
      </c>
      <c r="F397" t="str">
        <f>_xlfn.XLOOKUP(C397,Customers!$A$2:$A$1001,Customers!$B$2:$B$1001)</f>
        <v>Gregorius Kislingbury</v>
      </c>
      <c r="G397" t="str">
        <f>_xlfn.XLOOKUP(C397,Customers!$A$2:$A$1001,Customers!$C$2:$C$1001)</f>
        <v>gkislingburyaz@samsung.com</v>
      </c>
      <c r="H397" t="str">
        <f>_xlfn.XLOOKUP(C397,Customers!$A$2:$A$1001,Customers!$G$2:$G$1001)</f>
        <v>United States</v>
      </c>
      <c r="I397" t="str" cm="1">
        <f t="array" ref="I397:L397">_xlfn.XLOOKUP(D397,products!$A$2:$A$49,products!$B$2:$E$49)</f>
        <v>Lib</v>
      </c>
      <c r="J397" t="str">
        <v>D</v>
      </c>
      <c r="K397" s="8">
        <v>0.5</v>
      </c>
      <c r="L397" s="6">
        <v>7.77</v>
      </c>
      <c r="M397" s="7">
        <f t="shared" si="18"/>
        <v>46.62</v>
      </c>
      <c r="N397" t="str">
        <f t="shared" si="19"/>
        <v>Liberica</v>
      </c>
      <c r="O397" t="str">
        <f t="shared" si="20"/>
        <v>Dark</v>
      </c>
      <c r="P397" t="str">
        <f>_xlfn.XLOOKUP(Orders!C397,Customers!$A$2:$A$1001,Customers!$I$2:$I$1001)</f>
        <v>Yes</v>
      </c>
    </row>
    <row r="398" spans="1:16" x14ac:dyDescent="0.3">
      <c r="A398" t="s">
        <v>798</v>
      </c>
      <c r="B398" s="11">
        <v>44140</v>
      </c>
      <c r="C398" t="s">
        <v>799</v>
      </c>
      <c r="D398" t="s">
        <v>197</v>
      </c>
      <c r="E398">
        <v>5</v>
      </c>
      <c r="F398" t="str">
        <f>_xlfn.XLOOKUP(C398,Customers!$A$2:$A$1001,Customers!$B$2:$B$1001)</f>
        <v>Xenos Gibbons</v>
      </c>
      <c r="G398" t="str">
        <f>_xlfn.XLOOKUP(C398,Customers!$A$2:$A$1001,Customers!$C$2:$C$1001)</f>
        <v>xgibbonsb0@artisteer.com</v>
      </c>
      <c r="H398" t="str">
        <f>_xlfn.XLOOKUP(C398,Customers!$A$2:$A$1001,Customers!$G$2:$G$1001)</f>
        <v>United States</v>
      </c>
      <c r="I398" t="str" cm="1">
        <f t="array" ref="I398:L398">_xlfn.XLOOKUP(D398,products!$A$2:$A$49,products!$B$2:$E$49)</f>
        <v>Ara</v>
      </c>
      <c r="J398" t="str">
        <v>L</v>
      </c>
      <c r="K398" s="8">
        <v>0.5</v>
      </c>
      <c r="L398" s="6">
        <v>7.77</v>
      </c>
      <c r="M398" s="7">
        <f t="shared" si="18"/>
        <v>38.849999999999994</v>
      </c>
      <c r="N398" t="str">
        <f t="shared" si="19"/>
        <v>Arasbica</v>
      </c>
      <c r="O398" t="str">
        <f t="shared" si="20"/>
        <v>Lite</v>
      </c>
      <c r="P398" t="str">
        <f>_xlfn.XLOOKUP(Orders!C398,Customers!$A$2:$A$1001,Customers!$I$2:$I$1001)</f>
        <v>No</v>
      </c>
    </row>
    <row r="399" spans="1:16" x14ac:dyDescent="0.3">
      <c r="A399" t="s">
        <v>800</v>
      </c>
      <c r="B399" s="11">
        <v>43720</v>
      </c>
      <c r="C399" t="s">
        <v>801</v>
      </c>
      <c r="D399" t="s">
        <v>128</v>
      </c>
      <c r="E399">
        <v>4</v>
      </c>
      <c r="F399" t="str">
        <f>_xlfn.XLOOKUP(C399,Customers!$A$2:$A$1001,Customers!$B$2:$B$1001)</f>
        <v>Fleur Parres</v>
      </c>
      <c r="G399" t="str">
        <f>_xlfn.XLOOKUP(C399,Customers!$A$2:$A$1001,Customers!$C$2:$C$1001)</f>
        <v>fparresb1@imageshack.us</v>
      </c>
      <c r="H399" t="str">
        <f>_xlfn.XLOOKUP(C399,Customers!$A$2:$A$1001,Customers!$G$2:$G$1001)</f>
        <v>United States</v>
      </c>
      <c r="I399" t="str" cm="1">
        <f t="array" ref="I399:L399">_xlfn.XLOOKUP(D399,products!$A$2:$A$49,products!$B$2:$E$49)</f>
        <v>Lib</v>
      </c>
      <c r="J399" t="str">
        <v>D</v>
      </c>
      <c r="K399" s="8">
        <v>0.5</v>
      </c>
      <c r="L399" s="6">
        <v>7.77</v>
      </c>
      <c r="M399" s="7">
        <f t="shared" si="18"/>
        <v>31.08</v>
      </c>
      <c r="N399" t="str">
        <f t="shared" si="19"/>
        <v>Liberica</v>
      </c>
      <c r="O399" t="str">
        <f t="shared" si="20"/>
        <v>Dark</v>
      </c>
      <c r="P399" t="str">
        <f>_xlfn.XLOOKUP(Orders!C399,Customers!$A$2:$A$1001,Customers!$I$2:$I$1001)</f>
        <v>Yes</v>
      </c>
    </row>
    <row r="400" spans="1:16" x14ac:dyDescent="0.3">
      <c r="A400" t="s">
        <v>802</v>
      </c>
      <c r="B400" s="11">
        <v>43677</v>
      </c>
      <c r="C400" t="s">
        <v>803</v>
      </c>
      <c r="D400" t="s">
        <v>59</v>
      </c>
      <c r="E400">
        <v>6</v>
      </c>
      <c r="F400" t="str">
        <f>_xlfn.XLOOKUP(C400,Customers!$A$2:$A$1001,Customers!$B$2:$B$1001)</f>
        <v>Gran Sibray</v>
      </c>
      <c r="G400" t="str">
        <f>_xlfn.XLOOKUP(C400,Customers!$A$2:$A$1001,Customers!$C$2:$C$1001)</f>
        <v>gsibrayb2@wsj.com</v>
      </c>
      <c r="H400" t="str">
        <f>_xlfn.XLOOKUP(C400,Customers!$A$2:$A$1001,Customers!$G$2:$G$1001)</f>
        <v>United States</v>
      </c>
      <c r="I400" t="str" cm="1">
        <f t="array" ref="I400:L400">_xlfn.XLOOKUP(D400,products!$A$2:$A$49,products!$B$2:$E$49)</f>
        <v>Ara</v>
      </c>
      <c r="J400" t="str">
        <v>D</v>
      </c>
      <c r="K400" s="8">
        <v>0.2</v>
      </c>
      <c r="L400" s="6">
        <v>2.9849999999999999</v>
      </c>
      <c r="M400" s="7">
        <f t="shared" si="18"/>
        <v>17.91</v>
      </c>
      <c r="N400" t="str">
        <f t="shared" si="19"/>
        <v>Arasbica</v>
      </c>
      <c r="O400" t="str">
        <f t="shared" si="20"/>
        <v>Dark</v>
      </c>
      <c r="P400" t="str">
        <f>_xlfn.XLOOKUP(Orders!C400,Customers!$A$2:$A$1001,Customers!$I$2:$I$1001)</f>
        <v>Yes</v>
      </c>
    </row>
    <row r="401" spans="1:16" x14ac:dyDescent="0.3">
      <c r="A401" t="s">
        <v>804</v>
      </c>
      <c r="B401" s="11">
        <v>43539</v>
      </c>
      <c r="C401" t="s">
        <v>805</v>
      </c>
      <c r="D401" t="s">
        <v>535</v>
      </c>
      <c r="E401">
        <v>6</v>
      </c>
      <c r="F401" t="str">
        <f>_xlfn.XLOOKUP(C401,Customers!$A$2:$A$1001,Customers!$B$2:$B$1001)</f>
        <v>Ingelbert Hotchkin</v>
      </c>
      <c r="G401" t="str">
        <f>_xlfn.XLOOKUP(C401,Customers!$A$2:$A$1001,Customers!$C$2:$C$1001)</f>
        <v>ihotchkinb3@mit.edu</v>
      </c>
      <c r="H401" t="str">
        <f>_xlfn.XLOOKUP(C401,Customers!$A$2:$A$1001,Customers!$G$2:$G$1001)</f>
        <v>United Kingdom</v>
      </c>
      <c r="I401" t="str" cm="1">
        <f t="array" ref="I401:L401">_xlfn.XLOOKUP(D401,products!$A$2:$A$49,products!$B$2:$E$49)</f>
        <v>Exc</v>
      </c>
      <c r="J401" t="str">
        <v>D</v>
      </c>
      <c r="K401" s="8">
        <v>2.5</v>
      </c>
      <c r="L401" s="6">
        <v>27.945</v>
      </c>
      <c r="M401" s="7">
        <f t="shared" si="18"/>
        <v>167.67000000000002</v>
      </c>
      <c r="N401" t="str">
        <f t="shared" si="19"/>
        <v>Excelsa</v>
      </c>
      <c r="O401" t="str">
        <f t="shared" si="20"/>
        <v>Dark</v>
      </c>
      <c r="P401" t="str">
        <f>_xlfn.XLOOKUP(Orders!C401,Customers!$A$2:$A$1001,Customers!$I$2:$I$1001)</f>
        <v>No</v>
      </c>
    </row>
    <row r="402" spans="1:16" x14ac:dyDescent="0.3">
      <c r="A402" t="s">
        <v>806</v>
      </c>
      <c r="B402" s="11">
        <v>44332</v>
      </c>
      <c r="C402" t="s">
        <v>807</v>
      </c>
      <c r="D402" t="s">
        <v>137</v>
      </c>
      <c r="E402">
        <v>4</v>
      </c>
      <c r="F402" t="str">
        <f>_xlfn.XLOOKUP(C402,Customers!$A$2:$A$1001,Customers!$B$2:$B$1001)</f>
        <v>Neely Broadberrie</v>
      </c>
      <c r="G402" t="str">
        <f>_xlfn.XLOOKUP(C402,Customers!$A$2:$A$1001,Customers!$C$2:$C$1001)</f>
        <v>nbroadberrieb4@gnu.org</v>
      </c>
      <c r="H402" t="str">
        <f>_xlfn.XLOOKUP(C402,Customers!$A$2:$A$1001,Customers!$G$2:$G$1001)</f>
        <v>United States</v>
      </c>
      <c r="I402" t="str" cm="1">
        <f t="array" ref="I402:L402">_xlfn.XLOOKUP(D402,products!$A$2:$A$49,products!$B$2:$E$49)</f>
        <v>Lib</v>
      </c>
      <c r="J402" t="str">
        <v>L</v>
      </c>
      <c r="K402" s="8">
        <v>1</v>
      </c>
      <c r="L402" s="6">
        <v>15.85</v>
      </c>
      <c r="M402" s="7">
        <f t="shared" si="18"/>
        <v>63.4</v>
      </c>
      <c r="N402" t="str">
        <f t="shared" si="19"/>
        <v>Liberica</v>
      </c>
      <c r="O402" t="str">
        <f t="shared" si="20"/>
        <v>Lite</v>
      </c>
      <c r="P402" t="str">
        <f>_xlfn.XLOOKUP(Orders!C402,Customers!$A$2:$A$1001,Customers!$I$2:$I$1001)</f>
        <v>No</v>
      </c>
    </row>
    <row r="403" spans="1:16" x14ac:dyDescent="0.3">
      <c r="A403" t="s">
        <v>808</v>
      </c>
      <c r="B403" s="11">
        <v>43591</v>
      </c>
      <c r="C403" t="s">
        <v>809</v>
      </c>
      <c r="D403" t="s">
        <v>82</v>
      </c>
      <c r="E403">
        <v>2</v>
      </c>
      <c r="F403" t="str">
        <f>_xlfn.XLOOKUP(C403,Customers!$A$2:$A$1001,Customers!$B$2:$B$1001)</f>
        <v>Rutger Pithcock</v>
      </c>
      <c r="G403" t="str">
        <f>_xlfn.XLOOKUP(C403,Customers!$A$2:$A$1001,Customers!$C$2:$C$1001)</f>
        <v>rpithcockb5@yellowbook.com</v>
      </c>
      <c r="H403" t="str">
        <f>_xlfn.XLOOKUP(C403,Customers!$A$2:$A$1001,Customers!$G$2:$G$1001)</f>
        <v>United States</v>
      </c>
      <c r="I403" t="str" cm="1">
        <f t="array" ref="I403:L403">_xlfn.XLOOKUP(D403,products!$A$2:$A$49,products!$B$2:$E$49)</f>
        <v>Lib</v>
      </c>
      <c r="J403" t="str">
        <v>M</v>
      </c>
      <c r="K403" s="8">
        <v>0.2</v>
      </c>
      <c r="L403" s="6">
        <v>4.3650000000000002</v>
      </c>
      <c r="M403" s="7">
        <f t="shared" si="18"/>
        <v>8.73</v>
      </c>
      <c r="N403" t="str">
        <f t="shared" si="19"/>
        <v>Liberica</v>
      </c>
      <c r="O403" t="str">
        <f t="shared" si="20"/>
        <v>Medium</v>
      </c>
      <c r="P403" t="str">
        <f>_xlfn.XLOOKUP(Orders!C403,Customers!$A$2:$A$1001,Customers!$I$2:$I$1001)</f>
        <v>Yes</v>
      </c>
    </row>
    <row r="404" spans="1:16" x14ac:dyDescent="0.3">
      <c r="A404" t="s">
        <v>810</v>
      </c>
      <c r="B404" s="11">
        <v>43502</v>
      </c>
      <c r="C404" t="s">
        <v>811</v>
      </c>
      <c r="D404" t="s">
        <v>184</v>
      </c>
      <c r="E404">
        <v>3</v>
      </c>
      <c r="F404" t="str">
        <f>_xlfn.XLOOKUP(C404,Customers!$A$2:$A$1001,Customers!$B$2:$B$1001)</f>
        <v>Gale Croysdale</v>
      </c>
      <c r="G404" t="str">
        <f>_xlfn.XLOOKUP(C404,Customers!$A$2:$A$1001,Customers!$C$2:$C$1001)</f>
        <v>gcroysdaleb6@nih.gov</v>
      </c>
      <c r="H404" t="str">
        <f>_xlfn.XLOOKUP(C404,Customers!$A$2:$A$1001,Customers!$G$2:$G$1001)</f>
        <v>United States</v>
      </c>
      <c r="I404" t="str" cm="1">
        <f t="array" ref="I404:L404">_xlfn.XLOOKUP(D404,products!$A$2:$A$49,products!$B$2:$E$49)</f>
        <v>Rob</v>
      </c>
      <c r="J404" t="str">
        <v>D</v>
      </c>
      <c r="K404" s="8">
        <v>1</v>
      </c>
      <c r="L404" s="6">
        <v>8.9499999999999993</v>
      </c>
      <c r="M404" s="7">
        <f t="shared" si="18"/>
        <v>26.849999999999998</v>
      </c>
      <c r="N404" t="str">
        <f t="shared" si="19"/>
        <v>Robusta</v>
      </c>
      <c r="O404" t="str">
        <f t="shared" si="20"/>
        <v>Dark</v>
      </c>
      <c r="P404" t="str">
        <f>_xlfn.XLOOKUP(Orders!C404,Customers!$A$2:$A$1001,Customers!$I$2:$I$1001)</f>
        <v>Yes</v>
      </c>
    </row>
    <row r="405" spans="1:16" x14ac:dyDescent="0.3">
      <c r="A405" t="s">
        <v>812</v>
      </c>
      <c r="B405" s="11">
        <v>44295</v>
      </c>
      <c r="C405" t="s">
        <v>813</v>
      </c>
      <c r="D405" t="s">
        <v>24</v>
      </c>
      <c r="E405">
        <v>2</v>
      </c>
      <c r="F405" t="str">
        <f>_xlfn.XLOOKUP(C405,Customers!$A$2:$A$1001,Customers!$B$2:$B$1001)</f>
        <v>Benedetto Gozzett</v>
      </c>
      <c r="G405" t="str">
        <f>_xlfn.XLOOKUP(C405,Customers!$A$2:$A$1001,Customers!$C$2:$C$1001)</f>
        <v>bgozzettb7@github.com</v>
      </c>
      <c r="H405" t="str">
        <f>_xlfn.XLOOKUP(C405,Customers!$A$2:$A$1001,Customers!$G$2:$G$1001)</f>
        <v>United States</v>
      </c>
      <c r="I405" t="str" cm="1">
        <f t="array" ref="I405:L405">_xlfn.XLOOKUP(D405,products!$A$2:$A$49,products!$B$2:$E$49)</f>
        <v>Lib</v>
      </c>
      <c r="J405" t="str">
        <v>L</v>
      </c>
      <c r="K405" s="8">
        <v>0.2</v>
      </c>
      <c r="L405" s="6">
        <v>4.7549999999999999</v>
      </c>
      <c r="M405" s="7">
        <f t="shared" si="18"/>
        <v>9.51</v>
      </c>
      <c r="N405" t="str">
        <f t="shared" si="19"/>
        <v>Liberica</v>
      </c>
      <c r="O405" t="str">
        <f t="shared" si="20"/>
        <v>Lite</v>
      </c>
      <c r="P405" t="str">
        <f>_xlfn.XLOOKUP(Orders!C405,Customers!$A$2:$A$1001,Customers!$I$2:$I$1001)</f>
        <v>No</v>
      </c>
    </row>
    <row r="406" spans="1:16" x14ac:dyDescent="0.3">
      <c r="A406" t="s">
        <v>814</v>
      </c>
      <c r="B406" s="11">
        <v>43971</v>
      </c>
      <c r="C406" t="s">
        <v>815</v>
      </c>
      <c r="D406" t="s">
        <v>32</v>
      </c>
      <c r="E406">
        <v>4</v>
      </c>
      <c r="F406" t="str">
        <f>_xlfn.XLOOKUP(C406,Customers!$A$2:$A$1001,Customers!$B$2:$B$1001)</f>
        <v>Tania Craggs</v>
      </c>
      <c r="G406" t="str">
        <f>_xlfn.XLOOKUP(C406,Customers!$A$2:$A$1001,Customers!$C$2:$C$1001)</f>
        <v>tcraggsb8@house.gov</v>
      </c>
      <c r="H406" t="str">
        <f>_xlfn.XLOOKUP(C406,Customers!$A$2:$A$1001,Customers!$G$2:$G$1001)</f>
        <v>Ireland</v>
      </c>
      <c r="I406" t="str" cm="1">
        <f t="array" ref="I406:L406">_xlfn.XLOOKUP(D406,products!$A$2:$A$49,products!$B$2:$E$49)</f>
        <v>Ara</v>
      </c>
      <c r="J406" t="str">
        <v>D</v>
      </c>
      <c r="K406" s="8">
        <v>1</v>
      </c>
      <c r="L406" s="6">
        <v>9.9499999999999993</v>
      </c>
      <c r="M406" s="7">
        <f t="shared" si="18"/>
        <v>39.799999999999997</v>
      </c>
      <c r="N406" t="str">
        <f t="shared" si="19"/>
        <v>Arasbica</v>
      </c>
      <c r="O406" t="str">
        <f t="shared" si="20"/>
        <v>Dark</v>
      </c>
      <c r="P406" t="str">
        <f>_xlfn.XLOOKUP(Orders!C406,Customers!$A$2:$A$1001,Customers!$I$2:$I$1001)</f>
        <v>No</v>
      </c>
    </row>
    <row r="407" spans="1:16" x14ac:dyDescent="0.3">
      <c r="A407" t="s">
        <v>816</v>
      </c>
      <c r="B407" s="11">
        <v>44167</v>
      </c>
      <c r="C407" t="s">
        <v>817</v>
      </c>
      <c r="D407" t="s">
        <v>8</v>
      </c>
      <c r="E407">
        <v>3</v>
      </c>
      <c r="F407" t="str">
        <f>_xlfn.XLOOKUP(C407,Customers!$A$2:$A$1001,Customers!$B$2:$B$1001)</f>
        <v>Leonie Cullrford</v>
      </c>
      <c r="G407" t="str">
        <f>_xlfn.XLOOKUP(C407,Customers!$A$2:$A$1001,Customers!$C$2:$C$1001)</f>
        <v>lcullrfordb9@xing.com</v>
      </c>
      <c r="H407" t="str">
        <f>_xlfn.XLOOKUP(C407,Customers!$A$2:$A$1001,Customers!$G$2:$G$1001)</f>
        <v>United States</v>
      </c>
      <c r="I407" t="str" cm="1">
        <f t="array" ref="I407:L407">_xlfn.XLOOKUP(D407,products!$A$2:$A$49,products!$B$2:$E$49)</f>
        <v>Exc</v>
      </c>
      <c r="J407" t="str">
        <v>M</v>
      </c>
      <c r="K407" s="8">
        <v>0.5</v>
      </c>
      <c r="L407" s="6">
        <v>8.25</v>
      </c>
      <c r="M407" s="7">
        <f t="shared" si="18"/>
        <v>24.75</v>
      </c>
      <c r="N407" t="str">
        <f t="shared" si="19"/>
        <v>Excelsa</v>
      </c>
      <c r="O407" t="str">
        <f t="shared" si="20"/>
        <v>Medium</v>
      </c>
      <c r="P407" t="str">
        <f>_xlfn.XLOOKUP(Orders!C407,Customers!$A$2:$A$1001,Customers!$I$2:$I$1001)</f>
        <v>Yes</v>
      </c>
    </row>
    <row r="408" spans="1:16" x14ac:dyDescent="0.3">
      <c r="A408" t="s">
        <v>818</v>
      </c>
      <c r="B408" s="11">
        <v>44416</v>
      </c>
      <c r="C408" t="s">
        <v>819</v>
      </c>
      <c r="D408" t="s">
        <v>14</v>
      </c>
      <c r="E408">
        <v>5</v>
      </c>
      <c r="F408" t="str">
        <f>_xlfn.XLOOKUP(C408,Customers!$A$2:$A$1001,Customers!$B$2:$B$1001)</f>
        <v>Auguste Rizon</v>
      </c>
      <c r="G408" t="str">
        <f>_xlfn.XLOOKUP(C408,Customers!$A$2:$A$1001,Customers!$C$2:$C$1001)</f>
        <v>arizonba@xing.com</v>
      </c>
      <c r="H408" t="str">
        <f>_xlfn.XLOOKUP(C408,Customers!$A$2:$A$1001,Customers!$G$2:$G$1001)</f>
        <v>United States</v>
      </c>
      <c r="I408" t="str" cm="1">
        <f t="array" ref="I408:L408">_xlfn.XLOOKUP(D408,products!$A$2:$A$49,products!$B$2:$E$49)</f>
        <v>Exc</v>
      </c>
      <c r="J408" t="str">
        <v>M</v>
      </c>
      <c r="K408" s="8">
        <v>1</v>
      </c>
      <c r="L408" s="6">
        <v>13.75</v>
      </c>
      <c r="M408" s="7">
        <f t="shared" si="18"/>
        <v>68.75</v>
      </c>
      <c r="N408" t="str">
        <f t="shared" si="19"/>
        <v>Excelsa</v>
      </c>
      <c r="O408" t="str">
        <f t="shared" si="20"/>
        <v>Medium</v>
      </c>
      <c r="P408" t="str">
        <f>_xlfn.XLOOKUP(Orders!C408,Customers!$A$2:$A$1001,Customers!$I$2:$I$1001)</f>
        <v>Yes</v>
      </c>
    </row>
    <row r="409" spans="1:16" x14ac:dyDescent="0.3">
      <c r="A409" t="s">
        <v>820</v>
      </c>
      <c r="B409" s="11">
        <v>44595</v>
      </c>
      <c r="C409" t="s">
        <v>821</v>
      </c>
      <c r="D409" t="s">
        <v>8</v>
      </c>
      <c r="E409">
        <v>6</v>
      </c>
      <c r="F409" t="str">
        <f>_xlfn.XLOOKUP(C409,Customers!$A$2:$A$1001,Customers!$B$2:$B$1001)</f>
        <v>Lorin Guerrazzi</v>
      </c>
      <c r="G409">
        <f>_xlfn.XLOOKUP(C409,Customers!$A$2:$A$1001,Customers!$C$2:$C$1001)</f>
        <v>0</v>
      </c>
      <c r="H409" t="str">
        <f>_xlfn.XLOOKUP(C409,Customers!$A$2:$A$1001,Customers!$G$2:$G$1001)</f>
        <v>Ireland</v>
      </c>
      <c r="I409" t="str" cm="1">
        <f t="array" ref="I409:L409">_xlfn.XLOOKUP(D409,products!$A$2:$A$49,products!$B$2:$E$49)</f>
        <v>Exc</v>
      </c>
      <c r="J409" t="str">
        <v>M</v>
      </c>
      <c r="K409" s="8">
        <v>0.5</v>
      </c>
      <c r="L409" s="6">
        <v>8.25</v>
      </c>
      <c r="M409" s="7">
        <f t="shared" si="18"/>
        <v>49.5</v>
      </c>
      <c r="N409" t="str">
        <f t="shared" si="19"/>
        <v>Excelsa</v>
      </c>
      <c r="O409" t="str">
        <f t="shared" si="20"/>
        <v>Medium</v>
      </c>
      <c r="P409" t="str">
        <f>_xlfn.XLOOKUP(Orders!C409,Customers!$A$2:$A$1001,Customers!$I$2:$I$1001)</f>
        <v>No</v>
      </c>
    </row>
    <row r="410" spans="1:16" x14ac:dyDescent="0.3">
      <c r="A410" t="s">
        <v>822</v>
      </c>
      <c r="B410" s="11">
        <v>44659</v>
      </c>
      <c r="C410" t="s">
        <v>823</v>
      </c>
      <c r="D410" t="s">
        <v>176</v>
      </c>
      <c r="E410">
        <v>2</v>
      </c>
      <c r="F410" t="str">
        <f>_xlfn.XLOOKUP(C410,Customers!$A$2:$A$1001,Customers!$B$2:$B$1001)</f>
        <v>Felice Miell</v>
      </c>
      <c r="G410" t="str">
        <f>_xlfn.XLOOKUP(C410,Customers!$A$2:$A$1001,Customers!$C$2:$C$1001)</f>
        <v>fmiellbc@spiegel.de</v>
      </c>
      <c r="H410" t="str">
        <f>_xlfn.XLOOKUP(C410,Customers!$A$2:$A$1001,Customers!$G$2:$G$1001)</f>
        <v>United States</v>
      </c>
      <c r="I410" t="str" cm="1">
        <f t="array" ref="I410:L410">_xlfn.XLOOKUP(D410,products!$A$2:$A$49,products!$B$2:$E$49)</f>
        <v>Ara</v>
      </c>
      <c r="J410" t="str">
        <v>M</v>
      </c>
      <c r="K410" s="8">
        <v>2.5</v>
      </c>
      <c r="L410" s="6">
        <v>25.874999999999996</v>
      </c>
      <c r="M410" s="7">
        <f t="shared" si="18"/>
        <v>51.749999999999993</v>
      </c>
      <c r="N410" t="str">
        <f t="shared" si="19"/>
        <v>Arasbica</v>
      </c>
      <c r="O410" t="str">
        <f t="shared" si="20"/>
        <v>Medium</v>
      </c>
      <c r="P410" t="str">
        <f>_xlfn.XLOOKUP(Orders!C410,Customers!$A$2:$A$1001,Customers!$I$2:$I$1001)</f>
        <v>Yes</v>
      </c>
    </row>
    <row r="411" spans="1:16" x14ac:dyDescent="0.3">
      <c r="A411" t="s">
        <v>824</v>
      </c>
      <c r="B411" s="11">
        <v>44203</v>
      </c>
      <c r="C411" t="s">
        <v>825</v>
      </c>
      <c r="D411" t="s">
        <v>137</v>
      </c>
      <c r="E411">
        <v>3</v>
      </c>
      <c r="F411" t="str">
        <f>_xlfn.XLOOKUP(C411,Customers!$A$2:$A$1001,Customers!$B$2:$B$1001)</f>
        <v>Hamish Skeech</v>
      </c>
      <c r="G411">
        <f>_xlfn.XLOOKUP(C411,Customers!$A$2:$A$1001,Customers!$C$2:$C$1001)</f>
        <v>0</v>
      </c>
      <c r="H411" t="str">
        <f>_xlfn.XLOOKUP(C411,Customers!$A$2:$A$1001,Customers!$G$2:$G$1001)</f>
        <v>Ireland</v>
      </c>
      <c r="I411" t="str" cm="1">
        <f t="array" ref="I411:L411">_xlfn.XLOOKUP(D411,products!$A$2:$A$49,products!$B$2:$E$49)</f>
        <v>Lib</v>
      </c>
      <c r="J411" t="str">
        <v>L</v>
      </c>
      <c r="K411" s="8">
        <v>1</v>
      </c>
      <c r="L411" s="6">
        <v>15.85</v>
      </c>
      <c r="M411" s="7">
        <f t="shared" si="18"/>
        <v>47.55</v>
      </c>
      <c r="N411" t="str">
        <f t="shared" si="19"/>
        <v>Liberica</v>
      </c>
      <c r="O411" t="str">
        <f t="shared" si="20"/>
        <v>Lite</v>
      </c>
      <c r="P411" t="str">
        <f>_xlfn.XLOOKUP(Orders!C411,Customers!$A$2:$A$1001,Customers!$I$2:$I$1001)</f>
        <v>Yes</v>
      </c>
    </row>
    <row r="412" spans="1:16" x14ac:dyDescent="0.3">
      <c r="A412" t="s">
        <v>826</v>
      </c>
      <c r="B412" s="11">
        <v>44441</v>
      </c>
      <c r="C412" t="s">
        <v>827</v>
      </c>
      <c r="D412" t="s">
        <v>120</v>
      </c>
      <c r="E412">
        <v>4</v>
      </c>
      <c r="F412" t="str">
        <f>_xlfn.XLOOKUP(C412,Customers!$A$2:$A$1001,Customers!$B$2:$B$1001)</f>
        <v>Giordano Lorenzin</v>
      </c>
      <c r="G412">
        <f>_xlfn.XLOOKUP(C412,Customers!$A$2:$A$1001,Customers!$C$2:$C$1001)</f>
        <v>0</v>
      </c>
      <c r="H412" t="str">
        <f>_xlfn.XLOOKUP(C412,Customers!$A$2:$A$1001,Customers!$G$2:$G$1001)</f>
        <v>United States</v>
      </c>
      <c r="I412" t="str" cm="1">
        <f t="array" ref="I412:L412">_xlfn.XLOOKUP(D412,products!$A$2:$A$49,products!$B$2:$E$49)</f>
        <v>Ara</v>
      </c>
      <c r="J412" t="str">
        <v>L</v>
      </c>
      <c r="K412" s="8">
        <v>0.2</v>
      </c>
      <c r="L412" s="6">
        <v>3.8849999999999998</v>
      </c>
      <c r="M412" s="7">
        <f t="shared" si="18"/>
        <v>15.54</v>
      </c>
      <c r="N412" t="str">
        <f t="shared" si="19"/>
        <v>Arasbica</v>
      </c>
      <c r="O412" t="str">
        <f t="shared" si="20"/>
        <v>Lite</v>
      </c>
      <c r="P412" t="str">
        <f>_xlfn.XLOOKUP(Orders!C412,Customers!$A$2:$A$1001,Customers!$I$2:$I$1001)</f>
        <v>No</v>
      </c>
    </row>
    <row r="413" spans="1:16" x14ac:dyDescent="0.3">
      <c r="A413" t="s">
        <v>828</v>
      </c>
      <c r="B413" s="11">
        <v>44504</v>
      </c>
      <c r="C413" t="s">
        <v>829</v>
      </c>
      <c r="D413" t="s">
        <v>101</v>
      </c>
      <c r="E413">
        <v>6</v>
      </c>
      <c r="F413" t="str">
        <f>_xlfn.XLOOKUP(C413,Customers!$A$2:$A$1001,Customers!$B$2:$B$1001)</f>
        <v>Harwilll Bishell</v>
      </c>
      <c r="G413">
        <f>_xlfn.XLOOKUP(C413,Customers!$A$2:$A$1001,Customers!$C$2:$C$1001)</f>
        <v>0</v>
      </c>
      <c r="H413" t="str">
        <f>_xlfn.XLOOKUP(C413,Customers!$A$2:$A$1001,Customers!$G$2:$G$1001)</f>
        <v>United States</v>
      </c>
      <c r="I413" t="str" cm="1">
        <f t="array" ref="I413:L413">_xlfn.XLOOKUP(D413,products!$A$2:$A$49,products!$B$2:$E$49)</f>
        <v>Lib</v>
      </c>
      <c r="J413" t="str">
        <v>M</v>
      </c>
      <c r="K413" s="8">
        <v>1</v>
      </c>
      <c r="L413" s="6">
        <v>14.55</v>
      </c>
      <c r="M413" s="7">
        <f t="shared" si="18"/>
        <v>87.300000000000011</v>
      </c>
      <c r="N413" t="str">
        <f t="shared" si="19"/>
        <v>Liberica</v>
      </c>
      <c r="O413" t="str">
        <f t="shared" si="20"/>
        <v>Medium</v>
      </c>
      <c r="P413" t="str">
        <f>_xlfn.XLOOKUP(Orders!C413,Customers!$A$2:$A$1001,Customers!$I$2:$I$1001)</f>
        <v>Yes</v>
      </c>
    </row>
    <row r="414" spans="1:16" x14ac:dyDescent="0.3">
      <c r="A414" t="s">
        <v>830</v>
      </c>
      <c r="B414" s="11">
        <v>44410</v>
      </c>
      <c r="C414" t="s">
        <v>831</v>
      </c>
      <c r="D414" t="s">
        <v>66</v>
      </c>
      <c r="E414">
        <v>5</v>
      </c>
      <c r="F414" t="str">
        <f>_xlfn.XLOOKUP(C414,Customers!$A$2:$A$1001,Customers!$B$2:$B$1001)</f>
        <v>Freeland Missenden</v>
      </c>
      <c r="G414">
        <f>_xlfn.XLOOKUP(C414,Customers!$A$2:$A$1001,Customers!$C$2:$C$1001)</f>
        <v>0</v>
      </c>
      <c r="H414" t="str">
        <f>_xlfn.XLOOKUP(C414,Customers!$A$2:$A$1001,Customers!$G$2:$G$1001)</f>
        <v>United States</v>
      </c>
      <c r="I414" t="str" cm="1">
        <f t="array" ref="I414:L414">_xlfn.XLOOKUP(D414,products!$A$2:$A$49,products!$B$2:$E$49)</f>
        <v>Ara</v>
      </c>
      <c r="J414" t="str">
        <v>M</v>
      </c>
      <c r="K414" s="8">
        <v>1</v>
      </c>
      <c r="L414" s="6">
        <v>11.25</v>
      </c>
      <c r="M414" s="7">
        <f t="shared" si="18"/>
        <v>56.25</v>
      </c>
      <c r="N414" t="str">
        <f t="shared" si="19"/>
        <v>Arasbica</v>
      </c>
      <c r="O414" t="str">
        <f t="shared" si="20"/>
        <v>Medium</v>
      </c>
      <c r="P414" t="str">
        <f>_xlfn.XLOOKUP(Orders!C414,Customers!$A$2:$A$1001,Customers!$I$2:$I$1001)</f>
        <v>Yes</v>
      </c>
    </row>
    <row r="415" spans="1:16" x14ac:dyDescent="0.3">
      <c r="A415" t="s">
        <v>832</v>
      </c>
      <c r="B415" s="11">
        <v>43857</v>
      </c>
      <c r="C415" t="s">
        <v>833</v>
      </c>
      <c r="D415" t="s">
        <v>109</v>
      </c>
      <c r="E415">
        <v>1</v>
      </c>
      <c r="F415" t="str">
        <f>_xlfn.XLOOKUP(C415,Customers!$A$2:$A$1001,Customers!$B$2:$B$1001)</f>
        <v>Waylan Springall</v>
      </c>
      <c r="G415" t="str">
        <f>_xlfn.XLOOKUP(C415,Customers!$A$2:$A$1001,Customers!$C$2:$C$1001)</f>
        <v>wspringallbh@jugem.jp</v>
      </c>
      <c r="H415" t="str">
        <f>_xlfn.XLOOKUP(C415,Customers!$A$2:$A$1001,Customers!$G$2:$G$1001)</f>
        <v>United States</v>
      </c>
      <c r="I415" t="str" cm="1">
        <f t="array" ref="I415:L415">_xlfn.XLOOKUP(D415,products!$A$2:$A$49,products!$B$2:$E$49)</f>
        <v>Lib</v>
      </c>
      <c r="J415" t="str">
        <v>L</v>
      </c>
      <c r="K415" s="8">
        <v>2.5</v>
      </c>
      <c r="L415" s="6">
        <v>36.454999999999998</v>
      </c>
      <c r="M415" s="7">
        <f t="shared" si="18"/>
        <v>36.454999999999998</v>
      </c>
      <c r="N415" t="str">
        <f t="shared" si="19"/>
        <v>Liberica</v>
      </c>
      <c r="O415" t="str">
        <f t="shared" si="20"/>
        <v>Lite</v>
      </c>
      <c r="P415" t="str">
        <f>_xlfn.XLOOKUP(Orders!C415,Customers!$A$2:$A$1001,Customers!$I$2:$I$1001)</f>
        <v>Yes</v>
      </c>
    </row>
    <row r="416" spans="1:16" x14ac:dyDescent="0.3">
      <c r="A416" t="s">
        <v>834</v>
      </c>
      <c r="B416" s="11">
        <v>43802</v>
      </c>
      <c r="C416" t="s">
        <v>835</v>
      </c>
      <c r="D416" t="s">
        <v>187</v>
      </c>
      <c r="E416">
        <v>3</v>
      </c>
      <c r="F416" t="str">
        <f>_xlfn.XLOOKUP(C416,Customers!$A$2:$A$1001,Customers!$B$2:$B$1001)</f>
        <v>Kiri Avramow</v>
      </c>
      <c r="G416">
        <f>_xlfn.XLOOKUP(C416,Customers!$A$2:$A$1001,Customers!$C$2:$C$1001)</f>
        <v>0</v>
      </c>
      <c r="H416" t="str">
        <f>_xlfn.XLOOKUP(C416,Customers!$A$2:$A$1001,Customers!$G$2:$G$1001)</f>
        <v>United States</v>
      </c>
      <c r="I416" t="str" cm="1">
        <f t="array" ref="I416:L416">_xlfn.XLOOKUP(D416,products!$A$2:$A$49,products!$B$2:$E$49)</f>
        <v>Rob</v>
      </c>
      <c r="J416" t="str">
        <v>L</v>
      </c>
      <c r="K416" s="8">
        <v>0.2</v>
      </c>
      <c r="L416" s="6">
        <v>3.5849999999999995</v>
      </c>
      <c r="M416" s="7">
        <f t="shared" si="18"/>
        <v>10.754999999999999</v>
      </c>
      <c r="N416" t="str">
        <f t="shared" si="19"/>
        <v>Robusta</v>
      </c>
      <c r="O416" t="str">
        <f t="shared" si="20"/>
        <v>Lite</v>
      </c>
      <c r="P416" t="str">
        <f>_xlfn.XLOOKUP(Orders!C416,Customers!$A$2:$A$1001,Customers!$I$2:$I$1001)</f>
        <v>Yes</v>
      </c>
    </row>
    <row r="417" spans="1:16" x14ac:dyDescent="0.3">
      <c r="A417" t="s">
        <v>836</v>
      </c>
      <c r="B417" s="11">
        <v>43683</v>
      </c>
      <c r="C417" t="s">
        <v>837</v>
      </c>
      <c r="D417" t="s">
        <v>167</v>
      </c>
      <c r="E417">
        <v>3</v>
      </c>
      <c r="F417" t="str">
        <f>_xlfn.XLOOKUP(C417,Customers!$A$2:$A$1001,Customers!$B$2:$B$1001)</f>
        <v>Gregg Hawkyens</v>
      </c>
      <c r="G417" t="str">
        <f>_xlfn.XLOOKUP(C417,Customers!$A$2:$A$1001,Customers!$C$2:$C$1001)</f>
        <v>ghawkyensbj@census.gov</v>
      </c>
      <c r="H417" t="str">
        <f>_xlfn.XLOOKUP(C417,Customers!$A$2:$A$1001,Customers!$G$2:$G$1001)</f>
        <v>United States</v>
      </c>
      <c r="I417" t="str" cm="1">
        <f t="array" ref="I417:L417">_xlfn.XLOOKUP(D417,products!$A$2:$A$49,products!$B$2:$E$49)</f>
        <v>Rob</v>
      </c>
      <c r="J417" t="str">
        <v>M</v>
      </c>
      <c r="K417" s="8">
        <v>0.2</v>
      </c>
      <c r="L417" s="6">
        <v>2.9849999999999999</v>
      </c>
      <c r="M417" s="7">
        <f t="shared" si="18"/>
        <v>8.9550000000000001</v>
      </c>
      <c r="N417" t="str">
        <f t="shared" si="19"/>
        <v>Robusta</v>
      </c>
      <c r="O417" t="str">
        <f t="shared" si="20"/>
        <v>Medium</v>
      </c>
      <c r="P417" t="str">
        <f>_xlfn.XLOOKUP(Orders!C417,Customers!$A$2:$A$1001,Customers!$I$2:$I$1001)</f>
        <v>No</v>
      </c>
    </row>
    <row r="418" spans="1:16" x14ac:dyDescent="0.3">
      <c r="A418" t="s">
        <v>838</v>
      </c>
      <c r="B418" s="11">
        <v>43901</v>
      </c>
      <c r="C418" t="s">
        <v>839</v>
      </c>
      <c r="D418" t="s">
        <v>197</v>
      </c>
      <c r="E418">
        <v>3</v>
      </c>
      <c r="F418" t="str">
        <f>_xlfn.XLOOKUP(C418,Customers!$A$2:$A$1001,Customers!$B$2:$B$1001)</f>
        <v>Reggis Pracy</v>
      </c>
      <c r="G418">
        <f>_xlfn.XLOOKUP(C418,Customers!$A$2:$A$1001,Customers!$C$2:$C$1001)</f>
        <v>0</v>
      </c>
      <c r="H418" t="str">
        <f>_xlfn.XLOOKUP(C418,Customers!$A$2:$A$1001,Customers!$G$2:$G$1001)</f>
        <v>United States</v>
      </c>
      <c r="I418" t="str" cm="1">
        <f t="array" ref="I418:L418">_xlfn.XLOOKUP(D418,products!$A$2:$A$49,products!$B$2:$E$49)</f>
        <v>Ara</v>
      </c>
      <c r="J418" t="str">
        <v>L</v>
      </c>
      <c r="K418" s="8">
        <v>0.5</v>
      </c>
      <c r="L418" s="6">
        <v>7.77</v>
      </c>
      <c r="M418" s="7">
        <f t="shared" si="18"/>
        <v>23.31</v>
      </c>
      <c r="N418" t="str">
        <f t="shared" si="19"/>
        <v>Arasbica</v>
      </c>
      <c r="O418" t="str">
        <f t="shared" si="20"/>
        <v>Lite</v>
      </c>
      <c r="P418" t="str">
        <f>_xlfn.XLOOKUP(Orders!C418,Customers!$A$2:$A$1001,Customers!$I$2:$I$1001)</f>
        <v>Yes</v>
      </c>
    </row>
    <row r="419" spans="1:16" x14ac:dyDescent="0.3">
      <c r="A419" t="s">
        <v>840</v>
      </c>
      <c r="B419" s="11">
        <v>44457</v>
      </c>
      <c r="C419" t="s">
        <v>841</v>
      </c>
      <c r="D419" t="s">
        <v>209</v>
      </c>
      <c r="E419">
        <v>1</v>
      </c>
      <c r="F419" t="str">
        <f>_xlfn.XLOOKUP(C419,Customers!$A$2:$A$1001,Customers!$B$2:$B$1001)</f>
        <v>Paula Denis</v>
      </c>
      <c r="G419">
        <f>_xlfn.XLOOKUP(C419,Customers!$A$2:$A$1001,Customers!$C$2:$C$1001)</f>
        <v>0</v>
      </c>
      <c r="H419" t="str">
        <f>_xlfn.XLOOKUP(C419,Customers!$A$2:$A$1001,Customers!$G$2:$G$1001)</f>
        <v>United States</v>
      </c>
      <c r="I419" t="str" cm="1">
        <f t="array" ref="I419:L419">_xlfn.XLOOKUP(D419,products!$A$2:$A$49,products!$B$2:$E$49)</f>
        <v>Ara</v>
      </c>
      <c r="J419" t="str">
        <v>L</v>
      </c>
      <c r="K419" s="8">
        <v>2.5</v>
      </c>
      <c r="L419" s="6">
        <v>29.784999999999997</v>
      </c>
      <c r="M419" s="7">
        <f t="shared" si="18"/>
        <v>29.784999999999997</v>
      </c>
      <c r="N419" t="str">
        <f t="shared" si="19"/>
        <v>Arasbica</v>
      </c>
      <c r="O419" t="str">
        <f t="shared" si="20"/>
        <v>Lite</v>
      </c>
      <c r="P419" t="str">
        <f>_xlfn.XLOOKUP(Orders!C419,Customers!$A$2:$A$1001,Customers!$I$2:$I$1001)</f>
        <v>Yes</v>
      </c>
    </row>
    <row r="420" spans="1:16" x14ac:dyDescent="0.3">
      <c r="A420" t="s">
        <v>842</v>
      </c>
      <c r="B420" s="11">
        <v>44142</v>
      </c>
      <c r="C420" t="s">
        <v>843</v>
      </c>
      <c r="D420" t="s">
        <v>209</v>
      </c>
      <c r="E420">
        <v>5</v>
      </c>
      <c r="F420" t="str">
        <f>_xlfn.XLOOKUP(C420,Customers!$A$2:$A$1001,Customers!$B$2:$B$1001)</f>
        <v>Broderick McGilvra</v>
      </c>
      <c r="G420" t="str">
        <f>_xlfn.XLOOKUP(C420,Customers!$A$2:$A$1001,Customers!$C$2:$C$1001)</f>
        <v>bmcgilvrabm@so-net.ne.jp</v>
      </c>
      <c r="H420" t="str">
        <f>_xlfn.XLOOKUP(C420,Customers!$A$2:$A$1001,Customers!$G$2:$G$1001)</f>
        <v>United States</v>
      </c>
      <c r="I420" t="str" cm="1">
        <f t="array" ref="I420:L420">_xlfn.XLOOKUP(D420,products!$A$2:$A$49,products!$B$2:$E$49)</f>
        <v>Ara</v>
      </c>
      <c r="J420" t="str">
        <v>L</v>
      </c>
      <c r="K420" s="8">
        <v>2.5</v>
      </c>
      <c r="L420" s="6">
        <v>29.784999999999997</v>
      </c>
      <c r="M420" s="7">
        <f t="shared" si="18"/>
        <v>148.92499999999998</v>
      </c>
      <c r="N420" t="str">
        <f t="shared" si="19"/>
        <v>Arasbica</v>
      </c>
      <c r="O420" t="str">
        <f t="shared" si="20"/>
        <v>Lite</v>
      </c>
      <c r="P420" t="str">
        <f>_xlfn.XLOOKUP(Orders!C420,Customers!$A$2:$A$1001,Customers!$I$2:$I$1001)</f>
        <v>Yes</v>
      </c>
    </row>
    <row r="421" spans="1:16" x14ac:dyDescent="0.3">
      <c r="A421" t="s">
        <v>844</v>
      </c>
      <c r="B421" s="11">
        <v>44739</v>
      </c>
      <c r="C421" t="s">
        <v>845</v>
      </c>
      <c r="D421" t="s">
        <v>83</v>
      </c>
      <c r="E421">
        <v>1</v>
      </c>
      <c r="F421" t="str">
        <f>_xlfn.XLOOKUP(C421,Customers!$A$2:$A$1001,Customers!$B$2:$B$1001)</f>
        <v>Annabella Danzey</v>
      </c>
      <c r="G421" t="str">
        <f>_xlfn.XLOOKUP(C421,Customers!$A$2:$A$1001,Customers!$C$2:$C$1001)</f>
        <v>adanzeybn@github.com</v>
      </c>
      <c r="H421" t="str">
        <f>_xlfn.XLOOKUP(C421,Customers!$A$2:$A$1001,Customers!$G$2:$G$1001)</f>
        <v>United States</v>
      </c>
      <c r="I421" t="str" cm="1">
        <f t="array" ref="I421:L421">_xlfn.XLOOKUP(D421,products!$A$2:$A$49,products!$B$2:$E$49)</f>
        <v>Lib</v>
      </c>
      <c r="J421" t="str">
        <v>M</v>
      </c>
      <c r="K421" s="8">
        <v>0.5</v>
      </c>
      <c r="L421" s="6">
        <v>8.73</v>
      </c>
      <c r="M421" s="7">
        <f t="shared" si="18"/>
        <v>8.73</v>
      </c>
      <c r="N421" t="str">
        <f t="shared" si="19"/>
        <v>Liberica</v>
      </c>
      <c r="O421" t="str">
        <f t="shared" si="20"/>
        <v>Medium</v>
      </c>
      <c r="P421" t="str">
        <f>_xlfn.XLOOKUP(Orders!C421,Customers!$A$2:$A$1001,Customers!$I$2:$I$1001)</f>
        <v>Yes</v>
      </c>
    </row>
    <row r="422" spans="1:16" x14ac:dyDescent="0.3">
      <c r="A422" t="s">
        <v>846</v>
      </c>
      <c r="B422" s="11">
        <v>43866</v>
      </c>
      <c r="C422" t="s">
        <v>754</v>
      </c>
      <c r="D422" t="s">
        <v>128</v>
      </c>
      <c r="E422">
        <v>4</v>
      </c>
      <c r="F422" t="str">
        <f>_xlfn.XLOOKUP(C422,Customers!$A$2:$A$1001,Customers!$B$2:$B$1001)</f>
        <v>Terri Farra</v>
      </c>
      <c r="G422" t="str">
        <f>_xlfn.XLOOKUP(C422,Customers!$A$2:$A$1001,Customers!$C$2:$C$1001)</f>
        <v>tfarraac@behance.net</v>
      </c>
      <c r="H422" t="str">
        <f>_xlfn.XLOOKUP(C422,Customers!$A$2:$A$1001,Customers!$G$2:$G$1001)</f>
        <v>United States</v>
      </c>
      <c r="I422" t="str" cm="1">
        <f t="array" ref="I422:L422">_xlfn.XLOOKUP(D422,products!$A$2:$A$49,products!$B$2:$E$49)</f>
        <v>Lib</v>
      </c>
      <c r="J422" t="str">
        <v>D</v>
      </c>
      <c r="K422" s="8">
        <v>0.5</v>
      </c>
      <c r="L422" s="6">
        <v>7.77</v>
      </c>
      <c r="M422" s="7">
        <f t="shared" si="18"/>
        <v>31.08</v>
      </c>
      <c r="N422" t="str">
        <f t="shared" si="19"/>
        <v>Liberica</v>
      </c>
      <c r="O422" t="str">
        <f t="shared" si="20"/>
        <v>Dark</v>
      </c>
      <c r="P422" t="str">
        <f>_xlfn.XLOOKUP(Orders!C422,Customers!$A$2:$A$1001,Customers!$I$2:$I$1001)</f>
        <v>No</v>
      </c>
    </row>
    <row r="423" spans="1:16" x14ac:dyDescent="0.3">
      <c r="A423" t="s">
        <v>846</v>
      </c>
      <c r="B423" s="11">
        <v>43866</v>
      </c>
      <c r="C423" t="s">
        <v>754</v>
      </c>
      <c r="D423" t="s">
        <v>123</v>
      </c>
      <c r="E423">
        <v>6</v>
      </c>
      <c r="F423" t="str">
        <f>_xlfn.XLOOKUP(C423,Customers!$A$2:$A$1001,Customers!$B$2:$B$1001)</f>
        <v>Terri Farra</v>
      </c>
      <c r="G423" t="str">
        <f>_xlfn.XLOOKUP(C423,Customers!$A$2:$A$1001,Customers!$C$2:$C$1001)</f>
        <v>tfarraac@behance.net</v>
      </c>
      <c r="H423" t="str">
        <f>_xlfn.XLOOKUP(C423,Customers!$A$2:$A$1001,Customers!$G$2:$G$1001)</f>
        <v>United States</v>
      </c>
      <c r="I423" t="str" cm="1">
        <f t="array" ref="I423:L423">_xlfn.XLOOKUP(D423,products!$A$2:$A$49,products!$B$2:$E$49)</f>
        <v>Ara</v>
      </c>
      <c r="J423" t="str">
        <v>D</v>
      </c>
      <c r="K423" s="8">
        <v>2.5</v>
      </c>
      <c r="L423" s="6">
        <v>22.884999999999998</v>
      </c>
      <c r="M423" s="7">
        <f t="shared" si="18"/>
        <v>137.31</v>
      </c>
      <c r="N423" t="str">
        <f t="shared" si="19"/>
        <v>Arasbica</v>
      </c>
      <c r="O423" t="str">
        <f t="shared" si="20"/>
        <v>Dark</v>
      </c>
      <c r="P423" t="str">
        <f>_xlfn.XLOOKUP(Orders!C423,Customers!$A$2:$A$1001,Customers!$I$2:$I$1001)</f>
        <v>No</v>
      </c>
    </row>
    <row r="424" spans="1:16" x14ac:dyDescent="0.3">
      <c r="A424" t="s">
        <v>847</v>
      </c>
      <c r="B424" s="11">
        <v>43868</v>
      </c>
      <c r="C424" t="s">
        <v>848</v>
      </c>
      <c r="D424" t="s">
        <v>77</v>
      </c>
      <c r="E424">
        <v>5</v>
      </c>
      <c r="F424" t="str">
        <f>_xlfn.XLOOKUP(C424,Customers!$A$2:$A$1001,Customers!$B$2:$B$1001)</f>
        <v>Nevins Glowacz</v>
      </c>
      <c r="G424">
        <f>_xlfn.XLOOKUP(C424,Customers!$A$2:$A$1001,Customers!$C$2:$C$1001)</f>
        <v>0</v>
      </c>
      <c r="H424" t="str">
        <f>_xlfn.XLOOKUP(C424,Customers!$A$2:$A$1001,Customers!$G$2:$G$1001)</f>
        <v>United States</v>
      </c>
      <c r="I424" t="str" cm="1">
        <f t="array" ref="I424:L424">_xlfn.XLOOKUP(D424,products!$A$2:$A$49,products!$B$2:$E$49)</f>
        <v>Ara</v>
      </c>
      <c r="J424" t="str">
        <v>D</v>
      </c>
      <c r="K424" s="8">
        <v>0.5</v>
      </c>
      <c r="L424" s="6">
        <v>5.97</v>
      </c>
      <c r="M424" s="7">
        <f t="shared" si="18"/>
        <v>29.849999999999998</v>
      </c>
      <c r="N424" t="str">
        <f t="shared" si="19"/>
        <v>Arasbica</v>
      </c>
      <c r="O424" t="str">
        <f t="shared" si="20"/>
        <v>Dark</v>
      </c>
      <c r="P424" t="str">
        <f>_xlfn.XLOOKUP(Orders!C424,Customers!$A$2:$A$1001,Customers!$I$2:$I$1001)</f>
        <v>No</v>
      </c>
    </row>
    <row r="425" spans="1:16" x14ac:dyDescent="0.3">
      <c r="A425" t="s">
        <v>849</v>
      </c>
      <c r="B425" s="11">
        <v>44183</v>
      </c>
      <c r="C425" t="s">
        <v>850</v>
      </c>
      <c r="D425" t="s">
        <v>27</v>
      </c>
      <c r="E425">
        <v>3</v>
      </c>
      <c r="F425" t="str">
        <f>_xlfn.XLOOKUP(C425,Customers!$A$2:$A$1001,Customers!$B$2:$B$1001)</f>
        <v>Adelice Isabell</v>
      </c>
      <c r="G425">
        <f>_xlfn.XLOOKUP(C425,Customers!$A$2:$A$1001,Customers!$C$2:$C$1001)</f>
        <v>0</v>
      </c>
      <c r="H425" t="str">
        <f>_xlfn.XLOOKUP(C425,Customers!$A$2:$A$1001,Customers!$G$2:$G$1001)</f>
        <v>United States</v>
      </c>
      <c r="I425" t="str" cm="1">
        <f t="array" ref="I425:L425">_xlfn.XLOOKUP(D425,products!$A$2:$A$49,products!$B$2:$E$49)</f>
        <v>Rob</v>
      </c>
      <c r="J425" t="str">
        <v>M</v>
      </c>
      <c r="K425" s="8">
        <v>0.5</v>
      </c>
      <c r="L425" s="6">
        <v>5.97</v>
      </c>
      <c r="M425" s="7">
        <f t="shared" si="18"/>
        <v>17.91</v>
      </c>
      <c r="N425" t="str">
        <f t="shared" si="19"/>
        <v>Robusta</v>
      </c>
      <c r="O425" t="str">
        <f t="shared" si="20"/>
        <v>Medium</v>
      </c>
      <c r="P425" t="str">
        <f>_xlfn.XLOOKUP(Orders!C425,Customers!$A$2:$A$1001,Customers!$I$2:$I$1001)</f>
        <v>No</v>
      </c>
    </row>
    <row r="426" spans="1:16" x14ac:dyDescent="0.3">
      <c r="A426" t="s">
        <v>851</v>
      </c>
      <c r="B426" s="11">
        <v>44431</v>
      </c>
      <c r="C426" t="s">
        <v>852</v>
      </c>
      <c r="D426" t="s">
        <v>181</v>
      </c>
      <c r="E426">
        <v>3</v>
      </c>
      <c r="F426" t="str">
        <f>_xlfn.XLOOKUP(C426,Customers!$A$2:$A$1001,Customers!$B$2:$B$1001)</f>
        <v>Yulma Dombrell</v>
      </c>
      <c r="G426" t="str">
        <f>_xlfn.XLOOKUP(C426,Customers!$A$2:$A$1001,Customers!$C$2:$C$1001)</f>
        <v>ydombrellbs@dedecms.com</v>
      </c>
      <c r="H426" t="str">
        <f>_xlfn.XLOOKUP(C426,Customers!$A$2:$A$1001,Customers!$G$2:$G$1001)</f>
        <v>United States</v>
      </c>
      <c r="I426" t="str" cm="1">
        <f t="array" ref="I426:L426">_xlfn.XLOOKUP(D426,products!$A$2:$A$49,products!$B$2:$E$49)</f>
        <v>Exc</v>
      </c>
      <c r="J426" t="str">
        <v>L</v>
      </c>
      <c r="K426" s="8">
        <v>0.5</v>
      </c>
      <c r="L426" s="6">
        <v>8.91</v>
      </c>
      <c r="M426" s="7">
        <f t="shared" si="18"/>
        <v>26.73</v>
      </c>
      <c r="N426" t="str">
        <f t="shared" si="19"/>
        <v>Excelsa</v>
      </c>
      <c r="O426" t="str">
        <f t="shared" si="20"/>
        <v>Lite</v>
      </c>
      <c r="P426" t="str">
        <f>_xlfn.XLOOKUP(Orders!C426,Customers!$A$2:$A$1001,Customers!$I$2:$I$1001)</f>
        <v>Yes</v>
      </c>
    </row>
    <row r="427" spans="1:16" x14ac:dyDescent="0.3">
      <c r="A427" t="s">
        <v>853</v>
      </c>
      <c r="B427" s="11">
        <v>44428</v>
      </c>
      <c r="C427" t="s">
        <v>854</v>
      </c>
      <c r="D427" t="s">
        <v>184</v>
      </c>
      <c r="E427">
        <v>2</v>
      </c>
      <c r="F427" t="str">
        <f>_xlfn.XLOOKUP(C427,Customers!$A$2:$A$1001,Customers!$B$2:$B$1001)</f>
        <v>Alric Darth</v>
      </c>
      <c r="G427" t="str">
        <f>_xlfn.XLOOKUP(C427,Customers!$A$2:$A$1001,Customers!$C$2:$C$1001)</f>
        <v>adarthbt@t.co</v>
      </c>
      <c r="H427" t="str">
        <f>_xlfn.XLOOKUP(C427,Customers!$A$2:$A$1001,Customers!$G$2:$G$1001)</f>
        <v>United States</v>
      </c>
      <c r="I427" t="str" cm="1">
        <f t="array" ref="I427:L427">_xlfn.XLOOKUP(D427,products!$A$2:$A$49,products!$B$2:$E$49)</f>
        <v>Rob</v>
      </c>
      <c r="J427" t="str">
        <v>D</v>
      </c>
      <c r="K427" s="8">
        <v>1</v>
      </c>
      <c r="L427" s="6">
        <v>8.9499999999999993</v>
      </c>
      <c r="M427" s="7">
        <f t="shared" si="18"/>
        <v>17.899999999999999</v>
      </c>
      <c r="N427" t="str">
        <f t="shared" si="19"/>
        <v>Robusta</v>
      </c>
      <c r="O427" t="str">
        <f t="shared" si="20"/>
        <v>Dark</v>
      </c>
      <c r="P427" t="str">
        <f>_xlfn.XLOOKUP(Orders!C427,Customers!$A$2:$A$1001,Customers!$I$2:$I$1001)</f>
        <v>No</v>
      </c>
    </row>
    <row r="428" spans="1:16" x14ac:dyDescent="0.3">
      <c r="A428" t="s">
        <v>855</v>
      </c>
      <c r="B428" s="11">
        <v>43556</v>
      </c>
      <c r="C428" t="s">
        <v>856</v>
      </c>
      <c r="D428" t="s">
        <v>187</v>
      </c>
      <c r="E428">
        <v>4</v>
      </c>
      <c r="F428" t="str">
        <f>_xlfn.XLOOKUP(C428,Customers!$A$2:$A$1001,Customers!$B$2:$B$1001)</f>
        <v>Manuel Darrigoe</v>
      </c>
      <c r="G428" t="str">
        <f>_xlfn.XLOOKUP(C428,Customers!$A$2:$A$1001,Customers!$C$2:$C$1001)</f>
        <v>mdarrigoebu@hud.gov</v>
      </c>
      <c r="H428" t="str">
        <f>_xlfn.XLOOKUP(C428,Customers!$A$2:$A$1001,Customers!$G$2:$G$1001)</f>
        <v>Ireland</v>
      </c>
      <c r="I428" t="str" cm="1">
        <f t="array" ref="I428:L428">_xlfn.XLOOKUP(D428,products!$A$2:$A$49,products!$B$2:$E$49)</f>
        <v>Rob</v>
      </c>
      <c r="J428" t="str">
        <v>L</v>
      </c>
      <c r="K428" s="8">
        <v>0.2</v>
      </c>
      <c r="L428" s="6">
        <v>3.5849999999999995</v>
      </c>
      <c r="M428" s="7">
        <f t="shared" si="18"/>
        <v>14.339999999999998</v>
      </c>
      <c r="N428" t="str">
        <f t="shared" si="19"/>
        <v>Robusta</v>
      </c>
      <c r="O428" t="str">
        <f t="shared" si="20"/>
        <v>Lite</v>
      </c>
      <c r="P428" t="str">
        <f>_xlfn.XLOOKUP(Orders!C428,Customers!$A$2:$A$1001,Customers!$I$2:$I$1001)</f>
        <v>Yes</v>
      </c>
    </row>
    <row r="429" spans="1:16" x14ac:dyDescent="0.3">
      <c r="A429" t="s">
        <v>857</v>
      </c>
      <c r="B429" s="11">
        <v>44224</v>
      </c>
      <c r="C429" t="s">
        <v>858</v>
      </c>
      <c r="D429" t="s">
        <v>176</v>
      </c>
      <c r="E429">
        <v>3</v>
      </c>
      <c r="F429" t="str">
        <f>_xlfn.XLOOKUP(C429,Customers!$A$2:$A$1001,Customers!$B$2:$B$1001)</f>
        <v>Kynthia Berick</v>
      </c>
      <c r="G429">
        <f>_xlfn.XLOOKUP(C429,Customers!$A$2:$A$1001,Customers!$C$2:$C$1001)</f>
        <v>0</v>
      </c>
      <c r="H429" t="str">
        <f>_xlfn.XLOOKUP(C429,Customers!$A$2:$A$1001,Customers!$G$2:$G$1001)</f>
        <v>United States</v>
      </c>
      <c r="I429" t="str" cm="1">
        <f t="array" ref="I429:L429">_xlfn.XLOOKUP(D429,products!$A$2:$A$49,products!$B$2:$E$49)</f>
        <v>Ara</v>
      </c>
      <c r="J429" t="str">
        <v>M</v>
      </c>
      <c r="K429" s="8">
        <v>2.5</v>
      </c>
      <c r="L429" s="6">
        <v>25.874999999999996</v>
      </c>
      <c r="M429" s="7">
        <f t="shared" si="18"/>
        <v>77.624999999999986</v>
      </c>
      <c r="N429" t="str">
        <f t="shared" si="19"/>
        <v>Arasbica</v>
      </c>
      <c r="O429" t="str">
        <f t="shared" si="20"/>
        <v>Medium</v>
      </c>
      <c r="P429" t="str">
        <f>_xlfn.XLOOKUP(Orders!C429,Customers!$A$2:$A$1001,Customers!$I$2:$I$1001)</f>
        <v>Yes</v>
      </c>
    </row>
    <row r="430" spans="1:16" x14ac:dyDescent="0.3">
      <c r="A430" t="s">
        <v>859</v>
      </c>
      <c r="B430" s="11">
        <v>43759</v>
      </c>
      <c r="C430" t="s">
        <v>860</v>
      </c>
      <c r="D430" t="s">
        <v>194</v>
      </c>
      <c r="E430">
        <v>5</v>
      </c>
      <c r="F430" t="str">
        <f>_xlfn.XLOOKUP(C430,Customers!$A$2:$A$1001,Customers!$B$2:$B$1001)</f>
        <v>Minetta Ackrill</v>
      </c>
      <c r="G430" t="str">
        <f>_xlfn.XLOOKUP(C430,Customers!$A$2:$A$1001,Customers!$C$2:$C$1001)</f>
        <v>mackrillbw@bandcamp.com</v>
      </c>
      <c r="H430" t="str">
        <f>_xlfn.XLOOKUP(C430,Customers!$A$2:$A$1001,Customers!$G$2:$G$1001)</f>
        <v>United States</v>
      </c>
      <c r="I430" t="str" cm="1">
        <f t="array" ref="I430:L430">_xlfn.XLOOKUP(D430,products!$A$2:$A$49,products!$B$2:$E$49)</f>
        <v>Rob</v>
      </c>
      <c r="J430" t="str">
        <v>L</v>
      </c>
      <c r="K430" s="8">
        <v>1</v>
      </c>
      <c r="L430" s="6">
        <v>11.95</v>
      </c>
      <c r="M430" s="7">
        <f t="shared" si="18"/>
        <v>59.75</v>
      </c>
      <c r="N430" t="str">
        <f t="shared" si="19"/>
        <v>Robusta</v>
      </c>
      <c r="O430" t="str">
        <f t="shared" si="20"/>
        <v>Lite</v>
      </c>
      <c r="P430" t="str">
        <f>_xlfn.XLOOKUP(Orders!C430,Customers!$A$2:$A$1001,Customers!$I$2:$I$1001)</f>
        <v>No</v>
      </c>
    </row>
    <row r="431" spans="1:16" x14ac:dyDescent="0.3">
      <c r="A431" t="s">
        <v>861</v>
      </c>
      <c r="B431" s="11">
        <v>44367</v>
      </c>
      <c r="C431" t="s">
        <v>754</v>
      </c>
      <c r="D431" t="s">
        <v>11</v>
      </c>
      <c r="E431">
        <v>6</v>
      </c>
      <c r="F431" t="str">
        <f>_xlfn.XLOOKUP(C431,Customers!$A$2:$A$1001,Customers!$B$2:$B$1001)</f>
        <v>Terri Farra</v>
      </c>
      <c r="G431" t="str">
        <f>_xlfn.XLOOKUP(C431,Customers!$A$2:$A$1001,Customers!$C$2:$C$1001)</f>
        <v>tfarraac@behance.net</v>
      </c>
      <c r="H431" t="str">
        <f>_xlfn.XLOOKUP(C431,Customers!$A$2:$A$1001,Customers!$G$2:$G$1001)</f>
        <v>United States</v>
      </c>
      <c r="I431" t="str" cm="1">
        <f t="array" ref="I431:L431">_xlfn.XLOOKUP(D431,products!$A$2:$A$49,products!$B$2:$E$49)</f>
        <v>Ara</v>
      </c>
      <c r="J431" t="str">
        <v>L</v>
      </c>
      <c r="K431" s="8">
        <v>1</v>
      </c>
      <c r="L431" s="6">
        <v>12.95</v>
      </c>
      <c r="M431" s="7">
        <f t="shared" si="18"/>
        <v>77.699999999999989</v>
      </c>
      <c r="N431" t="str">
        <f t="shared" si="19"/>
        <v>Arasbica</v>
      </c>
      <c r="O431" t="str">
        <f t="shared" si="20"/>
        <v>Lite</v>
      </c>
      <c r="P431" t="str">
        <f>_xlfn.XLOOKUP(Orders!C431,Customers!$A$2:$A$1001,Customers!$I$2:$I$1001)</f>
        <v>No</v>
      </c>
    </row>
    <row r="432" spans="1:16" x14ac:dyDescent="0.3">
      <c r="A432" t="s">
        <v>862</v>
      </c>
      <c r="B432" s="11">
        <v>44504</v>
      </c>
      <c r="C432" t="s">
        <v>863</v>
      </c>
      <c r="D432" t="s">
        <v>106</v>
      </c>
      <c r="E432">
        <v>2</v>
      </c>
      <c r="F432" t="str">
        <f>_xlfn.XLOOKUP(C432,Customers!$A$2:$A$1001,Customers!$B$2:$B$1001)</f>
        <v>Melosa Kippen</v>
      </c>
      <c r="G432" t="str">
        <f>_xlfn.XLOOKUP(C432,Customers!$A$2:$A$1001,Customers!$C$2:$C$1001)</f>
        <v>mkippenby@dion.ne.jp</v>
      </c>
      <c r="H432" t="str">
        <f>_xlfn.XLOOKUP(C432,Customers!$A$2:$A$1001,Customers!$G$2:$G$1001)</f>
        <v>United States</v>
      </c>
      <c r="I432" t="str" cm="1">
        <f t="array" ref="I432:L432">_xlfn.XLOOKUP(D432,products!$A$2:$A$49,products!$B$2:$E$49)</f>
        <v>Rob</v>
      </c>
      <c r="J432" t="str">
        <v>D</v>
      </c>
      <c r="K432" s="8">
        <v>0.2</v>
      </c>
      <c r="L432" s="6">
        <v>2.6849999999999996</v>
      </c>
      <c r="M432" s="7">
        <f t="shared" si="18"/>
        <v>5.3699999999999992</v>
      </c>
      <c r="N432" t="str">
        <f t="shared" si="19"/>
        <v>Robusta</v>
      </c>
      <c r="O432" t="str">
        <f t="shared" si="20"/>
        <v>Dark</v>
      </c>
      <c r="P432" t="str">
        <f>_xlfn.XLOOKUP(Orders!C432,Customers!$A$2:$A$1001,Customers!$I$2:$I$1001)</f>
        <v>Yes</v>
      </c>
    </row>
    <row r="433" spans="1:16" x14ac:dyDescent="0.3">
      <c r="A433" t="s">
        <v>864</v>
      </c>
      <c r="B433" s="11">
        <v>44291</v>
      </c>
      <c r="C433" t="s">
        <v>865</v>
      </c>
      <c r="D433" t="s">
        <v>535</v>
      </c>
      <c r="E433">
        <v>3</v>
      </c>
      <c r="F433" t="str">
        <f>_xlfn.XLOOKUP(C433,Customers!$A$2:$A$1001,Customers!$B$2:$B$1001)</f>
        <v>Witty Ranson</v>
      </c>
      <c r="G433" t="str">
        <f>_xlfn.XLOOKUP(C433,Customers!$A$2:$A$1001,Customers!$C$2:$C$1001)</f>
        <v>wransonbz@ted.com</v>
      </c>
      <c r="H433" t="str">
        <f>_xlfn.XLOOKUP(C433,Customers!$A$2:$A$1001,Customers!$G$2:$G$1001)</f>
        <v>Ireland</v>
      </c>
      <c r="I433" t="str" cm="1">
        <f t="array" ref="I433:L433">_xlfn.XLOOKUP(D433,products!$A$2:$A$49,products!$B$2:$E$49)</f>
        <v>Exc</v>
      </c>
      <c r="J433" t="str">
        <v>D</v>
      </c>
      <c r="K433" s="8">
        <v>2.5</v>
      </c>
      <c r="L433" s="6">
        <v>27.945</v>
      </c>
      <c r="M433" s="7">
        <f t="shared" si="18"/>
        <v>83.835000000000008</v>
      </c>
      <c r="N433" t="str">
        <f t="shared" si="19"/>
        <v>Excelsa</v>
      </c>
      <c r="O433" t="str">
        <f t="shared" si="20"/>
        <v>Dark</v>
      </c>
      <c r="P433" t="str">
        <f>_xlfn.XLOOKUP(Orders!C433,Customers!$A$2:$A$1001,Customers!$I$2:$I$1001)</f>
        <v>Yes</v>
      </c>
    </row>
    <row r="434" spans="1:16" x14ac:dyDescent="0.3">
      <c r="A434" t="s">
        <v>866</v>
      </c>
      <c r="B434" s="11">
        <v>43808</v>
      </c>
      <c r="C434" t="s">
        <v>867</v>
      </c>
      <c r="D434" t="s">
        <v>66</v>
      </c>
      <c r="E434">
        <v>2</v>
      </c>
      <c r="F434" t="str">
        <f>_xlfn.XLOOKUP(C434,Customers!$A$2:$A$1001,Customers!$B$2:$B$1001)</f>
        <v>Rod Gowdie</v>
      </c>
      <c r="G434">
        <f>_xlfn.XLOOKUP(C434,Customers!$A$2:$A$1001,Customers!$C$2:$C$1001)</f>
        <v>0</v>
      </c>
      <c r="H434" t="str">
        <f>_xlfn.XLOOKUP(C434,Customers!$A$2:$A$1001,Customers!$G$2:$G$1001)</f>
        <v>United States</v>
      </c>
      <c r="I434" t="str" cm="1">
        <f t="array" ref="I434:L434">_xlfn.XLOOKUP(D434,products!$A$2:$A$49,products!$B$2:$E$49)</f>
        <v>Ara</v>
      </c>
      <c r="J434" t="str">
        <v>M</v>
      </c>
      <c r="K434" s="8">
        <v>1</v>
      </c>
      <c r="L434" s="6">
        <v>11.25</v>
      </c>
      <c r="M434" s="7">
        <f t="shared" si="18"/>
        <v>22.5</v>
      </c>
      <c r="N434" t="str">
        <f t="shared" si="19"/>
        <v>Arasbica</v>
      </c>
      <c r="O434" t="str">
        <f t="shared" si="20"/>
        <v>Medium</v>
      </c>
      <c r="P434" t="str">
        <f>_xlfn.XLOOKUP(Orders!C434,Customers!$A$2:$A$1001,Customers!$I$2:$I$1001)</f>
        <v>No</v>
      </c>
    </row>
    <row r="435" spans="1:16" x14ac:dyDescent="0.3">
      <c r="A435" t="s">
        <v>868</v>
      </c>
      <c r="B435" s="11">
        <v>44563</v>
      </c>
      <c r="C435" t="s">
        <v>869</v>
      </c>
      <c r="D435" t="s">
        <v>202</v>
      </c>
      <c r="E435">
        <v>6</v>
      </c>
      <c r="F435" t="str">
        <f>_xlfn.XLOOKUP(C435,Customers!$A$2:$A$1001,Customers!$B$2:$B$1001)</f>
        <v>Lemuel Rignold</v>
      </c>
      <c r="G435" t="str">
        <f>_xlfn.XLOOKUP(C435,Customers!$A$2:$A$1001,Customers!$C$2:$C$1001)</f>
        <v>lrignoldc1@miibeian.gov.cn</v>
      </c>
      <c r="H435" t="str">
        <f>_xlfn.XLOOKUP(C435,Customers!$A$2:$A$1001,Customers!$G$2:$G$1001)</f>
        <v>United States</v>
      </c>
      <c r="I435" t="str" cm="1">
        <f t="array" ref="I435:L435">_xlfn.XLOOKUP(D435,products!$A$2:$A$49,products!$B$2:$E$49)</f>
        <v>Lib</v>
      </c>
      <c r="J435" t="str">
        <v>M</v>
      </c>
      <c r="K435" s="8">
        <v>2.5</v>
      </c>
      <c r="L435" s="6">
        <v>33.464999999999996</v>
      </c>
      <c r="M435" s="7">
        <f t="shared" si="18"/>
        <v>200.78999999999996</v>
      </c>
      <c r="N435" t="str">
        <f t="shared" si="19"/>
        <v>Liberica</v>
      </c>
      <c r="O435" t="str">
        <f t="shared" si="20"/>
        <v>Medium</v>
      </c>
      <c r="P435" t="str">
        <f>_xlfn.XLOOKUP(Orders!C435,Customers!$A$2:$A$1001,Customers!$I$2:$I$1001)</f>
        <v>Yes</v>
      </c>
    </row>
    <row r="436" spans="1:16" x14ac:dyDescent="0.3">
      <c r="A436" t="s">
        <v>870</v>
      </c>
      <c r="B436" s="11">
        <v>43807</v>
      </c>
      <c r="C436" t="s">
        <v>871</v>
      </c>
      <c r="D436" t="s">
        <v>66</v>
      </c>
      <c r="E436">
        <v>6</v>
      </c>
      <c r="F436" t="str">
        <f>_xlfn.XLOOKUP(C436,Customers!$A$2:$A$1001,Customers!$B$2:$B$1001)</f>
        <v>Nevsa Fields</v>
      </c>
      <c r="G436">
        <f>_xlfn.XLOOKUP(C436,Customers!$A$2:$A$1001,Customers!$C$2:$C$1001)</f>
        <v>0</v>
      </c>
      <c r="H436" t="str">
        <f>_xlfn.XLOOKUP(C436,Customers!$A$2:$A$1001,Customers!$G$2:$G$1001)</f>
        <v>United States</v>
      </c>
      <c r="I436" t="str" cm="1">
        <f t="array" ref="I436:L436">_xlfn.XLOOKUP(D436,products!$A$2:$A$49,products!$B$2:$E$49)</f>
        <v>Ara</v>
      </c>
      <c r="J436" t="str">
        <v>M</v>
      </c>
      <c r="K436" s="8">
        <v>1</v>
      </c>
      <c r="L436" s="6">
        <v>11.25</v>
      </c>
      <c r="M436" s="7">
        <f t="shared" si="18"/>
        <v>67.5</v>
      </c>
      <c r="N436" t="str">
        <f t="shared" si="19"/>
        <v>Arasbica</v>
      </c>
      <c r="O436" t="str">
        <f t="shared" si="20"/>
        <v>Medium</v>
      </c>
      <c r="P436" t="str">
        <f>_xlfn.XLOOKUP(Orders!C436,Customers!$A$2:$A$1001,Customers!$I$2:$I$1001)</f>
        <v>No</v>
      </c>
    </row>
    <row r="437" spans="1:16" x14ac:dyDescent="0.3">
      <c r="A437" t="s">
        <v>872</v>
      </c>
      <c r="B437" s="11">
        <v>44528</v>
      </c>
      <c r="C437" t="s">
        <v>873</v>
      </c>
      <c r="D437" t="s">
        <v>8</v>
      </c>
      <c r="E437">
        <v>1</v>
      </c>
      <c r="F437" t="str">
        <f>_xlfn.XLOOKUP(C437,Customers!$A$2:$A$1001,Customers!$B$2:$B$1001)</f>
        <v>Chance Rowthorn</v>
      </c>
      <c r="G437" t="str">
        <f>_xlfn.XLOOKUP(C437,Customers!$A$2:$A$1001,Customers!$C$2:$C$1001)</f>
        <v>crowthornc3@msn.com</v>
      </c>
      <c r="H437" t="str">
        <f>_xlfn.XLOOKUP(C437,Customers!$A$2:$A$1001,Customers!$G$2:$G$1001)</f>
        <v>United States</v>
      </c>
      <c r="I437" t="str" cm="1">
        <f t="array" ref="I437:L437">_xlfn.XLOOKUP(D437,products!$A$2:$A$49,products!$B$2:$E$49)</f>
        <v>Exc</v>
      </c>
      <c r="J437" t="str">
        <v>M</v>
      </c>
      <c r="K437" s="8">
        <v>0.5</v>
      </c>
      <c r="L437" s="6">
        <v>8.25</v>
      </c>
      <c r="M437" s="7">
        <f t="shared" si="18"/>
        <v>8.25</v>
      </c>
      <c r="N437" t="str">
        <f t="shared" si="19"/>
        <v>Excelsa</v>
      </c>
      <c r="O437" t="str">
        <f t="shared" si="20"/>
        <v>Medium</v>
      </c>
      <c r="P437" t="str">
        <f>_xlfn.XLOOKUP(Orders!C437,Customers!$A$2:$A$1001,Customers!$I$2:$I$1001)</f>
        <v>No</v>
      </c>
    </row>
    <row r="438" spans="1:16" x14ac:dyDescent="0.3">
      <c r="A438" t="s">
        <v>874</v>
      </c>
      <c r="B438" s="11">
        <v>44631</v>
      </c>
      <c r="C438" t="s">
        <v>875</v>
      </c>
      <c r="D438" t="s">
        <v>24</v>
      </c>
      <c r="E438">
        <v>2</v>
      </c>
      <c r="F438" t="str">
        <f>_xlfn.XLOOKUP(C438,Customers!$A$2:$A$1001,Customers!$B$2:$B$1001)</f>
        <v>Orly Ryland</v>
      </c>
      <c r="G438" t="str">
        <f>_xlfn.XLOOKUP(C438,Customers!$A$2:$A$1001,Customers!$C$2:$C$1001)</f>
        <v>orylandc4@deviantart.com</v>
      </c>
      <c r="H438" t="str">
        <f>_xlfn.XLOOKUP(C438,Customers!$A$2:$A$1001,Customers!$G$2:$G$1001)</f>
        <v>United States</v>
      </c>
      <c r="I438" t="str" cm="1">
        <f t="array" ref="I438:L438">_xlfn.XLOOKUP(D438,products!$A$2:$A$49,products!$B$2:$E$49)</f>
        <v>Lib</v>
      </c>
      <c r="J438" t="str">
        <v>L</v>
      </c>
      <c r="K438" s="8">
        <v>0.2</v>
      </c>
      <c r="L438" s="6">
        <v>4.7549999999999999</v>
      </c>
      <c r="M438" s="7">
        <f t="shared" si="18"/>
        <v>9.51</v>
      </c>
      <c r="N438" t="str">
        <f t="shared" si="19"/>
        <v>Liberica</v>
      </c>
      <c r="O438" t="str">
        <f t="shared" si="20"/>
        <v>Lite</v>
      </c>
      <c r="P438" t="str">
        <f>_xlfn.XLOOKUP(Orders!C438,Customers!$A$2:$A$1001,Customers!$I$2:$I$1001)</f>
        <v>Yes</v>
      </c>
    </row>
    <row r="439" spans="1:16" x14ac:dyDescent="0.3">
      <c r="A439" t="s">
        <v>876</v>
      </c>
      <c r="B439" s="11">
        <v>44213</v>
      </c>
      <c r="C439" t="s">
        <v>877</v>
      </c>
      <c r="D439" t="s">
        <v>114</v>
      </c>
      <c r="E439">
        <v>1</v>
      </c>
      <c r="F439" t="str">
        <f>_xlfn.XLOOKUP(C439,Customers!$A$2:$A$1001,Customers!$B$2:$B$1001)</f>
        <v>Willabella Abramski</v>
      </c>
      <c r="G439">
        <f>_xlfn.XLOOKUP(C439,Customers!$A$2:$A$1001,Customers!$C$2:$C$1001)</f>
        <v>0</v>
      </c>
      <c r="H439" t="str">
        <f>_xlfn.XLOOKUP(C439,Customers!$A$2:$A$1001,Customers!$G$2:$G$1001)</f>
        <v>United States</v>
      </c>
      <c r="I439" t="str" cm="1">
        <f t="array" ref="I439:L439">_xlfn.XLOOKUP(D439,products!$A$2:$A$49,products!$B$2:$E$49)</f>
        <v>Lib</v>
      </c>
      <c r="J439" t="str">
        <v>D</v>
      </c>
      <c r="K439" s="8">
        <v>2.5</v>
      </c>
      <c r="L439" s="6">
        <v>29.784999999999997</v>
      </c>
      <c r="M439" s="7">
        <f t="shared" si="18"/>
        <v>29.784999999999997</v>
      </c>
      <c r="N439" t="str">
        <f t="shared" si="19"/>
        <v>Liberica</v>
      </c>
      <c r="O439" t="str">
        <f t="shared" si="20"/>
        <v>Dark</v>
      </c>
      <c r="P439" t="str">
        <f>_xlfn.XLOOKUP(Orders!C439,Customers!$A$2:$A$1001,Customers!$I$2:$I$1001)</f>
        <v>No</v>
      </c>
    </row>
    <row r="440" spans="1:16" x14ac:dyDescent="0.3">
      <c r="A440" t="s">
        <v>878</v>
      </c>
      <c r="B440" s="11">
        <v>43483</v>
      </c>
      <c r="C440" t="s">
        <v>879</v>
      </c>
      <c r="D440" t="s">
        <v>128</v>
      </c>
      <c r="E440">
        <v>2</v>
      </c>
      <c r="F440" t="str">
        <f>_xlfn.XLOOKUP(C440,Customers!$A$2:$A$1001,Customers!$B$2:$B$1001)</f>
        <v>Morgen Seson</v>
      </c>
      <c r="G440" t="str">
        <f>_xlfn.XLOOKUP(C440,Customers!$A$2:$A$1001,Customers!$C$2:$C$1001)</f>
        <v>msesonck@census.gov</v>
      </c>
      <c r="H440" t="str">
        <f>_xlfn.XLOOKUP(C440,Customers!$A$2:$A$1001,Customers!$G$2:$G$1001)</f>
        <v>United States</v>
      </c>
      <c r="I440" t="str" cm="1">
        <f t="array" ref="I440:L440">_xlfn.XLOOKUP(D440,products!$A$2:$A$49,products!$B$2:$E$49)</f>
        <v>Lib</v>
      </c>
      <c r="J440" t="str">
        <v>D</v>
      </c>
      <c r="K440" s="8">
        <v>0.5</v>
      </c>
      <c r="L440" s="6">
        <v>7.77</v>
      </c>
      <c r="M440" s="7">
        <f t="shared" si="18"/>
        <v>15.54</v>
      </c>
      <c r="N440" t="str">
        <f t="shared" si="19"/>
        <v>Liberica</v>
      </c>
      <c r="O440" t="str">
        <f t="shared" si="20"/>
        <v>Dark</v>
      </c>
      <c r="P440" t="str">
        <f>_xlfn.XLOOKUP(Orders!C440,Customers!$A$2:$A$1001,Customers!$I$2:$I$1001)</f>
        <v>No</v>
      </c>
    </row>
    <row r="441" spans="1:16" x14ac:dyDescent="0.3">
      <c r="A441" t="s">
        <v>880</v>
      </c>
      <c r="B441" s="11">
        <v>43562</v>
      </c>
      <c r="C441" t="s">
        <v>881</v>
      </c>
      <c r="D441" t="s">
        <v>181</v>
      </c>
      <c r="E441">
        <v>4</v>
      </c>
      <c r="F441" t="str">
        <f>_xlfn.XLOOKUP(C441,Customers!$A$2:$A$1001,Customers!$B$2:$B$1001)</f>
        <v>Chickie Ragless</v>
      </c>
      <c r="G441" t="str">
        <f>_xlfn.XLOOKUP(C441,Customers!$A$2:$A$1001,Customers!$C$2:$C$1001)</f>
        <v>craglessc7@webmd.com</v>
      </c>
      <c r="H441" t="str">
        <f>_xlfn.XLOOKUP(C441,Customers!$A$2:$A$1001,Customers!$G$2:$G$1001)</f>
        <v>Ireland</v>
      </c>
      <c r="I441" t="str" cm="1">
        <f t="array" ref="I441:L441">_xlfn.XLOOKUP(D441,products!$A$2:$A$49,products!$B$2:$E$49)</f>
        <v>Exc</v>
      </c>
      <c r="J441" t="str">
        <v>L</v>
      </c>
      <c r="K441" s="8">
        <v>0.5</v>
      </c>
      <c r="L441" s="6">
        <v>8.91</v>
      </c>
      <c r="M441" s="7">
        <f t="shared" si="18"/>
        <v>35.64</v>
      </c>
      <c r="N441" t="str">
        <f t="shared" si="19"/>
        <v>Excelsa</v>
      </c>
      <c r="O441" t="str">
        <f t="shared" si="20"/>
        <v>Lite</v>
      </c>
      <c r="P441" t="str">
        <f>_xlfn.XLOOKUP(Orders!C441,Customers!$A$2:$A$1001,Customers!$I$2:$I$1001)</f>
        <v>No</v>
      </c>
    </row>
    <row r="442" spans="1:16" x14ac:dyDescent="0.3">
      <c r="A442" t="s">
        <v>882</v>
      </c>
      <c r="B442" s="11">
        <v>44230</v>
      </c>
      <c r="C442" t="s">
        <v>883</v>
      </c>
      <c r="D442" t="s">
        <v>176</v>
      </c>
      <c r="E442">
        <v>4</v>
      </c>
      <c r="F442" t="str">
        <f>_xlfn.XLOOKUP(C442,Customers!$A$2:$A$1001,Customers!$B$2:$B$1001)</f>
        <v>Freda Hollows</v>
      </c>
      <c r="G442" t="str">
        <f>_xlfn.XLOOKUP(C442,Customers!$A$2:$A$1001,Customers!$C$2:$C$1001)</f>
        <v>fhollowsc8@blogtalkradio.com</v>
      </c>
      <c r="H442" t="str">
        <f>_xlfn.XLOOKUP(C442,Customers!$A$2:$A$1001,Customers!$G$2:$G$1001)</f>
        <v>United States</v>
      </c>
      <c r="I442" t="str" cm="1">
        <f t="array" ref="I442:L442">_xlfn.XLOOKUP(D442,products!$A$2:$A$49,products!$B$2:$E$49)</f>
        <v>Ara</v>
      </c>
      <c r="J442" t="str">
        <v>M</v>
      </c>
      <c r="K442" s="8">
        <v>2.5</v>
      </c>
      <c r="L442" s="6">
        <v>25.874999999999996</v>
      </c>
      <c r="M442" s="7">
        <f t="shared" si="18"/>
        <v>103.49999999999999</v>
      </c>
      <c r="N442" t="str">
        <f t="shared" si="19"/>
        <v>Arasbica</v>
      </c>
      <c r="O442" t="str">
        <f t="shared" si="20"/>
        <v>Medium</v>
      </c>
      <c r="P442" t="str">
        <f>_xlfn.XLOOKUP(Orders!C442,Customers!$A$2:$A$1001,Customers!$I$2:$I$1001)</f>
        <v>Yes</v>
      </c>
    </row>
    <row r="443" spans="1:16" x14ac:dyDescent="0.3">
      <c r="A443" t="s">
        <v>884</v>
      </c>
      <c r="B443" s="11">
        <v>43573</v>
      </c>
      <c r="C443" t="s">
        <v>885</v>
      </c>
      <c r="D443" t="s">
        <v>250</v>
      </c>
      <c r="E443">
        <v>3</v>
      </c>
      <c r="F443" t="str">
        <f>_xlfn.XLOOKUP(C443,Customers!$A$2:$A$1001,Customers!$B$2:$B$1001)</f>
        <v>Livy Lathleiff</v>
      </c>
      <c r="G443" t="str">
        <f>_xlfn.XLOOKUP(C443,Customers!$A$2:$A$1001,Customers!$C$2:$C$1001)</f>
        <v>llathleiffc9@nationalgeographic.com</v>
      </c>
      <c r="H443" t="str">
        <f>_xlfn.XLOOKUP(C443,Customers!$A$2:$A$1001,Customers!$G$2:$G$1001)</f>
        <v>Ireland</v>
      </c>
      <c r="I443" t="str" cm="1">
        <f t="array" ref="I443:L443">_xlfn.XLOOKUP(D443,products!$A$2:$A$49,products!$B$2:$E$49)</f>
        <v>Exc</v>
      </c>
      <c r="J443" t="str">
        <v>D</v>
      </c>
      <c r="K443" s="8">
        <v>1</v>
      </c>
      <c r="L443" s="6">
        <v>12.15</v>
      </c>
      <c r="M443" s="7">
        <f t="shared" si="18"/>
        <v>36.450000000000003</v>
      </c>
      <c r="N443" t="str">
        <f t="shared" si="19"/>
        <v>Excelsa</v>
      </c>
      <c r="O443" t="str">
        <f t="shared" si="20"/>
        <v>Dark</v>
      </c>
      <c r="P443" t="str">
        <f>_xlfn.XLOOKUP(Orders!C443,Customers!$A$2:$A$1001,Customers!$I$2:$I$1001)</f>
        <v>Yes</v>
      </c>
    </row>
    <row r="444" spans="1:16" x14ac:dyDescent="0.3">
      <c r="A444" t="s">
        <v>886</v>
      </c>
      <c r="B444" s="11">
        <v>44384</v>
      </c>
      <c r="C444" t="s">
        <v>887</v>
      </c>
      <c r="D444" t="s">
        <v>162</v>
      </c>
      <c r="E444">
        <v>5</v>
      </c>
      <c r="F444" t="str">
        <f>_xlfn.XLOOKUP(C444,Customers!$A$2:$A$1001,Customers!$B$2:$B$1001)</f>
        <v>Koralle Heads</v>
      </c>
      <c r="G444" t="str">
        <f>_xlfn.XLOOKUP(C444,Customers!$A$2:$A$1001,Customers!$C$2:$C$1001)</f>
        <v>kheadsca@jalbum.net</v>
      </c>
      <c r="H444" t="str">
        <f>_xlfn.XLOOKUP(C444,Customers!$A$2:$A$1001,Customers!$G$2:$G$1001)</f>
        <v>United States</v>
      </c>
      <c r="I444" t="str" cm="1">
        <f t="array" ref="I444:L444">_xlfn.XLOOKUP(D444,products!$A$2:$A$49,products!$B$2:$E$49)</f>
        <v>Rob</v>
      </c>
      <c r="J444" t="str">
        <v>L</v>
      </c>
      <c r="K444" s="8">
        <v>0.5</v>
      </c>
      <c r="L444" s="6">
        <v>7.169999999999999</v>
      </c>
      <c r="M444" s="7">
        <f t="shared" si="18"/>
        <v>35.849999999999994</v>
      </c>
      <c r="N444" t="str">
        <f t="shared" si="19"/>
        <v>Robusta</v>
      </c>
      <c r="O444" t="str">
        <f t="shared" si="20"/>
        <v>Lite</v>
      </c>
      <c r="P444" t="str">
        <f>_xlfn.XLOOKUP(Orders!C444,Customers!$A$2:$A$1001,Customers!$I$2:$I$1001)</f>
        <v>No</v>
      </c>
    </row>
    <row r="445" spans="1:16" x14ac:dyDescent="0.3">
      <c r="A445" t="s">
        <v>888</v>
      </c>
      <c r="B445" s="11">
        <v>44250</v>
      </c>
      <c r="C445" t="s">
        <v>889</v>
      </c>
      <c r="D445" t="s">
        <v>259</v>
      </c>
      <c r="E445">
        <v>5</v>
      </c>
      <c r="F445" t="str">
        <f>_xlfn.XLOOKUP(C445,Customers!$A$2:$A$1001,Customers!$B$2:$B$1001)</f>
        <v>Theo Bowne</v>
      </c>
      <c r="G445" t="str">
        <f>_xlfn.XLOOKUP(C445,Customers!$A$2:$A$1001,Customers!$C$2:$C$1001)</f>
        <v>tbownecb@unicef.org</v>
      </c>
      <c r="H445" t="str">
        <f>_xlfn.XLOOKUP(C445,Customers!$A$2:$A$1001,Customers!$G$2:$G$1001)</f>
        <v>Ireland</v>
      </c>
      <c r="I445" t="str" cm="1">
        <f t="array" ref="I445:L445">_xlfn.XLOOKUP(D445,products!$A$2:$A$49,products!$B$2:$E$49)</f>
        <v>Exc</v>
      </c>
      <c r="J445" t="str">
        <v>L</v>
      </c>
      <c r="K445" s="8">
        <v>0.2</v>
      </c>
      <c r="L445" s="6">
        <v>4.4550000000000001</v>
      </c>
      <c r="M445" s="7">
        <f t="shared" si="18"/>
        <v>22.274999999999999</v>
      </c>
      <c r="N445" t="str">
        <f t="shared" si="19"/>
        <v>Excelsa</v>
      </c>
      <c r="O445" t="str">
        <f t="shared" si="20"/>
        <v>Lite</v>
      </c>
      <c r="P445" t="str">
        <f>_xlfn.XLOOKUP(Orders!C445,Customers!$A$2:$A$1001,Customers!$I$2:$I$1001)</f>
        <v>Yes</v>
      </c>
    </row>
    <row r="446" spans="1:16" x14ac:dyDescent="0.3">
      <c r="A446" t="s">
        <v>890</v>
      </c>
      <c r="B446" s="11">
        <v>44418</v>
      </c>
      <c r="C446" t="s">
        <v>891</v>
      </c>
      <c r="D446" t="s">
        <v>69</v>
      </c>
      <c r="E446">
        <v>6</v>
      </c>
      <c r="F446" t="str">
        <f>_xlfn.XLOOKUP(C446,Customers!$A$2:$A$1001,Customers!$B$2:$B$1001)</f>
        <v>Rasia Jacquemard</v>
      </c>
      <c r="G446" t="str">
        <f>_xlfn.XLOOKUP(C446,Customers!$A$2:$A$1001,Customers!$C$2:$C$1001)</f>
        <v>rjacquemardcc@acquirethisname.com</v>
      </c>
      <c r="H446" t="str">
        <f>_xlfn.XLOOKUP(C446,Customers!$A$2:$A$1001,Customers!$G$2:$G$1001)</f>
        <v>Ireland</v>
      </c>
      <c r="I446" t="str" cm="1">
        <f t="array" ref="I446:L446">_xlfn.XLOOKUP(D446,products!$A$2:$A$49,products!$B$2:$E$49)</f>
        <v>Exc</v>
      </c>
      <c r="J446" t="str">
        <v>M</v>
      </c>
      <c r="K446" s="8">
        <v>0.2</v>
      </c>
      <c r="L446" s="6">
        <v>4.125</v>
      </c>
      <c r="M446" s="7">
        <f t="shared" si="18"/>
        <v>24.75</v>
      </c>
      <c r="N446" t="str">
        <f t="shared" si="19"/>
        <v>Excelsa</v>
      </c>
      <c r="O446" t="str">
        <f t="shared" si="20"/>
        <v>Medium</v>
      </c>
      <c r="P446" t="str">
        <f>_xlfn.XLOOKUP(Orders!C446,Customers!$A$2:$A$1001,Customers!$I$2:$I$1001)</f>
        <v>No</v>
      </c>
    </row>
    <row r="447" spans="1:16" x14ac:dyDescent="0.3">
      <c r="A447" t="s">
        <v>892</v>
      </c>
      <c r="B447" s="11">
        <v>43784</v>
      </c>
      <c r="C447" t="s">
        <v>893</v>
      </c>
      <c r="D447" t="s">
        <v>202</v>
      </c>
      <c r="E447">
        <v>2</v>
      </c>
      <c r="F447" t="str">
        <f>_xlfn.XLOOKUP(C447,Customers!$A$2:$A$1001,Customers!$B$2:$B$1001)</f>
        <v>Kizzie Warman</v>
      </c>
      <c r="G447" t="str">
        <f>_xlfn.XLOOKUP(C447,Customers!$A$2:$A$1001,Customers!$C$2:$C$1001)</f>
        <v>kwarmancd@printfriendly.com</v>
      </c>
      <c r="H447" t="str">
        <f>_xlfn.XLOOKUP(C447,Customers!$A$2:$A$1001,Customers!$G$2:$G$1001)</f>
        <v>Ireland</v>
      </c>
      <c r="I447" t="str" cm="1">
        <f t="array" ref="I447:L447">_xlfn.XLOOKUP(D447,products!$A$2:$A$49,products!$B$2:$E$49)</f>
        <v>Lib</v>
      </c>
      <c r="J447" t="str">
        <v>M</v>
      </c>
      <c r="K447" s="8">
        <v>2.5</v>
      </c>
      <c r="L447" s="6">
        <v>33.464999999999996</v>
      </c>
      <c r="M447" s="7">
        <f t="shared" si="18"/>
        <v>66.929999999999993</v>
      </c>
      <c r="N447" t="str">
        <f t="shared" si="19"/>
        <v>Liberica</v>
      </c>
      <c r="O447" t="str">
        <f t="shared" si="20"/>
        <v>Medium</v>
      </c>
      <c r="P447" t="str">
        <f>_xlfn.XLOOKUP(Orders!C447,Customers!$A$2:$A$1001,Customers!$I$2:$I$1001)</f>
        <v>Yes</v>
      </c>
    </row>
    <row r="448" spans="1:16" x14ac:dyDescent="0.3">
      <c r="A448" t="s">
        <v>894</v>
      </c>
      <c r="B448" s="11">
        <v>43816</v>
      </c>
      <c r="C448" t="s">
        <v>895</v>
      </c>
      <c r="D448" t="s">
        <v>83</v>
      </c>
      <c r="E448">
        <v>1</v>
      </c>
      <c r="F448" t="str">
        <f>_xlfn.XLOOKUP(C448,Customers!$A$2:$A$1001,Customers!$B$2:$B$1001)</f>
        <v>Wain Cholomin</v>
      </c>
      <c r="G448" t="str">
        <f>_xlfn.XLOOKUP(C448,Customers!$A$2:$A$1001,Customers!$C$2:$C$1001)</f>
        <v>wcholomince@about.com</v>
      </c>
      <c r="H448" t="str">
        <f>_xlfn.XLOOKUP(C448,Customers!$A$2:$A$1001,Customers!$G$2:$G$1001)</f>
        <v>United Kingdom</v>
      </c>
      <c r="I448" t="str" cm="1">
        <f t="array" ref="I448:L448">_xlfn.XLOOKUP(D448,products!$A$2:$A$49,products!$B$2:$E$49)</f>
        <v>Lib</v>
      </c>
      <c r="J448" t="str">
        <v>M</v>
      </c>
      <c r="K448" s="8">
        <v>0.5</v>
      </c>
      <c r="L448" s="6">
        <v>8.73</v>
      </c>
      <c r="M448" s="7">
        <f t="shared" si="18"/>
        <v>8.73</v>
      </c>
      <c r="N448" t="str">
        <f t="shared" si="19"/>
        <v>Liberica</v>
      </c>
      <c r="O448" t="str">
        <f t="shared" si="20"/>
        <v>Medium</v>
      </c>
      <c r="P448" t="str">
        <f>_xlfn.XLOOKUP(Orders!C448,Customers!$A$2:$A$1001,Customers!$I$2:$I$1001)</f>
        <v>Yes</v>
      </c>
    </row>
    <row r="449" spans="1:16" x14ac:dyDescent="0.3">
      <c r="A449" t="s">
        <v>896</v>
      </c>
      <c r="B449" s="11">
        <v>43908</v>
      </c>
      <c r="C449" t="s">
        <v>897</v>
      </c>
      <c r="D449" t="s">
        <v>27</v>
      </c>
      <c r="E449">
        <v>3</v>
      </c>
      <c r="F449" t="str">
        <f>_xlfn.XLOOKUP(C449,Customers!$A$2:$A$1001,Customers!$B$2:$B$1001)</f>
        <v>Arleen Braidman</v>
      </c>
      <c r="G449" t="str">
        <f>_xlfn.XLOOKUP(C449,Customers!$A$2:$A$1001,Customers!$C$2:$C$1001)</f>
        <v>abraidmancf@census.gov</v>
      </c>
      <c r="H449" t="str">
        <f>_xlfn.XLOOKUP(C449,Customers!$A$2:$A$1001,Customers!$G$2:$G$1001)</f>
        <v>United States</v>
      </c>
      <c r="I449" t="str" cm="1">
        <f t="array" ref="I449:L449">_xlfn.XLOOKUP(D449,products!$A$2:$A$49,products!$B$2:$E$49)</f>
        <v>Rob</v>
      </c>
      <c r="J449" t="str">
        <v>M</v>
      </c>
      <c r="K449" s="8">
        <v>0.5</v>
      </c>
      <c r="L449" s="6">
        <v>5.97</v>
      </c>
      <c r="M449" s="7">
        <f t="shared" si="18"/>
        <v>17.91</v>
      </c>
      <c r="N449" t="str">
        <f t="shared" si="19"/>
        <v>Robusta</v>
      </c>
      <c r="O449" t="str">
        <f t="shared" si="20"/>
        <v>Medium</v>
      </c>
      <c r="P449" t="str">
        <f>_xlfn.XLOOKUP(Orders!C449,Customers!$A$2:$A$1001,Customers!$I$2:$I$1001)</f>
        <v>No</v>
      </c>
    </row>
    <row r="450" spans="1:16" x14ac:dyDescent="0.3">
      <c r="A450" t="s">
        <v>898</v>
      </c>
      <c r="B450" s="11">
        <v>44718</v>
      </c>
      <c r="C450" t="s">
        <v>899</v>
      </c>
      <c r="D450" t="s">
        <v>162</v>
      </c>
      <c r="E450">
        <v>1</v>
      </c>
      <c r="F450" t="str">
        <f>_xlfn.XLOOKUP(C450,Customers!$A$2:$A$1001,Customers!$B$2:$B$1001)</f>
        <v>Pru Durban</v>
      </c>
      <c r="G450" t="str">
        <f>_xlfn.XLOOKUP(C450,Customers!$A$2:$A$1001,Customers!$C$2:$C$1001)</f>
        <v>pdurbancg@symantec.com</v>
      </c>
      <c r="H450" t="str">
        <f>_xlfn.XLOOKUP(C450,Customers!$A$2:$A$1001,Customers!$G$2:$G$1001)</f>
        <v>Ireland</v>
      </c>
      <c r="I450" t="str" cm="1">
        <f t="array" ref="I450:L450">_xlfn.XLOOKUP(D450,products!$A$2:$A$49,products!$B$2:$E$49)</f>
        <v>Rob</v>
      </c>
      <c r="J450" t="str">
        <v>L</v>
      </c>
      <c r="K450" s="8">
        <v>0.5</v>
      </c>
      <c r="L450" s="6">
        <v>7.169999999999999</v>
      </c>
      <c r="M450" s="7">
        <f t="shared" si="18"/>
        <v>7.169999999999999</v>
      </c>
      <c r="N450" t="str">
        <f t="shared" si="19"/>
        <v>Robusta</v>
      </c>
      <c r="O450" t="str">
        <f t="shared" si="20"/>
        <v>Lite</v>
      </c>
      <c r="P450" t="str">
        <f>_xlfn.XLOOKUP(Orders!C450,Customers!$A$2:$A$1001,Customers!$I$2:$I$1001)</f>
        <v>No</v>
      </c>
    </row>
    <row r="451" spans="1:16" x14ac:dyDescent="0.3">
      <c r="A451" t="s">
        <v>900</v>
      </c>
      <c r="B451" s="11">
        <v>44336</v>
      </c>
      <c r="C451" t="s">
        <v>901</v>
      </c>
      <c r="D451" t="s">
        <v>106</v>
      </c>
      <c r="E451">
        <v>2</v>
      </c>
      <c r="F451" t="str">
        <f>_xlfn.XLOOKUP(C451,Customers!$A$2:$A$1001,Customers!$B$2:$B$1001)</f>
        <v>Antone Harrold</v>
      </c>
      <c r="G451" t="str">
        <f>_xlfn.XLOOKUP(C451,Customers!$A$2:$A$1001,Customers!$C$2:$C$1001)</f>
        <v>aharroldch@miibeian.gov.cn</v>
      </c>
      <c r="H451" t="str">
        <f>_xlfn.XLOOKUP(C451,Customers!$A$2:$A$1001,Customers!$G$2:$G$1001)</f>
        <v>United States</v>
      </c>
      <c r="I451" t="str" cm="1">
        <f t="array" ref="I451:L451">_xlfn.XLOOKUP(D451,products!$A$2:$A$49,products!$B$2:$E$49)</f>
        <v>Rob</v>
      </c>
      <c r="J451" t="str">
        <v>D</v>
      </c>
      <c r="K451" s="8">
        <v>0.2</v>
      </c>
      <c r="L451" s="6">
        <v>2.6849999999999996</v>
      </c>
      <c r="M451" s="7">
        <f t="shared" ref="M451:M514" si="21">E451*L451</f>
        <v>5.3699999999999992</v>
      </c>
      <c r="N451" t="str">
        <f t="shared" ref="N451:N514" si="22">IF(I451="rob","Robusta",IF(I451="Exc","Excelsa",IF(I451="Ara","Arasbica",IF(I451="Lib","Liberica"))))</f>
        <v>Robusta</v>
      </c>
      <c r="O451" t="str">
        <f t="shared" ref="O451:O514" si="23">IF(J451="M","Medium",IF(J451="L","Lite",IF(J451="D","Dark")))</f>
        <v>Dark</v>
      </c>
      <c r="P451" t="str">
        <f>_xlfn.XLOOKUP(Orders!C451,Customers!$A$2:$A$1001,Customers!$I$2:$I$1001)</f>
        <v>No</v>
      </c>
    </row>
    <row r="452" spans="1:16" x14ac:dyDescent="0.3">
      <c r="A452" t="s">
        <v>902</v>
      </c>
      <c r="B452" s="11">
        <v>44207</v>
      </c>
      <c r="C452" t="s">
        <v>903</v>
      </c>
      <c r="D452" t="s">
        <v>24</v>
      </c>
      <c r="E452">
        <v>5</v>
      </c>
      <c r="F452" t="str">
        <f>_xlfn.XLOOKUP(C452,Customers!$A$2:$A$1001,Customers!$B$2:$B$1001)</f>
        <v>Sim Pamphilon</v>
      </c>
      <c r="G452" t="str">
        <f>_xlfn.XLOOKUP(C452,Customers!$A$2:$A$1001,Customers!$C$2:$C$1001)</f>
        <v>spamphilonci@mlb.com</v>
      </c>
      <c r="H452" t="str">
        <f>_xlfn.XLOOKUP(C452,Customers!$A$2:$A$1001,Customers!$G$2:$G$1001)</f>
        <v>Ireland</v>
      </c>
      <c r="I452" t="str" cm="1">
        <f t="array" ref="I452:L452">_xlfn.XLOOKUP(D452,products!$A$2:$A$49,products!$B$2:$E$49)</f>
        <v>Lib</v>
      </c>
      <c r="J452" t="str">
        <v>L</v>
      </c>
      <c r="K452" s="8">
        <v>0.2</v>
      </c>
      <c r="L452" s="6">
        <v>4.7549999999999999</v>
      </c>
      <c r="M452" s="7">
        <f t="shared" si="21"/>
        <v>23.774999999999999</v>
      </c>
      <c r="N452" t="str">
        <f t="shared" si="22"/>
        <v>Liberica</v>
      </c>
      <c r="O452" t="str">
        <f t="shared" si="23"/>
        <v>Lite</v>
      </c>
      <c r="P452" t="str">
        <f>_xlfn.XLOOKUP(Orders!C452,Customers!$A$2:$A$1001,Customers!$I$2:$I$1001)</f>
        <v>No</v>
      </c>
    </row>
    <row r="453" spans="1:16" x14ac:dyDescent="0.3">
      <c r="A453" t="s">
        <v>904</v>
      </c>
      <c r="B453" s="11">
        <v>43518</v>
      </c>
      <c r="C453" t="s">
        <v>905</v>
      </c>
      <c r="D453" t="s">
        <v>40</v>
      </c>
      <c r="E453">
        <v>2</v>
      </c>
      <c r="F453" t="str">
        <f>_xlfn.XLOOKUP(C453,Customers!$A$2:$A$1001,Customers!$B$2:$B$1001)</f>
        <v>Mohandis Spurden</v>
      </c>
      <c r="G453" t="str">
        <f>_xlfn.XLOOKUP(C453,Customers!$A$2:$A$1001,Customers!$C$2:$C$1001)</f>
        <v>mspurdencj@exblog.jp</v>
      </c>
      <c r="H453" t="str">
        <f>_xlfn.XLOOKUP(C453,Customers!$A$2:$A$1001,Customers!$G$2:$G$1001)</f>
        <v>United States</v>
      </c>
      <c r="I453" t="str" cm="1">
        <f t="array" ref="I453:L453">_xlfn.XLOOKUP(D453,products!$A$2:$A$49,products!$B$2:$E$49)</f>
        <v>Rob</v>
      </c>
      <c r="J453" t="str">
        <v>D</v>
      </c>
      <c r="K453" s="8">
        <v>2.5</v>
      </c>
      <c r="L453" s="6">
        <v>20.584999999999997</v>
      </c>
      <c r="M453" s="7">
        <f t="shared" si="21"/>
        <v>41.169999999999995</v>
      </c>
      <c r="N453" t="str">
        <f t="shared" si="22"/>
        <v>Robusta</v>
      </c>
      <c r="O453" t="str">
        <f t="shared" si="23"/>
        <v>Dark</v>
      </c>
      <c r="P453" t="str">
        <f>_xlfn.XLOOKUP(Orders!C453,Customers!$A$2:$A$1001,Customers!$I$2:$I$1001)</f>
        <v>Yes</v>
      </c>
    </row>
    <row r="454" spans="1:16" x14ac:dyDescent="0.3">
      <c r="A454" t="s">
        <v>906</v>
      </c>
      <c r="B454" s="11">
        <v>44524</v>
      </c>
      <c r="C454" t="s">
        <v>879</v>
      </c>
      <c r="D454" t="s">
        <v>120</v>
      </c>
      <c r="E454">
        <v>3</v>
      </c>
      <c r="F454" t="str">
        <f>_xlfn.XLOOKUP(C454,Customers!$A$2:$A$1001,Customers!$B$2:$B$1001)</f>
        <v>Morgen Seson</v>
      </c>
      <c r="G454" t="str">
        <f>_xlfn.XLOOKUP(C454,Customers!$A$2:$A$1001,Customers!$C$2:$C$1001)</f>
        <v>msesonck@census.gov</v>
      </c>
      <c r="H454" t="str">
        <f>_xlfn.XLOOKUP(C454,Customers!$A$2:$A$1001,Customers!$G$2:$G$1001)</f>
        <v>United States</v>
      </c>
      <c r="I454" t="str" cm="1">
        <f t="array" ref="I454:L454">_xlfn.XLOOKUP(D454,products!$A$2:$A$49,products!$B$2:$E$49)</f>
        <v>Ara</v>
      </c>
      <c r="J454" t="str">
        <v>L</v>
      </c>
      <c r="K454" s="8">
        <v>0.2</v>
      </c>
      <c r="L454" s="6">
        <v>3.8849999999999998</v>
      </c>
      <c r="M454" s="7">
        <f t="shared" si="21"/>
        <v>11.654999999999999</v>
      </c>
      <c r="N454" t="str">
        <f t="shared" si="22"/>
        <v>Arasbica</v>
      </c>
      <c r="O454" t="str">
        <f t="shared" si="23"/>
        <v>Lite</v>
      </c>
      <c r="P454" t="str">
        <f>_xlfn.XLOOKUP(Orders!C454,Customers!$A$2:$A$1001,Customers!$I$2:$I$1001)</f>
        <v>No</v>
      </c>
    </row>
    <row r="455" spans="1:16" x14ac:dyDescent="0.3">
      <c r="A455" t="s">
        <v>907</v>
      </c>
      <c r="B455" s="11">
        <v>44579</v>
      </c>
      <c r="C455" t="s">
        <v>908</v>
      </c>
      <c r="D455" t="s">
        <v>88</v>
      </c>
      <c r="E455">
        <v>4</v>
      </c>
      <c r="F455" t="str">
        <f>_xlfn.XLOOKUP(C455,Customers!$A$2:$A$1001,Customers!$B$2:$B$1001)</f>
        <v>Nalani Pirrone</v>
      </c>
      <c r="G455" t="str">
        <f>_xlfn.XLOOKUP(C455,Customers!$A$2:$A$1001,Customers!$C$2:$C$1001)</f>
        <v>npirronecl@weibo.com</v>
      </c>
      <c r="H455" t="str">
        <f>_xlfn.XLOOKUP(C455,Customers!$A$2:$A$1001,Customers!$G$2:$G$1001)</f>
        <v>United States</v>
      </c>
      <c r="I455" t="str" cm="1">
        <f t="array" ref="I455:L455">_xlfn.XLOOKUP(D455,products!$A$2:$A$49,products!$B$2:$E$49)</f>
        <v>Lib</v>
      </c>
      <c r="J455" t="str">
        <v>L</v>
      </c>
      <c r="K455" s="8">
        <v>0.5</v>
      </c>
      <c r="L455" s="6">
        <v>9.51</v>
      </c>
      <c r="M455" s="7">
        <f t="shared" si="21"/>
        <v>38.04</v>
      </c>
      <c r="N455" t="str">
        <f t="shared" si="22"/>
        <v>Liberica</v>
      </c>
      <c r="O455" t="str">
        <f t="shared" si="23"/>
        <v>Lite</v>
      </c>
      <c r="P455" t="str">
        <f>_xlfn.XLOOKUP(Orders!C455,Customers!$A$2:$A$1001,Customers!$I$2:$I$1001)</f>
        <v>No</v>
      </c>
    </row>
    <row r="456" spans="1:16" x14ac:dyDescent="0.3">
      <c r="A456" t="s">
        <v>909</v>
      </c>
      <c r="B456" s="11">
        <v>44421</v>
      </c>
      <c r="C456" t="s">
        <v>910</v>
      </c>
      <c r="D456" t="s">
        <v>40</v>
      </c>
      <c r="E456">
        <v>4</v>
      </c>
      <c r="F456" t="str">
        <f>_xlfn.XLOOKUP(C456,Customers!$A$2:$A$1001,Customers!$B$2:$B$1001)</f>
        <v>Reube Cawley</v>
      </c>
      <c r="G456" t="str">
        <f>_xlfn.XLOOKUP(C456,Customers!$A$2:$A$1001,Customers!$C$2:$C$1001)</f>
        <v>rcawleycm@yellowbook.com</v>
      </c>
      <c r="H456" t="str">
        <f>_xlfn.XLOOKUP(C456,Customers!$A$2:$A$1001,Customers!$G$2:$G$1001)</f>
        <v>Ireland</v>
      </c>
      <c r="I456" t="str" cm="1">
        <f t="array" ref="I456:L456">_xlfn.XLOOKUP(D456,products!$A$2:$A$49,products!$B$2:$E$49)</f>
        <v>Rob</v>
      </c>
      <c r="J456" t="str">
        <v>D</v>
      </c>
      <c r="K456" s="8">
        <v>2.5</v>
      </c>
      <c r="L456" s="6">
        <v>20.584999999999997</v>
      </c>
      <c r="M456" s="7">
        <f t="shared" si="21"/>
        <v>82.339999999999989</v>
      </c>
      <c r="N456" t="str">
        <f t="shared" si="22"/>
        <v>Robusta</v>
      </c>
      <c r="O456" t="str">
        <f t="shared" si="23"/>
        <v>Dark</v>
      </c>
      <c r="P456" t="str">
        <f>_xlfn.XLOOKUP(Orders!C456,Customers!$A$2:$A$1001,Customers!$I$2:$I$1001)</f>
        <v>Yes</v>
      </c>
    </row>
    <row r="457" spans="1:16" x14ac:dyDescent="0.3">
      <c r="A457" t="s">
        <v>911</v>
      </c>
      <c r="B457" s="11">
        <v>43841</v>
      </c>
      <c r="C457" t="s">
        <v>912</v>
      </c>
      <c r="D457" t="s">
        <v>24</v>
      </c>
      <c r="E457">
        <v>2</v>
      </c>
      <c r="F457" t="str">
        <f>_xlfn.XLOOKUP(C457,Customers!$A$2:$A$1001,Customers!$B$2:$B$1001)</f>
        <v>Stan Barribal</v>
      </c>
      <c r="G457" t="str">
        <f>_xlfn.XLOOKUP(C457,Customers!$A$2:$A$1001,Customers!$C$2:$C$1001)</f>
        <v>sbarribalcn@microsoft.com</v>
      </c>
      <c r="H457" t="str">
        <f>_xlfn.XLOOKUP(C457,Customers!$A$2:$A$1001,Customers!$G$2:$G$1001)</f>
        <v>Ireland</v>
      </c>
      <c r="I457" t="str" cm="1">
        <f t="array" ref="I457:L457">_xlfn.XLOOKUP(D457,products!$A$2:$A$49,products!$B$2:$E$49)</f>
        <v>Lib</v>
      </c>
      <c r="J457" t="str">
        <v>L</v>
      </c>
      <c r="K457" s="8">
        <v>0.2</v>
      </c>
      <c r="L457" s="6">
        <v>4.7549999999999999</v>
      </c>
      <c r="M457" s="7">
        <f t="shared" si="21"/>
        <v>9.51</v>
      </c>
      <c r="N457" t="str">
        <f t="shared" si="22"/>
        <v>Liberica</v>
      </c>
      <c r="O457" t="str">
        <f t="shared" si="23"/>
        <v>Lite</v>
      </c>
      <c r="P457" t="str">
        <f>_xlfn.XLOOKUP(Orders!C457,Customers!$A$2:$A$1001,Customers!$I$2:$I$1001)</f>
        <v>Yes</v>
      </c>
    </row>
    <row r="458" spans="1:16" x14ac:dyDescent="0.3">
      <c r="A458" t="s">
        <v>913</v>
      </c>
      <c r="B458" s="11">
        <v>44017</v>
      </c>
      <c r="C458" t="s">
        <v>914</v>
      </c>
      <c r="D458" t="s">
        <v>40</v>
      </c>
      <c r="E458">
        <v>2</v>
      </c>
      <c r="F458" t="str">
        <f>_xlfn.XLOOKUP(C458,Customers!$A$2:$A$1001,Customers!$B$2:$B$1001)</f>
        <v>Agnes Adamides</v>
      </c>
      <c r="G458" t="str">
        <f>_xlfn.XLOOKUP(C458,Customers!$A$2:$A$1001,Customers!$C$2:$C$1001)</f>
        <v>aadamidesco@bizjournals.com</v>
      </c>
      <c r="H458" t="str">
        <f>_xlfn.XLOOKUP(C458,Customers!$A$2:$A$1001,Customers!$G$2:$G$1001)</f>
        <v>United Kingdom</v>
      </c>
      <c r="I458" t="str" cm="1">
        <f t="array" ref="I458:L458">_xlfn.XLOOKUP(D458,products!$A$2:$A$49,products!$B$2:$E$49)</f>
        <v>Rob</v>
      </c>
      <c r="J458" t="str">
        <v>D</v>
      </c>
      <c r="K458" s="8">
        <v>2.5</v>
      </c>
      <c r="L458" s="6">
        <v>20.584999999999997</v>
      </c>
      <c r="M458" s="7">
        <f t="shared" si="21"/>
        <v>41.169999999999995</v>
      </c>
      <c r="N458" t="str">
        <f t="shared" si="22"/>
        <v>Robusta</v>
      </c>
      <c r="O458" t="str">
        <f t="shared" si="23"/>
        <v>Dark</v>
      </c>
      <c r="P458" t="str">
        <f>_xlfn.XLOOKUP(Orders!C458,Customers!$A$2:$A$1001,Customers!$I$2:$I$1001)</f>
        <v>No</v>
      </c>
    </row>
    <row r="459" spans="1:16" x14ac:dyDescent="0.3">
      <c r="A459" t="s">
        <v>915</v>
      </c>
      <c r="B459" s="11">
        <v>43671</v>
      </c>
      <c r="C459" t="s">
        <v>916</v>
      </c>
      <c r="D459" t="s">
        <v>88</v>
      </c>
      <c r="E459">
        <v>5</v>
      </c>
      <c r="F459" t="str">
        <f>_xlfn.XLOOKUP(C459,Customers!$A$2:$A$1001,Customers!$B$2:$B$1001)</f>
        <v>Carmelita Thowes</v>
      </c>
      <c r="G459" t="str">
        <f>_xlfn.XLOOKUP(C459,Customers!$A$2:$A$1001,Customers!$C$2:$C$1001)</f>
        <v>cthowescp@craigslist.org</v>
      </c>
      <c r="H459" t="str">
        <f>_xlfn.XLOOKUP(C459,Customers!$A$2:$A$1001,Customers!$G$2:$G$1001)</f>
        <v>United States</v>
      </c>
      <c r="I459" t="str" cm="1">
        <f t="array" ref="I459:L459">_xlfn.XLOOKUP(D459,products!$A$2:$A$49,products!$B$2:$E$49)</f>
        <v>Lib</v>
      </c>
      <c r="J459" t="str">
        <v>L</v>
      </c>
      <c r="K459" s="8">
        <v>0.5</v>
      </c>
      <c r="L459" s="6">
        <v>9.51</v>
      </c>
      <c r="M459" s="7">
        <f t="shared" si="21"/>
        <v>47.55</v>
      </c>
      <c r="N459" t="str">
        <f t="shared" si="22"/>
        <v>Liberica</v>
      </c>
      <c r="O459" t="str">
        <f t="shared" si="23"/>
        <v>Lite</v>
      </c>
      <c r="P459" t="str">
        <f>_xlfn.XLOOKUP(Orders!C459,Customers!$A$2:$A$1001,Customers!$I$2:$I$1001)</f>
        <v>No</v>
      </c>
    </row>
    <row r="460" spans="1:16" x14ac:dyDescent="0.3">
      <c r="A460" t="s">
        <v>917</v>
      </c>
      <c r="B460" s="11">
        <v>44707</v>
      </c>
      <c r="C460" t="s">
        <v>918</v>
      </c>
      <c r="D460" t="s">
        <v>66</v>
      </c>
      <c r="E460">
        <v>4</v>
      </c>
      <c r="F460" t="str">
        <f>_xlfn.XLOOKUP(C460,Customers!$A$2:$A$1001,Customers!$B$2:$B$1001)</f>
        <v>Rodolfo Willoway</v>
      </c>
      <c r="G460" t="str">
        <f>_xlfn.XLOOKUP(C460,Customers!$A$2:$A$1001,Customers!$C$2:$C$1001)</f>
        <v>rwillowaycq@admin.ch</v>
      </c>
      <c r="H460" t="str">
        <f>_xlfn.XLOOKUP(C460,Customers!$A$2:$A$1001,Customers!$G$2:$G$1001)</f>
        <v>United States</v>
      </c>
      <c r="I460" t="str" cm="1">
        <f t="array" ref="I460:L460">_xlfn.XLOOKUP(D460,products!$A$2:$A$49,products!$B$2:$E$49)</f>
        <v>Ara</v>
      </c>
      <c r="J460" t="str">
        <v>M</v>
      </c>
      <c r="K460" s="8">
        <v>1</v>
      </c>
      <c r="L460" s="6">
        <v>11.25</v>
      </c>
      <c r="M460" s="7">
        <f t="shared" si="21"/>
        <v>45</v>
      </c>
      <c r="N460" t="str">
        <f t="shared" si="22"/>
        <v>Arasbica</v>
      </c>
      <c r="O460" t="str">
        <f t="shared" si="23"/>
        <v>Medium</v>
      </c>
      <c r="P460" t="str">
        <f>_xlfn.XLOOKUP(Orders!C460,Customers!$A$2:$A$1001,Customers!$I$2:$I$1001)</f>
        <v>No</v>
      </c>
    </row>
    <row r="461" spans="1:16" x14ac:dyDescent="0.3">
      <c r="A461" t="s">
        <v>919</v>
      </c>
      <c r="B461" s="11">
        <v>43840</v>
      </c>
      <c r="C461" t="s">
        <v>920</v>
      </c>
      <c r="D461" t="s">
        <v>24</v>
      </c>
      <c r="E461">
        <v>5</v>
      </c>
      <c r="F461" t="str">
        <f>_xlfn.XLOOKUP(C461,Customers!$A$2:$A$1001,Customers!$B$2:$B$1001)</f>
        <v>Alvis Elwin</v>
      </c>
      <c r="G461" t="str">
        <f>_xlfn.XLOOKUP(C461,Customers!$A$2:$A$1001,Customers!$C$2:$C$1001)</f>
        <v>aelwincr@privacy.gov.au</v>
      </c>
      <c r="H461" t="str">
        <f>_xlfn.XLOOKUP(C461,Customers!$A$2:$A$1001,Customers!$G$2:$G$1001)</f>
        <v>United States</v>
      </c>
      <c r="I461" t="str" cm="1">
        <f t="array" ref="I461:L461">_xlfn.XLOOKUP(D461,products!$A$2:$A$49,products!$B$2:$E$49)</f>
        <v>Lib</v>
      </c>
      <c r="J461" t="str">
        <v>L</v>
      </c>
      <c r="K461" s="8">
        <v>0.2</v>
      </c>
      <c r="L461" s="6">
        <v>4.7549999999999999</v>
      </c>
      <c r="M461" s="7">
        <f t="shared" si="21"/>
        <v>23.774999999999999</v>
      </c>
      <c r="N461" t="str">
        <f t="shared" si="22"/>
        <v>Liberica</v>
      </c>
      <c r="O461" t="str">
        <f t="shared" si="23"/>
        <v>Lite</v>
      </c>
      <c r="P461" t="str">
        <f>_xlfn.XLOOKUP(Orders!C461,Customers!$A$2:$A$1001,Customers!$I$2:$I$1001)</f>
        <v>No</v>
      </c>
    </row>
    <row r="462" spans="1:16" x14ac:dyDescent="0.3">
      <c r="A462" t="s">
        <v>921</v>
      </c>
      <c r="B462" s="11">
        <v>43602</v>
      </c>
      <c r="C462" t="s">
        <v>922</v>
      </c>
      <c r="D462" t="s">
        <v>151</v>
      </c>
      <c r="E462">
        <v>3</v>
      </c>
      <c r="F462" t="str">
        <f>_xlfn.XLOOKUP(C462,Customers!$A$2:$A$1001,Customers!$B$2:$B$1001)</f>
        <v>Araldo Bilbrook</v>
      </c>
      <c r="G462" t="str">
        <f>_xlfn.XLOOKUP(C462,Customers!$A$2:$A$1001,Customers!$C$2:$C$1001)</f>
        <v>abilbrookcs@booking.com</v>
      </c>
      <c r="H462" t="str">
        <f>_xlfn.XLOOKUP(C462,Customers!$A$2:$A$1001,Customers!$G$2:$G$1001)</f>
        <v>Ireland</v>
      </c>
      <c r="I462" t="str" cm="1">
        <f t="array" ref="I462:L462">_xlfn.XLOOKUP(D462,products!$A$2:$A$49,products!$B$2:$E$49)</f>
        <v>Rob</v>
      </c>
      <c r="J462" t="str">
        <v>D</v>
      </c>
      <c r="K462" s="8">
        <v>0.5</v>
      </c>
      <c r="L462" s="6">
        <v>5.3699999999999992</v>
      </c>
      <c r="M462" s="7">
        <f t="shared" si="21"/>
        <v>16.11</v>
      </c>
      <c r="N462" t="str">
        <f t="shared" si="22"/>
        <v>Robusta</v>
      </c>
      <c r="O462" t="str">
        <f t="shared" si="23"/>
        <v>Dark</v>
      </c>
      <c r="P462" t="str">
        <f>_xlfn.XLOOKUP(Orders!C462,Customers!$A$2:$A$1001,Customers!$I$2:$I$1001)</f>
        <v>Yes</v>
      </c>
    </row>
    <row r="463" spans="1:16" x14ac:dyDescent="0.3">
      <c r="A463" t="s">
        <v>923</v>
      </c>
      <c r="B463" s="11">
        <v>44036</v>
      </c>
      <c r="C463" t="s">
        <v>924</v>
      </c>
      <c r="D463" t="s">
        <v>106</v>
      </c>
      <c r="E463">
        <v>4</v>
      </c>
      <c r="F463" t="str">
        <f>_xlfn.XLOOKUP(C463,Customers!$A$2:$A$1001,Customers!$B$2:$B$1001)</f>
        <v>Ransell McKall</v>
      </c>
      <c r="G463" t="str">
        <f>_xlfn.XLOOKUP(C463,Customers!$A$2:$A$1001,Customers!$C$2:$C$1001)</f>
        <v>rmckallct@sakura.ne.jp</v>
      </c>
      <c r="H463" t="str">
        <f>_xlfn.XLOOKUP(C463,Customers!$A$2:$A$1001,Customers!$G$2:$G$1001)</f>
        <v>United Kingdom</v>
      </c>
      <c r="I463" t="str" cm="1">
        <f t="array" ref="I463:L463">_xlfn.XLOOKUP(D463,products!$A$2:$A$49,products!$B$2:$E$49)</f>
        <v>Rob</v>
      </c>
      <c r="J463" t="str">
        <v>D</v>
      </c>
      <c r="K463" s="8">
        <v>0.2</v>
      </c>
      <c r="L463" s="6">
        <v>2.6849999999999996</v>
      </c>
      <c r="M463" s="7">
        <f t="shared" si="21"/>
        <v>10.739999999999998</v>
      </c>
      <c r="N463" t="str">
        <f t="shared" si="22"/>
        <v>Robusta</v>
      </c>
      <c r="O463" t="str">
        <f t="shared" si="23"/>
        <v>Dark</v>
      </c>
      <c r="P463" t="str">
        <f>_xlfn.XLOOKUP(Orders!C463,Customers!$A$2:$A$1001,Customers!$I$2:$I$1001)</f>
        <v>Yes</v>
      </c>
    </row>
    <row r="464" spans="1:16" x14ac:dyDescent="0.3">
      <c r="A464" t="s">
        <v>925</v>
      </c>
      <c r="B464" s="11">
        <v>44124</v>
      </c>
      <c r="C464" t="s">
        <v>926</v>
      </c>
      <c r="D464" t="s">
        <v>32</v>
      </c>
      <c r="E464">
        <v>5</v>
      </c>
      <c r="F464" t="str">
        <f>_xlfn.XLOOKUP(C464,Customers!$A$2:$A$1001,Customers!$B$2:$B$1001)</f>
        <v>Borg Daile</v>
      </c>
      <c r="G464" t="str">
        <f>_xlfn.XLOOKUP(C464,Customers!$A$2:$A$1001,Customers!$C$2:$C$1001)</f>
        <v>bdailecu@vistaprint.com</v>
      </c>
      <c r="H464" t="str">
        <f>_xlfn.XLOOKUP(C464,Customers!$A$2:$A$1001,Customers!$G$2:$G$1001)</f>
        <v>United States</v>
      </c>
      <c r="I464" t="str" cm="1">
        <f t="array" ref="I464:L464">_xlfn.XLOOKUP(D464,products!$A$2:$A$49,products!$B$2:$E$49)</f>
        <v>Ara</v>
      </c>
      <c r="J464" t="str">
        <v>D</v>
      </c>
      <c r="K464" s="8">
        <v>1</v>
      </c>
      <c r="L464" s="6">
        <v>9.9499999999999993</v>
      </c>
      <c r="M464" s="7">
        <f t="shared" si="21"/>
        <v>49.75</v>
      </c>
      <c r="N464" t="str">
        <f t="shared" si="22"/>
        <v>Arasbica</v>
      </c>
      <c r="O464" t="str">
        <f t="shared" si="23"/>
        <v>Dark</v>
      </c>
      <c r="P464" t="str">
        <f>_xlfn.XLOOKUP(Orders!C464,Customers!$A$2:$A$1001,Customers!$I$2:$I$1001)</f>
        <v>Yes</v>
      </c>
    </row>
    <row r="465" spans="1:16" x14ac:dyDescent="0.3">
      <c r="A465" t="s">
        <v>927</v>
      </c>
      <c r="B465" s="11">
        <v>43730</v>
      </c>
      <c r="C465" t="s">
        <v>928</v>
      </c>
      <c r="D465" t="s">
        <v>14</v>
      </c>
      <c r="E465">
        <v>2</v>
      </c>
      <c r="F465" t="str">
        <f>_xlfn.XLOOKUP(C465,Customers!$A$2:$A$1001,Customers!$B$2:$B$1001)</f>
        <v>Adolphe Treherne</v>
      </c>
      <c r="G465" t="str">
        <f>_xlfn.XLOOKUP(C465,Customers!$A$2:$A$1001,Customers!$C$2:$C$1001)</f>
        <v>atrehernecv@state.tx.us</v>
      </c>
      <c r="H465" t="str">
        <f>_xlfn.XLOOKUP(C465,Customers!$A$2:$A$1001,Customers!$G$2:$G$1001)</f>
        <v>Ireland</v>
      </c>
      <c r="I465" t="str" cm="1">
        <f t="array" ref="I465:L465">_xlfn.XLOOKUP(D465,products!$A$2:$A$49,products!$B$2:$E$49)</f>
        <v>Exc</v>
      </c>
      <c r="J465" t="str">
        <v>M</v>
      </c>
      <c r="K465" s="8">
        <v>1</v>
      </c>
      <c r="L465" s="6">
        <v>13.75</v>
      </c>
      <c r="M465" s="7">
        <f t="shared" si="21"/>
        <v>27.5</v>
      </c>
      <c r="N465" t="str">
        <f t="shared" si="22"/>
        <v>Excelsa</v>
      </c>
      <c r="O465" t="str">
        <f t="shared" si="23"/>
        <v>Medium</v>
      </c>
      <c r="P465" t="str">
        <f>_xlfn.XLOOKUP(Orders!C465,Customers!$A$2:$A$1001,Customers!$I$2:$I$1001)</f>
        <v>No</v>
      </c>
    </row>
    <row r="466" spans="1:16" x14ac:dyDescent="0.3">
      <c r="A466" t="s">
        <v>929</v>
      </c>
      <c r="B466" s="11">
        <v>43989</v>
      </c>
      <c r="C466" t="s">
        <v>930</v>
      </c>
      <c r="D466" t="s">
        <v>114</v>
      </c>
      <c r="E466">
        <v>4</v>
      </c>
      <c r="F466" t="str">
        <f>_xlfn.XLOOKUP(C466,Customers!$A$2:$A$1001,Customers!$B$2:$B$1001)</f>
        <v>Annetta Brentnall</v>
      </c>
      <c r="G466" t="str">
        <f>_xlfn.XLOOKUP(C466,Customers!$A$2:$A$1001,Customers!$C$2:$C$1001)</f>
        <v>abrentnallcw@biglobe.ne.jp</v>
      </c>
      <c r="H466" t="str">
        <f>_xlfn.XLOOKUP(C466,Customers!$A$2:$A$1001,Customers!$G$2:$G$1001)</f>
        <v>United Kingdom</v>
      </c>
      <c r="I466" t="str" cm="1">
        <f t="array" ref="I466:L466">_xlfn.XLOOKUP(D466,products!$A$2:$A$49,products!$B$2:$E$49)</f>
        <v>Lib</v>
      </c>
      <c r="J466" t="str">
        <v>D</v>
      </c>
      <c r="K466" s="8">
        <v>2.5</v>
      </c>
      <c r="L466" s="6">
        <v>29.784999999999997</v>
      </c>
      <c r="M466" s="7">
        <f t="shared" si="21"/>
        <v>119.13999999999999</v>
      </c>
      <c r="N466" t="str">
        <f t="shared" si="22"/>
        <v>Liberica</v>
      </c>
      <c r="O466" t="str">
        <f t="shared" si="23"/>
        <v>Dark</v>
      </c>
      <c r="P466" t="str">
        <f>_xlfn.XLOOKUP(Orders!C466,Customers!$A$2:$A$1001,Customers!$I$2:$I$1001)</f>
        <v>No</v>
      </c>
    </row>
    <row r="467" spans="1:16" x14ac:dyDescent="0.3">
      <c r="A467" t="s">
        <v>931</v>
      </c>
      <c r="B467" s="11">
        <v>43814</v>
      </c>
      <c r="C467" t="s">
        <v>932</v>
      </c>
      <c r="D467" t="s">
        <v>40</v>
      </c>
      <c r="E467">
        <v>1</v>
      </c>
      <c r="F467" t="str">
        <f>_xlfn.XLOOKUP(C467,Customers!$A$2:$A$1001,Customers!$B$2:$B$1001)</f>
        <v>Dick Drinkall</v>
      </c>
      <c r="G467" t="str">
        <f>_xlfn.XLOOKUP(C467,Customers!$A$2:$A$1001,Customers!$C$2:$C$1001)</f>
        <v>ddrinkallcx@psu.edu</v>
      </c>
      <c r="H467" t="str">
        <f>_xlfn.XLOOKUP(C467,Customers!$A$2:$A$1001,Customers!$G$2:$G$1001)</f>
        <v>United States</v>
      </c>
      <c r="I467" t="str" cm="1">
        <f t="array" ref="I467:L467">_xlfn.XLOOKUP(D467,products!$A$2:$A$49,products!$B$2:$E$49)</f>
        <v>Rob</v>
      </c>
      <c r="J467" t="str">
        <v>D</v>
      </c>
      <c r="K467" s="8">
        <v>2.5</v>
      </c>
      <c r="L467" s="6">
        <v>20.584999999999997</v>
      </c>
      <c r="M467" s="7">
        <f t="shared" si="21"/>
        <v>20.584999999999997</v>
      </c>
      <c r="N467" t="str">
        <f t="shared" si="22"/>
        <v>Robusta</v>
      </c>
      <c r="O467" t="str">
        <f t="shared" si="23"/>
        <v>Dark</v>
      </c>
      <c r="P467" t="str">
        <f>_xlfn.XLOOKUP(Orders!C467,Customers!$A$2:$A$1001,Customers!$I$2:$I$1001)</f>
        <v>Yes</v>
      </c>
    </row>
    <row r="468" spans="1:16" x14ac:dyDescent="0.3">
      <c r="A468" t="s">
        <v>933</v>
      </c>
      <c r="B468" s="11">
        <v>44171</v>
      </c>
      <c r="C468" t="s">
        <v>934</v>
      </c>
      <c r="D468" t="s">
        <v>59</v>
      </c>
      <c r="E468">
        <v>3</v>
      </c>
      <c r="F468" t="str">
        <f>_xlfn.XLOOKUP(C468,Customers!$A$2:$A$1001,Customers!$B$2:$B$1001)</f>
        <v>Dagny Kornel</v>
      </c>
      <c r="G468" t="str">
        <f>_xlfn.XLOOKUP(C468,Customers!$A$2:$A$1001,Customers!$C$2:$C$1001)</f>
        <v>dkornelcy@cyberchimps.com</v>
      </c>
      <c r="H468" t="str">
        <f>_xlfn.XLOOKUP(C468,Customers!$A$2:$A$1001,Customers!$G$2:$G$1001)</f>
        <v>United States</v>
      </c>
      <c r="I468" t="str" cm="1">
        <f t="array" ref="I468:L468">_xlfn.XLOOKUP(D468,products!$A$2:$A$49,products!$B$2:$E$49)</f>
        <v>Ara</v>
      </c>
      <c r="J468" t="str">
        <v>D</v>
      </c>
      <c r="K468" s="8">
        <v>0.2</v>
      </c>
      <c r="L468" s="6">
        <v>2.9849999999999999</v>
      </c>
      <c r="M468" s="7">
        <f t="shared" si="21"/>
        <v>8.9550000000000001</v>
      </c>
      <c r="N468" t="str">
        <f t="shared" si="22"/>
        <v>Arasbica</v>
      </c>
      <c r="O468" t="str">
        <f t="shared" si="23"/>
        <v>Dark</v>
      </c>
      <c r="P468" t="str">
        <f>_xlfn.XLOOKUP(Orders!C468,Customers!$A$2:$A$1001,Customers!$I$2:$I$1001)</f>
        <v>Yes</v>
      </c>
    </row>
    <row r="469" spans="1:16" x14ac:dyDescent="0.3">
      <c r="A469" t="s">
        <v>935</v>
      </c>
      <c r="B469" s="11">
        <v>44536</v>
      </c>
      <c r="C469" t="s">
        <v>936</v>
      </c>
      <c r="D469" t="s">
        <v>77</v>
      </c>
      <c r="E469">
        <v>1</v>
      </c>
      <c r="F469" t="str">
        <f>_xlfn.XLOOKUP(C469,Customers!$A$2:$A$1001,Customers!$B$2:$B$1001)</f>
        <v>Rhona Lequeux</v>
      </c>
      <c r="G469" t="str">
        <f>_xlfn.XLOOKUP(C469,Customers!$A$2:$A$1001,Customers!$C$2:$C$1001)</f>
        <v>rlequeuxcz@newyorker.com</v>
      </c>
      <c r="H469" t="str">
        <f>_xlfn.XLOOKUP(C469,Customers!$A$2:$A$1001,Customers!$G$2:$G$1001)</f>
        <v>United States</v>
      </c>
      <c r="I469" t="str" cm="1">
        <f t="array" ref="I469:L469">_xlfn.XLOOKUP(D469,products!$A$2:$A$49,products!$B$2:$E$49)</f>
        <v>Ara</v>
      </c>
      <c r="J469" t="str">
        <v>D</v>
      </c>
      <c r="K469" s="8">
        <v>0.5</v>
      </c>
      <c r="L469" s="6">
        <v>5.97</v>
      </c>
      <c r="M469" s="7">
        <f t="shared" si="21"/>
        <v>5.97</v>
      </c>
      <c r="N469" t="str">
        <f t="shared" si="22"/>
        <v>Arasbica</v>
      </c>
      <c r="O469" t="str">
        <f t="shared" si="23"/>
        <v>Dark</v>
      </c>
      <c r="P469" t="str">
        <f>_xlfn.XLOOKUP(Orders!C469,Customers!$A$2:$A$1001,Customers!$I$2:$I$1001)</f>
        <v>No</v>
      </c>
    </row>
    <row r="470" spans="1:16" x14ac:dyDescent="0.3">
      <c r="A470" t="s">
        <v>937</v>
      </c>
      <c r="B470" s="11">
        <v>44023</v>
      </c>
      <c r="C470" t="s">
        <v>938</v>
      </c>
      <c r="D470" t="s">
        <v>14</v>
      </c>
      <c r="E470">
        <v>3</v>
      </c>
      <c r="F470" t="str">
        <f>_xlfn.XLOOKUP(C470,Customers!$A$2:$A$1001,Customers!$B$2:$B$1001)</f>
        <v>Julius Mccaull</v>
      </c>
      <c r="G470" t="str">
        <f>_xlfn.XLOOKUP(C470,Customers!$A$2:$A$1001,Customers!$C$2:$C$1001)</f>
        <v>jmccaulld0@parallels.com</v>
      </c>
      <c r="H470" t="str">
        <f>_xlfn.XLOOKUP(C470,Customers!$A$2:$A$1001,Customers!$G$2:$G$1001)</f>
        <v>United States</v>
      </c>
      <c r="I470" t="str" cm="1">
        <f t="array" ref="I470:L470">_xlfn.XLOOKUP(D470,products!$A$2:$A$49,products!$B$2:$E$49)</f>
        <v>Exc</v>
      </c>
      <c r="J470" t="str">
        <v>M</v>
      </c>
      <c r="K470" s="8">
        <v>1</v>
      </c>
      <c r="L470" s="6">
        <v>13.75</v>
      </c>
      <c r="M470" s="7">
        <f t="shared" si="21"/>
        <v>41.25</v>
      </c>
      <c r="N470" t="str">
        <f t="shared" si="22"/>
        <v>Excelsa</v>
      </c>
      <c r="O470" t="str">
        <f t="shared" si="23"/>
        <v>Medium</v>
      </c>
      <c r="P470" t="str">
        <f>_xlfn.XLOOKUP(Orders!C470,Customers!$A$2:$A$1001,Customers!$I$2:$I$1001)</f>
        <v>Yes</v>
      </c>
    </row>
    <row r="471" spans="1:16" x14ac:dyDescent="0.3">
      <c r="A471" t="s">
        <v>939</v>
      </c>
      <c r="B471" s="11">
        <v>44375</v>
      </c>
      <c r="C471" t="s">
        <v>940</v>
      </c>
      <c r="D471" t="s">
        <v>259</v>
      </c>
      <c r="E471">
        <v>5</v>
      </c>
      <c r="F471" t="str">
        <f>_xlfn.XLOOKUP(C471,Customers!$A$2:$A$1001,Customers!$B$2:$B$1001)</f>
        <v>Ailey Brash</v>
      </c>
      <c r="G471" t="str">
        <f>_xlfn.XLOOKUP(C471,Customers!$A$2:$A$1001,Customers!$C$2:$C$1001)</f>
        <v>abrashda@plala.or.jp</v>
      </c>
      <c r="H471" t="str">
        <f>_xlfn.XLOOKUP(C471,Customers!$A$2:$A$1001,Customers!$G$2:$G$1001)</f>
        <v>United States</v>
      </c>
      <c r="I471" t="str" cm="1">
        <f t="array" ref="I471:L471">_xlfn.XLOOKUP(D471,products!$A$2:$A$49,products!$B$2:$E$49)</f>
        <v>Exc</v>
      </c>
      <c r="J471" t="str">
        <v>L</v>
      </c>
      <c r="K471" s="8">
        <v>0.2</v>
      </c>
      <c r="L471" s="6">
        <v>4.4550000000000001</v>
      </c>
      <c r="M471" s="7">
        <f t="shared" si="21"/>
        <v>22.274999999999999</v>
      </c>
      <c r="N471" t="str">
        <f t="shared" si="22"/>
        <v>Excelsa</v>
      </c>
      <c r="O471" t="str">
        <f t="shared" si="23"/>
        <v>Lite</v>
      </c>
      <c r="P471" t="str">
        <f>_xlfn.XLOOKUP(Orders!C471,Customers!$A$2:$A$1001,Customers!$I$2:$I$1001)</f>
        <v>Yes</v>
      </c>
    </row>
    <row r="472" spans="1:16" x14ac:dyDescent="0.3">
      <c r="A472" t="s">
        <v>941</v>
      </c>
      <c r="B472" s="11">
        <v>44656</v>
      </c>
      <c r="C472" t="s">
        <v>942</v>
      </c>
      <c r="D472" t="s">
        <v>72</v>
      </c>
      <c r="E472">
        <v>1</v>
      </c>
      <c r="F472" t="str">
        <f>_xlfn.XLOOKUP(C472,Customers!$A$2:$A$1001,Customers!$B$2:$B$1001)</f>
        <v>Alberto Hutchinson</v>
      </c>
      <c r="G472" t="str">
        <f>_xlfn.XLOOKUP(C472,Customers!$A$2:$A$1001,Customers!$C$2:$C$1001)</f>
        <v>ahutchinsond2@imgur.com</v>
      </c>
      <c r="H472" t="str">
        <f>_xlfn.XLOOKUP(C472,Customers!$A$2:$A$1001,Customers!$G$2:$G$1001)</f>
        <v>United States</v>
      </c>
      <c r="I472" t="str" cm="1">
        <f t="array" ref="I472:L472">_xlfn.XLOOKUP(D472,products!$A$2:$A$49,products!$B$2:$E$49)</f>
        <v>Ara</v>
      </c>
      <c r="J472" t="str">
        <v>M</v>
      </c>
      <c r="K472" s="8">
        <v>0.5</v>
      </c>
      <c r="L472" s="6">
        <v>6.75</v>
      </c>
      <c r="M472" s="7">
        <f t="shared" si="21"/>
        <v>6.75</v>
      </c>
      <c r="N472" t="str">
        <f t="shared" si="22"/>
        <v>Arasbica</v>
      </c>
      <c r="O472" t="str">
        <f t="shared" si="23"/>
        <v>Medium</v>
      </c>
      <c r="P472" t="str">
        <f>_xlfn.XLOOKUP(Orders!C472,Customers!$A$2:$A$1001,Customers!$I$2:$I$1001)</f>
        <v>Yes</v>
      </c>
    </row>
    <row r="473" spans="1:16" x14ac:dyDescent="0.3">
      <c r="A473" t="s">
        <v>943</v>
      </c>
      <c r="B473" s="11">
        <v>44644</v>
      </c>
      <c r="C473" t="s">
        <v>944</v>
      </c>
      <c r="D473" t="s">
        <v>202</v>
      </c>
      <c r="E473">
        <v>4</v>
      </c>
      <c r="F473" t="str">
        <f>_xlfn.XLOOKUP(C473,Customers!$A$2:$A$1001,Customers!$B$2:$B$1001)</f>
        <v>Lamond Gheeraert</v>
      </c>
      <c r="G473">
        <f>_xlfn.XLOOKUP(C473,Customers!$A$2:$A$1001,Customers!$C$2:$C$1001)</f>
        <v>0</v>
      </c>
      <c r="H473" t="str">
        <f>_xlfn.XLOOKUP(C473,Customers!$A$2:$A$1001,Customers!$G$2:$G$1001)</f>
        <v>United States</v>
      </c>
      <c r="I473" t="str" cm="1">
        <f t="array" ref="I473:L473">_xlfn.XLOOKUP(D473,products!$A$2:$A$49,products!$B$2:$E$49)</f>
        <v>Lib</v>
      </c>
      <c r="J473" t="str">
        <v>M</v>
      </c>
      <c r="K473" s="8">
        <v>2.5</v>
      </c>
      <c r="L473" s="6">
        <v>33.464999999999996</v>
      </c>
      <c r="M473" s="7">
        <f t="shared" si="21"/>
        <v>133.85999999999999</v>
      </c>
      <c r="N473" t="str">
        <f t="shared" si="22"/>
        <v>Liberica</v>
      </c>
      <c r="O473" t="str">
        <f t="shared" si="23"/>
        <v>Medium</v>
      </c>
      <c r="P473" t="str">
        <f>_xlfn.XLOOKUP(Orders!C473,Customers!$A$2:$A$1001,Customers!$I$2:$I$1001)</f>
        <v>Yes</v>
      </c>
    </row>
    <row r="474" spans="1:16" x14ac:dyDescent="0.3">
      <c r="A474" t="s">
        <v>945</v>
      </c>
      <c r="B474" s="11">
        <v>43869</v>
      </c>
      <c r="C474" t="s">
        <v>946</v>
      </c>
      <c r="D474" t="s">
        <v>59</v>
      </c>
      <c r="E474">
        <v>2</v>
      </c>
      <c r="F474" t="str">
        <f>_xlfn.XLOOKUP(C474,Customers!$A$2:$A$1001,Customers!$B$2:$B$1001)</f>
        <v>Roxine Drivers</v>
      </c>
      <c r="G474" t="str">
        <f>_xlfn.XLOOKUP(C474,Customers!$A$2:$A$1001,Customers!$C$2:$C$1001)</f>
        <v>rdriversd4@hexun.com</v>
      </c>
      <c r="H474" t="str">
        <f>_xlfn.XLOOKUP(C474,Customers!$A$2:$A$1001,Customers!$G$2:$G$1001)</f>
        <v>United States</v>
      </c>
      <c r="I474" t="str" cm="1">
        <f t="array" ref="I474:L474">_xlfn.XLOOKUP(D474,products!$A$2:$A$49,products!$B$2:$E$49)</f>
        <v>Ara</v>
      </c>
      <c r="J474" t="str">
        <v>D</v>
      </c>
      <c r="K474" s="8">
        <v>0.2</v>
      </c>
      <c r="L474" s="6">
        <v>2.9849999999999999</v>
      </c>
      <c r="M474" s="7">
        <f t="shared" si="21"/>
        <v>5.97</v>
      </c>
      <c r="N474" t="str">
        <f t="shared" si="22"/>
        <v>Arasbica</v>
      </c>
      <c r="O474" t="str">
        <f t="shared" si="23"/>
        <v>Dark</v>
      </c>
      <c r="P474" t="str">
        <f>_xlfn.XLOOKUP(Orders!C474,Customers!$A$2:$A$1001,Customers!$I$2:$I$1001)</f>
        <v>No</v>
      </c>
    </row>
    <row r="475" spans="1:16" x14ac:dyDescent="0.3">
      <c r="A475" t="s">
        <v>947</v>
      </c>
      <c r="B475" s="11">
        <v>44603</v>
      </c>
      <c r="C475" t="s">
        <v>948</v>
      </c>
      <c r="D475" t="s">
        <v>11</v>
      </c>
      <c r="E475">
        <v>2</v>
      </c>
      <c r="F475" t="str">
        <f>_xlfn.XLOOKUP(C475,Customers!$A$2:$A$1001,Customers!$B$2:$B$1001)</f>
        <v>Heloise Zeal</v>
      </c>
      <c r="G475" t="str">
        <f>_xlfn.XLOOKUP(C475,Customers!$A$2:$A$1001,Customers!$C$2:$C$1001)</f>
        <v>hzeald5@google.de</v>
      </c>
      <c r="H475" t="str">
        <f>_xlfn.XLOOKUP(C475,Customers!$A$2:$A$1001,Customers!$G$2:$G$1001)</f>
        <v>United States</v>
      </c>
      <c r="I475" t="str" cm="1">
        <f t="array" ref="I475:L475">_xlfn.XLOOKUP(D475,products!$A$2:$A$49,products!$B$2:$E$49)</f>
        <v>Ara</v>
      </c>
      <c r="J475" t="str">
        <v>L</v>
      </c>
      <c r="K475" s="8">
        <v>1</v>
      </c>
      <c r="L475" s="6">
        <v>12.95</v>
      </c>
      <c r="M475" s="7">
        <f t="shared" si="21"/>
        <v>25.9</v>
      </c>
      <c r="N475" t="str">
        <f t="shared" si="22"/>
        <v>Arasbica</v>
      </c>
      <c r="O475" t="str">
        <f t="shared" si="23"/>
        <v>Lite</v>
      </c>
      <c r="P475" t="str">
        <f>_xlfn.XLOOKUP(Orders!C475,Customers!$A$2:$A$1001,Customers!$I$2:$I$1001)</f>
        <v>No</v>
      </c>
    </row>
    <row r="476" spans="1:16" x14ac:dyDescent="0.3">
      <c r="A476" t="s">
        <v>949</v>
      </c>
      <c r="B476" s="11">
        <v>44014</v>
      </c>
      <c r="C476" t="s">
        <v>950</v>
      </c>
      <c r="D476" t="s">
        <v>117</v>
      </c>
      <c r="E476">
        <v>1</v>
      </c>
      <c r="F476" t="str">
        <f>_xlfn.XLOOKUP(C476,Customers!$A$2:$A$1001,Customers!$B$2:$B$1001)</f>
        <v>Granger Smallcombe</v>
      </c>
      <c r="G476" t="str">
        <f>_xlfn.XLOOKUP(C476,Customers!$A$2:$A$1001,Customers!$C$2:$C$1001)</f>
        <v>gsmallcombed6@ucla.edu</v>
      </c>
      <c r="H476" t="str">
        <f>_xlfn.XLOOKUP(C476,Customers!$A$2:$A$1001,Customers!$G$2:$G$1001)</f>
        <v>Ireland</v>
      </c>
      <c r="I476" t="str" cm="1">
        <f t="array" ref="I476:L476">_xlfn.XLOOKUP(D476,products!$A$2:$A$49,products!$B$2:$E$49)</f>
        <v>Exc</v>
      </c>
      <c r="J476" t="str">
        <v>M</v>
      </c>
      <c r="K476" s="8">
        <v>2.5</v>
      </c>
      <c r="L476" s="6">
        <v>31.624999999999996</v>
      </c>
      <c r="M476" s="7">
        <f t="shared" si="21"/>
        <v>31.624999999999996</v>
      </c>
      <c r="N476" t="str">
        <f t="shared" si="22"/>
        <v>Excelsa</v>
      </c>
      <c r="O476" t="str">
        <f t="shared" si="23"/>
        <v>Medium</v>
      </c>
      <c r="P476" t="str">
        <f>_xlfn.XLOOKUP(Orders!C476,Customers!$A$2:$A$1001,Customers!$I$2:$I$1001)</f>
        <v>Yes</v>
      </c>
    </row>
    <row r="477" spans="1:16" x14ac:dyDescent="0.3">
      <c r="A477" t="s">
        <v>951</v>
      </c>
      <c r="B477" s="11">
        <v>44767</v>
      </c>
      <c r="C477" t="s">
        <v>952</v>
      </c>
      <c r="D477" t="s">
        <v>82</v>
      </c>
      <c r="E477">
        <v>2</v>
      </c>
      <c r="F477" t="str">
        <f>_xlfn.XLOOKUP(C477,Customers!$A$2:$A$1001,Customers!$B$2:$B$1001)</f>
        <v>Daryn Dibley</v>
      </c>
      <c r="G477" t="str">
        <f>_xlfn.XLOOKUP(C477,Customers!$A$2:$A$1001,Customers!$C$2:$C$1001)</f>
        <v>ddibleyd7@feedburner.com</v>
      </c>
      <c r="H477" t="str">
        <f>_xlfn.XLOOKUP(C477,Customers!$A$2:$A$1001,Customers!$G$2:$G$1001)</f>
        <v>United States</v>
      </c>
      <c r="I477" t="str" cm="1">
        <f t="array" ref="I477:L477">_xlfn.XLOOKUP(D477,products!$A$2:$A$49,products!$B$2:$E$49)</f>
        <v>Lib</v>
      </c>
      <c r="J477" t="str">
        <v>M</v>
      </c>
      <c r="K477" s="8">
        <v>0.2</v>
      </c>
      <c r="L477" s="6">
        <v>4.3650000000000002</v>
      </c>
      <c r="M477" s="7">
        <f t="shared" si="21"/>
        <v>8.73</v>
      </c>
      <c r="N477" t="str">
        <f t="shared" si="22"/>
        <v>Liberica</v>
      </c>
      <c r="O477" t="str">
        <f t="shared" si="23"/>
        <v>Medium</v>
      </c>
      <c r="P477" t="str">
        <f>_xlfn.XLOOKUP(Orders!C477,Customers!$A$2:$A$1001,Customers!$I$2:$I$1001)</f>
        <v>No</v>
      </c>
    </row>
    <row r="478" spans="1:16" x14ac:dyDescent="0.3">
      <c r="A478" t="s">
        <v>953</v>
      </c>
      <c r="B478" s="11">
        <v>44274</v>
      </c>
      <c r="C478" t="s">
        <v>954</v>
      </c>
      <c r="D478" t="s">
        <v>259</v>
      </c>
      <c r="E478">
        <v>6</v>
      </c>
      <c r="F478" t="str">
        <f>_xlfn.XLOOKUP(C478,Customers!$A$2:$A$1001,Customers!$B$2:$B$1001)</f>
        <v>Gardy Dimitriou</v>
      </c>
      <c r="G478" t="str">
        <f>_xlfn.XLOOKUP(C478,Customers!$A$2:$A$1001,Customers!$C$2:$C$1001)</f>
        <v>gdimitrioud8@chronoengine.com</v>
      </c>
      <c r="H478" t="str">
        <f>_xlfn.XLOOKUP(C478,Customers!$A$2:$A$1001,Customers!$G$2:$G$1001)</f>
        <v>United States</v>
      </c>
      <c r="I478" t="str" cm="1">
        <f t="array" ref="I478:L478">_xlfn.XLOOKUP(D478,products!$A$2:$A$49,products!$B$2:$E$49)</f>
        <v>Exc</v>
      </c>
      <c r="J478" t="str">
        <v>L</v>
      </c>
      <c r="K478" s="8">
        <v>0.2</v>
      </c>
      <c r="L478" s="6">
        <v>4.4550000000000001</v>
      </c>
      <c r="M478" s="7">
        <f t="shared" si="21"/>
        <v>26.73</v>
      </c>
      <c r="N478" t="str">
        <f t="shared" si="22"/>
        <v>Excelsa</v>
      </c>
      <c r="O478" t="str">
        <f t="shared" si="23"/>
        <v>Lite</v>
      </c>
      <c r="P478" t="str">
        <f>_xlfn.XLOOKUP(Orders!C478,Customers!$A$2:$A$1001,Customers!$I$2:$I$1001)</f>
        <v>Yes</v>
      </c>
    </row>
    <row r="479" spans="1:16" x14ac:dyDescent="0.3">
      <c r="A479" t="s">
        <v>955</v>
      </c>
      <c r="B479" s="11">
        <v>43962</v>
      </c>
      <c r="C479" t="s">
        <v>956</v>
      </c>
      <c r="D479" t="s">
        <v>82</v>
      </c>
      <c r="E479">
        <v>6</v>
      </c>
      <c r="F479" t="str">
        <f>_xlfn.XLOOKUP(C479,Customers!$A$2:$A$1001,Customers!$B$2:$B$1001)</f>
        <v>Fanny Flanagan</v>
      </c>
      <c r="G479" t="str">
        <f>_xlfn.XLOOKUP(C479,Customers!$A$2:$A$1001,Customers!$C$2:$C$1001)</f>
        <v>fflanagand9@woothemes.com</v>
      </c>
      <c r="H479" t="str">
        <f>_xlfn.XLOOKUP(C479,Customers!$A$2:$A$1001,Customers!$G$2:$G$1001)</f>
        <v>United States</v>
      </c>
      <c r="I479" t="str" cm="1">
        <f t="array" ref="I479:L479">_xlfn.XLOOKUP(D479,products!$A$2:$A$49,products!$B$2:$E$49)</f>
        <v>Lib</v>
      </c>
      <c r="J479" t="str">
        <v>M</v>
      </c>
      <c r="K479" s="8">
        <v>0.2</v>
      </c>
      <c r="L479" s="6">
        <v>4.3650000000000002</v>
      </c>
      <c r="M479" s="7">
        <f t="shared" si="21"/>
        <v>26.19</v>
      </c>
      <c r="N479" t="str">
        <f t="shared" si="22"/>
        <v>Liberica</v>
      </c>
      <c r="O479" t="str">
        <f t="shared" si="23"/>
        <v>Medium</v>
      </c>
      <c r="P479" t="str">
        <f>_xlfn.XLOOKUP(Orders!C479,Customers!$A$2:$A$1001,Customers!$I$2:$I$1001)</f>
        <v>No</v>
      </c>
    </row>
    <row r="480" spans="1:16" x14ac:dyDescent="0.3">
      <c r="A480" t="s">
        <v>957</v>
      </c>
      <c r="B480" s="11">
        <v>43624</v>
      </c>
      <c r="C480" t="s">
        <v>940</v>
      </c>
      <c r="D480" t="s">
        <v>184</v>
      </c>
      <c r="E480">
        <v>6</v>
      </c>
      <c r="F480" t="str">
        <f>_xlfn.XLOOKUP(C480,Customers!$A$2:$A$1001,Customers!$B$2:$B$1001)</f>
        <v>Ailey Brash</v>
      </c>
      <c r="G480" t="str">
        <f>_xlfn.XLOOKUP(C480,Customers!$A$2:$A$1001,Customers!$C$2:$C$1001)</f>
        <v>abrashda@plala.or.jp</v>
      </c>
      <c r="H480" t="str">
        <f>_xlfn.XLOOKUP(C480,Customers!$A$2:$A$1001,Customers!$G$2:$G$1001)</f>
        <v>United States</v>
      </c>
      <c r="I480" t="str" cm="1">
        <f t="array" ref="I480:L480">_xlfn.XLOOKUP(D480,products!$A$2:$A$49,products!$B$2:$E$49)</f>
        <v>Rob</v>
      </c>
      <c r="J480" t="str">
        <v>D</v>
      </c>
      <c r="K480" s="8">
        <v>1</v>
      </c>
      <c r="L480" s="6">
        <v>8.9499999999999993</v>
      </c>
      <c r="M480" s="7">
        <f t="shared" si="21"/>
        <v>53.699999999999996</v>
      </c>
      <c r="N480" t="str">
        <f t="shared" si="22"/>
        <v>Robusta</v>
      </c>
      <c r="O480" t="str">
        <f t="shared" si="23"/>
        <v>Dark</v>
      </c>
      <c r="P480" t="str">
        <f>_xlfn.XLOOKUP(Orders!C480,Customers!$A$2:$A$1001,Customers!$I$2:$I$1001)</f>
        <v>Yes</v>
      </c>
    </row>
    <row r="481" spans="1:16" x14ac:dyDescent="0.3">
      <c r="A481" t="s">
        <v>957</v>
      </c>
      <c r="B481" s="11">
        <v>43624</v>
      </c>
      <c r="C481" t="s">
        <v>940</v>
      </c>
      <c r="D481" t="s">
        <v>117</v>
      </c>
      <c r="E481">
        <v>4</v>
      </c>
      <c r="F481" t="str">
        <f>_xlfn.XLOOKUP(C481,Customers!$A$2:$A$1001,Customers!$B$2:$B$1001)</f>
        <v>Ailey Brash</v>
      </c>
      <c r="G481" t="str">
        <f>_xlfn.XLOOKUP(C481,Customers!$A$2:$A$1001,Customers!$C$2:$C$1001)</f>
        <v>abrashda@plala.or.jp</v>
      </c>
      <c r="H481" t="str">
        <f>_xlfn.XLOOKUP(C481,Customers!$A$2:$A$1001,Customers!$G$2:$G$1001)</f>
        <v>United States</v>
      </c>
      <c r="I481" t="str" cm="1">
        <f t="array" ref="I481:L481">_xlfn.XLOOKUP(D481,products!$A$2:$A$49,products!$B$2:$E$49)</f>
        <v>Exc</v>
      </c>
      <c r="J481" t="str">
        <v>M</v>
      </c>
      <c r="K481" s="8">
        <v>2.5</v>
      </c>
      <c r="L481" s="6">
        <v>31.624999999999996</v>
      </c>
      <c r="M481" s="7">
        <f t="shared" si="21"/>
        <v>126.49999999999999</v>
      </c>
      <c r="N481" t="str">
        <f t="shared" si="22"/>
        <v>Excelsa</v>
      </c>
      <c r="O481" t="str">
        <f t="shared" si="23"/>
        <v>Medium</v>
      </c>
      <c r="P481" t="str">
        <f>_xlfn.XLOOKUP(Orders!C481,Customers!$A$2:$A$1001,Customers!$I$2:$I$1001)</f>
        <v>Yes</v>
      </c>
    </row>
    <row r="482" spans="1:16" x14ac:dyDescent="0.3">
      <c r="A482" t="s">
        <v>957</v>
      </c>
      <c r="B482" s="11">
        <v>43624</v>
      </c>
      <c r="C482" t="s">
        <v>940</v>
      </c>
      <c r="D482" t="s">
        <v>69</v>
      </c>
      <c r="E482">
        <v>1</v>
      </c>
      <c r="F482" t="str">
        <f>_xlfn.XLOOKUP(C482,Customers!$A$2:$A$1001,Customers!$B$2:$B$1001)</f>
        <v>Ailey Brash</v>
      </c>
      <c r="G482" t="str">
        <f>_xlfn.XLOOKUP(C482,Customers!$A$2:$A$1001,Customers!$C$2:$C$1001)</f>
        <v>abrashda@plala.or.jp</v>
      </c>
      <c r="H482" t="str">
        <f>_xlfn.XLOOKUP(C482,Customers!$A$2:$A$1001,Customers!$G$2:$G$1001)</f>
        <v>United States</v>
      </c>
      <c r="I482" t="str" cm="1">
        <f t="array" ref="I482:L482">_xlfn.XLOOKUP(D482,products!$A$2:$A$49,products!$B$2:$E$49)</f>
        <v>Exc</v>
      </c>
      <c r="J482" t="str">
        <v>M</v>
      </c>
      <c r="K482" s="8">
        <v>0.2</v>
      </c>
      <c r="L482" s="6">
        <v>4.125</v>
      </c>
      <c r="M482" s="7">
        <f t="shared" si="21"/>
        <v>4.125</v>
      </c>
      <c r="N482" t="str">
        <f t="shared" si="22"/>
        <v>Excelsa</v>
      </c>
      <c r="O482" t="str">
        <f t="shared" si="23"/>
        <v>Medium</v>
      </c>
      <c r="P482" t="str">
        <f>_xlfn.XLOOKUP(Orders!C482,Customers!$A$2:$A$1001,Customers!$I$2:$I$1001)</f>
        <v>Yes</v>
      </c>
    </row>
    <row r="483" spans="1:16" x14ac:dyDescent="0.3">
      <c r="A483" t="s">
        <v>958</v>
      </c>
      <c r="B483" s="11">
        <v>43747</v>
      </c>
      <c r="C483" t="s">
        <v>959</v>
      </c>
      <c r="D483" t="s">
        <v>194</v>
      </c>
      <c r="E483">
        <v>2</v>
      </c>
      <c r="F483" t="str">
        <f>_xlfn.XLOOKUP(C483,Customers!$A$2:$A$1001,Customers!$B$2:$B$1001)</f>
        <v>Nanny Izhakov</v>
      </c>
      <c r="G483" t="str">
        <f>_xlfn.XLOOKUP(C483,Customers!$A$2:$A$1001,Customers!$C$2:$C$1001)</f>
        <v>nizhakovdd@aol.com</v>
      </c>
      <c r="H483" t="str">
        <f>_xlfn.XLOOKUP(C483,Customers!$A$2:$A$1001,Customers!$G$2:$G$1001)</f>
        <v>United Kingdom</v>
      </c>
      <c r="I483" t="str" cm="1">
        <f t="array" ref="I483:L483">_xlfn.XLOOKUP(D483,products!$A$2:$A$49,products!$B$2:$E$49)</f>
        <v>Rob</v>
      </c>
      <c r="J483" t="str">
        <v>L</v>
      </c>
      <c r="K483" s="8">
        <v>1</v>
      </c>
      <c r="L483" s="6">
        <v>11.95</v>
      </c>
      <c r="M483" s="7">
        <f t="shared" si="21"/>
        <v>23.9</v>
      </c>
      <c r="N483" t="str">
        <f t="shared" si="22"/>
        <v>Robusta</v>
      </c>
      <c r="O483" t="str">
        <f t="shared" si="23"/>
        <v>Lite</v>
      </c>
      <c r="P483" t="str">
        <f>_xlfn.XLOOKUP(Orders!C483,Customers!$A$2:$A$1001,Customers!$I$2:$I$1001)</f>
        <v>No</v>
      </c>
    </row>
    <row r="484" spans="1:16" x14ac:dyDescent="0.3">
      <c r="A484" t="s">
        <v>960</v>
      </c>
      <c r="B484" s="11">
        <v>44247</v>
      </c>
      <c r="C484" t="s">
        <v>961</v>
      </c>
      <c r="D484" t="s">
        <v>535</v>
      </c>
      <c r="E484">
        <v>5</v>
      </c>
      <c r="F484" t="str">
        <f>_xlfn.XLOOKUP(C484,Customers!$A$2:$A$1001,Customers!$B$2:$B$1001)</f>
        <v>Stanly Keets</v>
      </c>
      <c r="G484" t="str">
        <f>_xlfn.XLOOKUP(C484,Customers!$A$2:$A$1001,Customers!$C$2:$C$1001)</f>
        <v>skeetsde@answers.com</v>
      </c>
      <c r="H484" t="str">
        <f>_xlfn.XLOOKUP(C484,Customers!$A$2:$A$1001,Customers!$G$2:$G$1001)</f>
        <v>United States</v>
      </c>
      <c r="I484" t="str" cm="1">
        <f t="array" ref="I484:L484">_xlfn.XLOOKUP(D484,products!$A$2:$A$49,products!$B$2:$E$49)</f>
        <v>Exc</v>
      </c>
      <c r="J484" t="str">
        <v>D</v>
      </c>
      <c r="K484" s="8">
        <v>2.5</v>
      </c>
      <c r="L484" s="6">
        <v>27.945</v>
      </c>
      <c r="M484" s="7">
        <f t="shared" si="21"/>
        <v>139.72499999999999</v>
      </c>
      <c r="N484" t="str">
        <f t="shared" si="22"/>
        <v>Excelsa</v>
      </c>
      <c r="O484" t="str">
        <f t="shared" si="23"/>
        <v>Dark</v>
      </c>
      <c r="P484" t="str">
        <f>_xlfn.XLOOKUP(Orders!C484,Customers!$A$2:$A$1001,Customers!$I$2:$I$1001)</f>
        <v>Yes</v>
      </c>
    </row>
    <row r="485" spans="1:16" x14ac:dyDescent="0.3">
      <c r="A485" t="s">
        <v>962</v>
      </c>
      <c r="B485" s="11">
        <v>43790</v>
      </c>
      <c r="C485" t="s">
        <v>963</v>
      </c>
      <c r="D485" t="s">
        <v>114</v>
      </c>
      <c r="E485">
        <v>2</v>
      </c>
      <c r="F485" t="str">
        <f>_xlfn.XLOOKUP(C485,Customers!$A$2:$A$1001,Customers!$B$2:$B$1001)</f>
        <v>Orion Dyott</v>
      </c>
      <c r="G485">
        <f>_xlfn.XLOOKUP(C485,Customers!$A$2:$A$1001,Customers!$C$2:$C$1001)</f>
        <v>0</v>
      </c>
      <c r="H485" t="str">
        <f>_xlfn.XLOOKUP(C485,Customers!$A$2:$A$1001,Customers!$G$2:$G$1001)</f>
        <v>United States</v>
      </c>
      <c r="I485" t="str" cm="1">
        <f t="array" ref="I485:L485">_xlfn.XLOOKUP(D485,products!$A$2:$A$49,products!$B$2:$E$49)</f>
        <v>Lib</v>
      </c>
      <c r="J485" t="str">
        <v>D</v>
      </c>
      <c r="K485" s="8">
        <v>2.5</v>
      </c>
      <c r="L485" s="6">
        <v>29.784999999999997</v>
      </c>
      <c r="M485" s="7">
        <f t="shared" si="21"/>
        <v>59.569999999999993</v>
      </c>
      <c r="N485" t="str">
        <f t="shared" si="22"/>
        <v>Liberica</v>
      </c>
      <c r="O485" t="str">
        <f t="shared" si="23"/>
        <v>Dark</v>
      </c>
      <c r="P485" t="str">
        <f>_xlfn.XLOOKUP(Orders!C485,Customers!$A$2:$A$1001,Customers!$I$2:$I$1001)</f>
        <v>Yes</v>
      </c>
    </row>
    <row r="486" spans="1:16" x14ac:dyDescent="0.3">
      <c r="A486" t="s">
        <v>964</v>
      </c>
      <c r="B486" s="11">
        <v>44479</v>
      </c>
      <c r="C486" t="s">
        <v>965</v>
      </c>
      <c r="D486" t="s">
        <v>88</v>
      </c>
      <c r="E486">
        <v>6</v>
      </c>
      <c r="F486" t="str">
        <f>_xlfn.XLOOKUP(C486,Customers!$A$2:$A$1001,Customers!$B$2:$B$1001)</f>
        <v>Keefer Cake</v>
      </c>
      <c r="G486" t="str">
        <f>_xlfn.XLOOKUP(C486,Customers!$A$2:$A$1001,Customers!$C$2:$C$1001)</f>
        <v>kcakedg@huffingtonpost.com</v>
      </c>
      <c r="H486" t="str">
        <f>_xlfn.XLOOKUP(C486,Customers!$A$2:$A$1001,Customers!$G$2:$G$1001)</f>
        <v>United States</v>
      </c>
      <c r="I486" t="str" cm="1">
        <f t="array" ref="I486:L486">_xlfn.XLOOKUP(D486,products!$A$2:$A$49,products!$B$2:$E$49)</f>
        <v>Lib</v>
      </c>
      <c r="J486" t="str">
        <v>L</v>
      </c>
      <c r="K486" s="8">
        <v>0.5</v>
      </c>
      <c r="L486" s="6">
        <v>9.51</v>
      </c>
      <c r="M486" s="7">
        <f t="shared" si="21"/>
        <v>57.06</v>
      </c>
      <c r="N486" t="str">
        <f t="shared" si="22"/>
        <v>Liberica</v>
      </c>
      <c r="O486" t="str">
        <f t="shared" si="23"/>
        <v>Lite</v>
      </c>
      <c r="P486" t="str">
        <f>_xlfn.XLOOKUP(Orders!C486,Customers!$A$2:$A$1001,Customers!$I$2:$I$1001)</f>
        <v>No</v>
      </c>
    </row>
    <row r="487" spans="1:16" x14ac:dyDescent="0.3">
      <c r="A487" t="s">
        <v>966</v>
      </c>
      <c r="B487" s="11">
        <v>44413</v>
      </c>
      <c r="C487" t="s">
        <v>967</v>
      </c>
      <c r="D487" t="s">
        <v>187</v>
      </c>
      <c r="E487">
        <v>6</v>
      </c>
      <c r="F487" t="str">
        <f>_xlfn.XLOOKUP(C487,Customers!$A$2:$A$1001,Customers!$B$2:$B$1001)</f>
        <v>Morna Hansed</v>
      </c>
      <c r="G487" t="str">
        <f>_xlfn.XLOOKUP(C487,Customers!$A$2:$A$1001,Customers!$C$2:$C$1001)</f>
        <v>mhanseddh@instagram.com</v>
      </c>
      <c r="H487" t="str">
        <f>_xlfn.XLOOKUP(C487,Customers!$A$2:$A$1001,Customers!$G$2:$G$1001)</f>
        <v>Ireland</v>
      </c>
      <c r="I487" t="str" cm="1">
        <f t="array" ref="I487:L487">_xlfn.XLOOKUP(D487,products!$A$2:$A$49,products!$B$2:$E$49)</f>
        <v>Rob</v>
      </c>
      <c r="J487" t="str">
        <v>L</v>
      </c>
      <c r="K487" s="8">
        <v>0.2</v>
      </c>
      <c r="L487" s="6">
        <v>3.5849999999999995</v>
      </c>
      <c r="M487" s="7">
        <f t="shared" si="21"/>
        <v>21.509999999999998</v>
      </c>
      <c r="N487" t="str">
        <f t="shared" si="22"/>
        <v>Robusta</v>
      </c>
      <c r="O487" t="str">
        <f t="shared" si="23"/>
        <v>Lite</v>
      </c>
      <c r="P487" t="str">
        <f>_xlfn.XLOOKUP(Orders!C487,Customers!$A$2:$A$1001,Customers!$I$2:$I$1001)</f>
        <v>Yes</v>
      </c>
    </row>
    <row r="488" spans="1:16" x14ac:dyDescent="0.3">
      <c r="A488" t="s">
        <v>968</v>
      </c>
      <c r="B488" s="11">
        <v>44043</v>
      </c>
      <c r="C488" t="s">
        <v>969</v>
      </c>
      <c r="D488" t="s">
        <v>83</v>
      </c>
      <c r="E488">
        <v>6</v>
      </c>
      <c r="F488" t="str">
        <f>_xlfn.XLOOKUP(C488,Customers!$A$2:$A$1001,Customers!$B$2:$B$1001)</f>
        <v>Franny Kienlein</v>
      </c>
      <c r="G488" t="str">
        <f>_xlfn.XLOOKUP(C488,Customers!$A$2:$A$1001,Customers!$C$2:$C$1001)</f>
        <v>fkienleindi@trellian.com</v>
      </c>
      <c r="H488" t="str">
        <f>_xlfn.XLOOKUP(C488,Customers!$A$2:$A$1001,Customers!$G$2:$G$1001)</f>
        <v>Ireland</v>
      </c>
      <c r="I488" t="str" cm="1">
        <f t="array" ref="I488:L488">_xlfn.XLOOKUP(D488,products!$A$2:$A$49,products!$B$2:$E$49)</f>
        <v>Lib</v>
      </c>
      <c r="J488" t="str">
        <v>M</v>
      </c>
      <c r="K488" s="8">
        <v>0.5</v>
      </c>
      <c r="L488" s="6">
        <v>8.73</v>
      </c>
      <c r="M488" s="7">
        <f t="shared" si="21"/>
        <v>52.38</v>
      </c>
      <c r="N488" t="str">
        <f t="shared" si="22"/>
        <v>Liberica</v>
      </c>
      <c r="O488" t="str">
        <f t="shared" si="23"/>
        <v>Medium</v>
      </c>
      <c r="P488" t="str">
        <f>_xlfn.XLOOKUP(Orders!C488,Customers!$A$2:$A$1001,Customers!$I$2:$I$1001)</f>
        <v>Yes</v>
      </c>
    </row>
    <row r="489" spans="1:16" x14ac:dyDescent="0.3">
      <c r="A489" t="s">
        <v>970</v>
      </c>
      <c r="B489" s="11">
        <v>44093</v>
      </c>
      <c r="C489" t="s">
        <v>971</v>
      </c>
      <c r="D489" t="s">
        <v>250</v>
      </c>
      <c r="E489">
        <v>6</v>
      </c>
      <c r="F489" t="str">
        <f>_xlfn.XLOOKUP(C489,Customers!$A$2:$A$1001,Customers!$B$2:$B$1001)</f>
        <v>Klarika Egglestone</v>
      </c>
      <c r="G489" t="str">
        <f>_xlfn.XLOOKUP(C489,Customers!$A$2:$A$1001,Customers!$C$2:$C$1001)</f>
        <v>kegglestonedj@sphinn.com</v>
      </c>
      <c r="H489" t="str">
        <f>_xlfn.XLOOKUP(C489,Customers!$A$2:$A$1001,Customers!$G$2:$G$1001)</f>
        <v>Ireland</v>
      </c>
      <c r="I489" t="str" cm="1">
        <f t="array" ref="I489:L489">_xlfn.XLOOKUP(D489,products!$A$2:$A$49,products!$B$2:$E$49)</f>
        <v>Exc</v>
      </c>
      <c r="J489" t="str">
        <v>D</v>
      </c>
      <c r="K489" s="8">
        <v>1</v>
      </c>
      <c r="L489" s="6">
        <v>12.15</v>
      </c>
      <c r="M489" s="7">
        <f t="shared" si="21"/>
        <v>72.900000000000006</v>
      </c>
      <c r="N489" t="str">
        <f t="shared" si="22"/>
        <v>Excelsa</v>
      </c>
      <c r="O489" t="str">
        <f t="shared" si="23"/>
        <v>Dark</v>
      </c>
      <c r="P489" t="str">
        <f>_xlfn.XLOOKUP(Orders!C489,Customers!$A$2:$A$1001,Customers!$I$2:$I$1001)</f>
        <v>No</v>
      </c>
    </row>
    <row r="490" spans="1:16" x14ac:dyDescent="0.3">
      <c r="A490" t="s">
        <v>972</v>
      </c>
      <c r="B490" s="11">
        <v>43954</v>
      </c>
      <c r="C490" t="s">
        <v>973</v>
      </c>
      <c r="D490" t="s">
        <v>167</v>
      </c>
      <c r="E490">
        <v>5</v>
      </c>
      <c r="F490" t="str">
        <f>_xlfn.XLOOKUP(C490,Customers!$A$2:$A$1001,Customers!$B$2:$B$1001)</f>
        <v>Becky Semkins</v>
      </c>
      <c r="G490" t="str">
        <f>_xlfn.XLOOKUP(C490,Customers!$A$2:$A$1001,Customers!$C$2:$C$1001)</f>
        <v>bsemkinsdk@unc.edu</v>
      </c>
      <c r="H490" t="str">
        <f>_xlfn.XLOOKUP(C490,Customers!$A$2:$A$1001,Customers!$G$2:$G$1001)</f>
        <v>Ireland</v>
      </c>
      <c r="I490" t="str" cm="1">
        <f t="array" ref="I490:L490">_xlfn.XLOOKUP(D490,products!$A$2:$A$49,products!$B$2:$E$49)</f>
        <v>Rob</v>
      </c>
      <c r="J490" t="str">
        <v>M</v>
      </c>
      <c r="K490" s="8">
        <v>0.2</v>
      </c>
      <c r="L490" s="6">
        <v>2.9849999999999999</v>
      </c>
      <c r="M490" s="7">
        <f t="shared" si="21"/>
        <v>14.924999999999999</v>
      </c>
      <c r="N490" t="str">
        <f t="shared" si="22"/>
        <v>Robusta</v>
      </c>
      <c r="O490" t="str">
        <f t="shared" si="23"/>
        <v>Medium</v>
      </c>
      <c r="P490" t="str">
        <f>_xlfn.XLOOKUP(Orders!C490,Customers!$A$2:$A$1001,Customers!$I$2:$I$1001)</f>
        <v>Yes</v>
      </c>
    </row>
    <row r="491" spans="1:16" x14ac:dyDescent="0.3">
      <c r="A491" t="s">
        <v>974</v>
      </c>
      <c r="B491" s="11">
        <v>43654</v>
      </c>
      <c r="C491" t="s">
        <v>975</v>
      </c>
      <c r="D491" t="s">
        <v>137</v>
      </c>
      <c r="E491">
        <v>6</v>
      </c>
      <c r="F491" t="str">
        <f>_xlfn.XLOOKUP(C491,Customers!$A$2:$A$1001,Customers!$B$2:$B$1001)</f>
        <v>Sean Lorenzetti</v>
      </c>
      <c r="G491" t="str">
        <f>_xlfn.XLOOKUP(C491,Customers!$A$2:$A$1001,Customers!$C$2:$C$1001)</f>
        <v>slorenzettidl@is.gd</v>
      </c>
      <c r="H491" t="str">
        <f>_xlfn.XLOOKUP(C491,Customers!$A$2:$A$1001,Customers!$G$2:$G$1001)</f>
        <v>United States</v>
      </c>
      <c r="I491" t="str" cm="1">
        <f t="array" ref="I491:L491">_xlfn.XLOOKUP(D491,products!$A$2:$A$49,products!$B$2:$E$49)</f>
        <v>Lib</v>
      </c>
      <c r="J491" t="str">
        <v>L</v>
      </c>
      <c r="K491" s="8">
        <v>1</v>
      </c>
      <c r="L491" s="6">
        <v>15.85</v>
      </c>
      <c r="M491" s="7">
        <f t="shared" si="21"/>
        <v>95.1</v>
      </c>
      <c r="N491" t="str">
        <f t="shared" si="22"/>
        <v>Liberica</v>
      </c>
      <c r="O491" t="str">
        <f t="shared" si="23"/>
        <v>Lite</v>
      </c>
      <c r="P491" t="str">
        <f>_xlfn.XLOOKUP(Orders!C491,Customers!$A$2:$A$1001,Customers!$I$2:$I$1001)</f>
        <v>No</v>
      </c>
    </row>
    <row r="492" spans="1:16" x14ac:dyDescent="0.3">
      <c r="A492" t="s">
        <v>976</v>
      </c>
      <c r="B492" s="11">
        <v>43764</v>
      </c>
      <c r="C492" t="s">
        <v>977</v>
      </c>
      <c r="D492" t="s">
        <v>128</v>
      </c>
      <c r="E492">
        <v>2</v>
      </c>
      <c r="F492" t="str">
        <f>_xlfn.XLOOKUP(C492,Customers!$A$2:$A$1001,Customers!$B$2:$B$1001)</f>
        <v>Bob Giannazzi</v>
      </c>
      <c r="G492" t="str">
        <f>_xlfn.XLOOKUP(C492,Customers!$A$2:$A$1001,Customers!$C$2:$C$1001)</f>
        <v>bgiannazzidm@apple.com</v>
      </c>
      <c r="H492" t="str">
        <f>_xlfn.XLOOKUP(C492,Customers!$A$2:$A$1001,Customers!$G$2:$G$1001)</f>
        <v>United States</v>
      </c>
      <c r="I492" t="str" cm="1">
        <f t="array" ref="I492:L492">_xlfn.XLOOKUP(D492,products!$A$2:$A$49,products!$B$2:$E$49)</f>
        <v>Lib</v>
      </c>
      <c r="J492" t="str">
        <v>D</v>
      </c>
      <c r="K492" s="8">
        <v>0.5</v>
      </c>
      <c r="L492" s="6">
        <v>7.77</v>
      </c>
      <c r="M492" s="7">
        <f t="shared" si="21"/>
        <v>15.54</v>
      </c>
      <c r="N492" t="str">
        <f t="shared" si="22"/>
        <v>Liberica</v>
      </c>
      <c r="O492" t="str">
        <f t="shared" si="23"/>
        <v>Dark</v>
      </c>
      <c r="P492" t="str">
        <f>_xlfn.XLOOKUP(Orders!C492,Customers!$A$2:$A$1001,Customers!$I$2:$I$1001)</f>
        <v>No</v>
      </c>
    </row>
    <row r="493" spans="1:16" x14ac:dyDescent="0.3">
      <c r="A493" t="s">
        <v>978</v>
      </c>
      <c r="B493" s="11">
        <v>44101</v>
      </c>
      <c r="C493" t="s">
        <v>979</v>
      </c>
      <c r="D493" t="s">
        <v>43</v>
      </c>
      <c r="E493">
        <v>6</v>
      </c>
      <c r="F493" t="str">
        <f>_xlfn.XLOOKUP(C493,Customers!$A$2:$A$1001,Customers!$B$2:$B$1001)</f>
        <v>Kendra Backshell</v>
      </c>
      <c r="G493">
        <f>_xlfn.XLOOKUP(C493,Customers!$A$2:$A$1001,Customers!$C$2:$C$1001)</f>
        <v>0</v>
      </c>
      <c r="H493" t="str">
        <f>_xlfn.XLOOKUP(C493,Customers!$A$2:$A$1001,Customers!$G$2:$G$1001)</f>
        <v>United States</v>
      </c>
      <c r="I493" t="str" cm="1">
        <f t="array" ref="I493:L493">_xlfn.XLOOKUP(D493,products!$A$2:$A$49,products!$B$2:$E$49)</f>
        <v>Lib</v>
      </c>
      <c r="J493" t="str">
        <v>D</v>
      </c>
      <c r="K493" s="8">
        <v>0.2</v>
      </c>
      <c r="L493" s="6">
        <v>3.8849999999999998</v>
      </c>
      <c r="M493" s="7">
        <f t="shared" si="21"/>
        <v>23.31</v>
      </c>
      <c r="N493" t="str">
        <f t="shared" si="22"/>
        <v>Liberica</v>
      </c>
      <c r="O493" t="str">
        <f t="shared" si="23"/>
        <v>Dark</v>
      </c>
      <c r="P493" t="str">
        <f>_xlfn.XLOOKUP(Orders!C493,Customers!$A$2:$A$1001,Customers!$I$2:$I$1001)</f>
        <v>No</v>
      </c>
    </row>
    <row r="494" spans="1:16" x14ac:dyDescent="0.3">
      <c r="A494" t="s">
        <v>980</v>
      </c>
      <c r="B494" s="11">
        <v>44620</v>
      </c>
      <c r="C494" t="s">
        <v>981</v>
      </c>
      <c r="D494" t="s">
        <v>69</v>
      </c>
      <c r="E494">
        <v>1</v>
      </c>
      <c r="F494" t="str">
        <f>_xlfn.XLOOKUP(C494,Customers!$A$2:$A$1001,Customers!$B$2:$B$1001)</f>
        <v>Uriah Lethbrig</v>
      </c>
      <c r="G494" t="str">
        <f>_xlfn.XLOOKUP(C494,Customers!$A$2:$A$1001,Customers!$C$2:$C$1001)</f>
        <v>ulethbrigdo@hc360.com</v>
      </c>
      <c r="H494" t="str">
        <f>_xlfn.XLOOKUP(C494,Customers!$A$2:$A$1001,Customers!$G$2:$G$1001)</f>
        <v>United States</v>
      </c>
      <c r="I494" t="str" cm="1">
        <f t="array" ref="I494:L494">_xlfn.XLOOKUP(D494,products!$A$2:$A$49,products!$B$2:$E$49)</f>
        <v>Exc</v>
      </c>
      <c r="J494" t="str">
        <v>M</v>
      </c>
      <c r="K494" s="8">
        <v>0.2</v>
      </c>
      <c r="L494" s="6">
        <v>4.125</v>
      </c>
      <c r="M494" s="7">
        <f t="shared" si="21"/>
        <v>4.125</v>
      </c>
      <c r="N494" t="str">
        <f t="shared" si="22"/>
        <v>Excelsa</v>
      </c>
      <c r="O494" t="str">
        <f t="shared" si="23"/>
        <v>Medium</v>
      </c>
      <c r="P494" t="str">
        <f>_xlfn.XLOOKUP(Orders!C494,Customers!$A$2:$A$1001,Customers!$I$2:$I$1001)</f>
        <v>Yes</v>
      </c>
    </row>
    <row r="495" spans="1:16" x14ac:dyDescent="0.3">
      <c r="A495" t="s">
        <v>982</v>
      </c>
      <c r="B495" s="11">
        <v>44090</v>
      </c>
      <c r="C495" t="s">
        <v>983</v>
      </c>
      <c r="D495" t="s">
        <v>27</v>
      </c>
      <c r="E495">
        <v>6</v>
      </c>
      <c r="F495" t="str">
        <f>_xlfn.XLOOKUP(C495,Customers!$A$2:$A$1001,Customers!$B$2:$B$1001)</f>
        <v>Sky Farnish</v>
      </c>
      <c r="G495" t="str">
        <f>_xlfn.XLOOKUP(C495,Customers!$A$2:$A$1001,Customers!$C$2:$C$1001)</f>
        <v>sfarnishdp@dmoz.org</v>
      </c>
      <c r="H495" t="str">
        <f>_xlfn.XLOOKUP(C495,Customers!$A$2:$A$1001,Customers!$G$2:$G$1001)</f>
        <v>United Kingdom</v>
      </c>
      <c r="I495" t="str" cm="1">
        <f t="array" ref="I495:L495">_xlfn.XLOOKUP(D495,products!$A$2:$A$49,products!$B$2:$E$49)</f>
        <v>Rob</v>
      </c>
      <c r="J495" t="str">
        <v>M</v>
      </c>
      <c r="K495" s="8">
        <v>0.5</v>
      </c>
      <c r="L495" s="6">
        <v>5.97</v>
      </c>
      <c r="M495" s="7">
        <f t="shared" si="21"/>
        <v>35.82</v>
      </c>
      <c r="N495" t="str">
        <f t="shared" si="22"/>
        <v>Robusta</v>
      </c>
      <c r="O495" t="str">
        <f t="shared" si="23"/>
        <v>Medium</v>
      </c>
      <c r="P495" t="str">
        <f>_xlfn.XLOOKUP(Orders!C495,Customers!$A$2:$A$1001,Customers!$I$2:$I$1001)</f>
        <v>No</v>
      </c>
    </row>
    <row r="496" spans="1:16" x14ac:dyDescent="0.3">
      <c r="A496" t="s">
        <v>984</v>
      </c>
      <c r="B496" s="11">
        <v>44132</v>
      </c>
      <c r="C496" t="s">
        <v>985</v>
      </c>
      <c r="D496" t="s">
        <v>137</v>
      </c>
      <c r="E496">
        <v>2</v>
      </c>
      <c r="F496" t="str">
        <f>_xlfn.XLOOKUP(C496,Customers!$A$2:$A$1001,Customers!$B$2:$B$1001)</f>
        <v>Felicia Jecock</v>
      </c>
      <c r="G496" t="str">
        <f>_xlfn.XLOOKUP(C496,Customers!$A$2:$A$1001,Customers!$C$2:$C$1001,,0)</f>
        <v>fjecockdq@unicef.org</v>
      </c>
      <c r="H496" t="str">
        <f>_xlfn.XLOOKUP(C496,Customers!$A$2:$A$1001,Customers!$G$2:$G$1001)</f>
        <v>United States</v>
      </c>
      <c r="I496" t="str" cm="1">
        <f t="array" ref="I496:L496">_xlfn.XLOOKUP(D496,products!$A$2:$A$49,products!$B$2:$E$49)</f>
        <v>Lib</v>
      </c>
      <c r="J496" t="str">
        <v>L</v>
      </c>
      <c r="K496" s="8">
        <v>1</v>
      </c>
      <c r="L496" s="6">
        <v>15.85</v>
      </c>
      <c r="M496" s="7">
        <f t="shared" si="21"/>
        <v>31.7</v>
      </c>
      <c r="N496" t="str">
        <f t="shared" si="22"/>
        <v>Liberica</v>
      </c>
      <c r="O496" t="str">
        <f t="shared" si="23"/>
        <v>Lite</v>
      </c>
      <c r="P496" t="str">
        <f>_xlfn.XLOOKUP(Orders!C496,Customers!$A$2:$A$1001,Customers!$I$2:$I$1001)</f>
        <v>No</v>
      </c>
    </row>
    <row r="497" spans="1:16" x14ac:dyDescent="0.3">
      <c r="A497" t="s">
        <v>986</v>
      </c>
      <c r="B497" s="11">
        <v>43710</v>
      </c>
      <c r="C497" t="s">
        <v>987</v>
      </c>
      <c r="D497" t="s">
        <v>137</v>
      </c>
      <c r="E497">
        <v>5</v>
      </c>
      <c r="F497" t="str">
        <f>_xlfn.XLOOKUP(C497,Customers!$A$2:$A$1001,Customers!$B$2:$B$1001)</f>
        <v>Currey MacAllister</v>
      </c>
      <c r="G497">
        <f>_xlfn.XLOOKUP(C497,Customers!$A$2:$A$1001,Customers!$C$2:$C$1001,,0)</f>
        <v>0</v>
      </c>
      <c r="H497" t="str">
        <f>_xlfn.XLOOKUP(C497,Customers!$A$2:$A$1001,Customers!$G$2:$G$1001)</f>
        <v>United States</v>
      </c>
      <c r="I497" t="str" cm="1">
        <f t="array" ref="I497:L497">_xlfn.XLOOKUP(D497,products!$A$2:$A$49,products!$B$2:$E$49)</f>
        <v>Lib</v>
      </c>
      <c r="J497" t="str">
        <v>L</v>
      </c>
      <c r="K497" s="8">
        <v>1</v>
      </c>
      <c r="L497" s="6">
        <v>15.85</v>
      </c>
      <c r="M497" s="7">
        <f t="shared" si="21"/>
        <v>79.25</v>
      </c>
      <c r="N497" t="str">
        <f t="shared" si="22"/>
        <v>Liberica</v>
      </c>
      <c r="O497" t="str">
        <f t="shared" si="23"/>
        <v>Lite</v>
      </c>
      <c r="P497" t="str">
        <f>_xlfn.XLOOKUP(Orders!C497,Customers!$A$2:$A$1001,Customers!$I$2:$I$1001)</f>
        <v>Yes</v>
      </c>
    </row>
    <row r="498" spans="1:16" x14ac:dyDescent="0.3">
      <c r="A498" t="s">
        <v>988</v>
      </c>
      <c r="B498" s="11">
        <v>44438</v>
      </c>
      <c r="C498" t="s">
        <v>989</v>
      </c>
      <c r="D498" t="s">
        <v>56</v>
      </c>
      <c r="E498">
        <v>3</v>
      </c>
      <c r="F498" t="str">
        <f>_xlfn.XLOOKUP(C498,Customers!$A$2:$A$1001,Customers!$B$2:$B$1001)</f>
        <v>Hamlen Pallister</v>
      </c>
      <c r="G498" t="str">
        <f>_xlfn.XLOOKUP(C498,Customers!$A$2:$A$1001,Customers!$C$2:$C$1001,,0)</f>
        <v>hpallisterds@ning.com</v>
      </c>
      <c r="H498" t="str">
        <f>_xlfn.XLOOKUP(C498,Customers!$A$2:$A$1001,Customers!$G$2:$G$1001)</f>
        <v>United States</v>
      </c>
      <c r="I498" t="str" cm="1">
        <f t="array" ref="I498:L498">_xlfn.XLOOKUP(D498,products!$A$2:$A$49,products!$B$2:$E$49)</f>
        <v>Exc</v>
      </c>
      <c r="J498" t="str">
        <v>D</v>
      </c>
      <c r="K498" s="8">
        <v>0.2</v>
      </c>
      <c r="L498" s="6">
        <v>3.645</v>
      </c>
      <c r="M498" s="7">
        <f t="shared" si="21"/>
        <v>10.935</v>
      </c>
      <c r="N498" t="str">
        <f t="shared" si="22"/>
        <v>Excelsa</v>
      </c>
      <c r="O498" t="str">
        <f t="shared" si="23"/>
        <v>Dark</v>
      </c>
      <c r="P498" t="str">
        <f>_xlfn.XLOOKUP(Orders!C498,Customers!$A$2:$A$1001,Customers!$I$2:$I$1001)</f>
        <v>No</v>
      </c>
    </row>
    <row r="499" spans="1:16" x14ac:dyDescent="0.3">
      <c r="A499" t="s">
        <v>990</v>
      </c>
      <c r="B499" s="11">
        <v>44351</v>
      </c>
      <c r="C499" t="s">
        <v>991</v>
      </c>
      <c r="D499" t="s">
        <v>32</v>
      </c>
      <c r="E499">
        <v>4</v>
      </c>
      <c r="F499" t="str">
        <f>_xlfn.XLOOKUP(C499,Customers!$A$2:$A$1001,Customers!$B$2:$B$1001)</f>
        <v>Chantal Mersh</v>
      </c>
      <c r="G499" t="str">
        <f>_xlfn.XLOOKUP(C499,Customers!$A$2:$A$1001,Customers!$C$2:$C$1001,,0)</f>
        <v>cmershdt@drupal.org</v>
      </c>
      <c r="H499" t="str">
        <f>_xlfn.XLOOKUP(C499,Customers!$A$2:$A$1001,Customers!$G$2:$G$1001)</f>
        <v>Ireland</v>
      </c>
      <c r="I499" t="str" cm="1">
        <f t="array" ref="I499:L499">_xlfn.XLOOKUP(D499,products!$A$2:$A$49,products!$B$2:$E$49)</f>
        <v>Ara</v>
      </c>
      <c r="J499" t="str">
        <v>D</v>
      </c>
      <c r="K499" s="8">
        <v>1</v>
      </c>
      <c r="L499" s="6">
        <v>9.9499999999999993</v>
      </c>
      <c r="M499" s="7">
        <f t="shared" si="21"/>
        <v>39.799999999999997</v>
      </c>
      <c r="N499" t="str">
        <f t="shared" si="22"/>
        <v>Arasbica</v>
      </c>
      <c r="O499" t="str">
        <f t="shared" si="23"/>
        <v>Dark</v>
      </c>
      <c r="P499" t="str">
        <f>_xlfn.XLOOKUP(Orders!C499,Customers!$A$2:$A$1001,Customers!$I$2:$I$1001)</f>
        <v>No</v>
      </c>
    </row>
    <row r="500" spans="1:16" x14ac:dyDescent="0.3">
      <c r="A500" t="s">
        <v>992</v>
      </c>
      <c r="B500" s="11">
        <v>44159</v>
      </c>
      <c r="C500" t="s">
        <v>993</v>
      </c>
      <c r="D500" t="s">
        <v>7</v>
      </c>
      <c r="E500">
        <v>5</v>
      </c>
      <c r="F500" t="str">
        <f>_xlfn.XLOOKUP(C500,Customers!$A$2:$A$1001,Customers!$B$2:$B$1001)</f>
        <v>Marja Urion</v>
      </c>
      <c r="G500" t="str">
        <f>_xlfn.XLOOKUP(C500,Customers!$A$2:$A$1001,Customers!$C$2:$C$1001,,0)</f>
        <v>murione5@alexa.com</v>
      </c>
      <c r="H500" t="str">
        <f>_xlfn.XLOOKUP(C500,Customers!$A$2:$A$1001,Customers!$G$2:$G$1001)</f>
        <v>Ireland</v>
      </c>
      <c r="I500" t="str" cm="1">
        <f t="array" ref="I500:L500">_xlfn.XLOOKUP(D500,products!$A$2:$A$49,products!$B$2:$E$49)</f>
        <v>Rob</v>
      </c>
      <c r="J500" t="str">
        <v>M</v>
      </c>
      <c r="K500" s="8">
        <v>1</v>
      </c>
      <c r="L500" s="6">
        <v>9.9499999999999993</v>
      </c>
      <c r="M500" s="7">
        <f t="shared" si="21"/>
        <v>49.75</v>
      </c>
      <c r="N500" t="str">
        <f t="shared" si="22"/>
        <v>Robusta</v>
      </c>
      <c r="O500" t="str">
        <f t="shared" si="23"/>
        <v>Medium</v>
      </c>
      <c r="P500" t="str">
        <f>_xlfn.XLOOKUP(Orders!C500,Customers!$A$2:$A$1001,Customers!$I$2:$I$1001)</f>
        <v>Yes</v>
      </c>
    </row>
    <row r="501" spans="1:16" x14ac:dyDescent="0.3">
      <c r="A501" t="s">
        <v>994</v>
      </c>
      <c r="B501" s="11">
        <v>44003</v>
      </c>
      <c r="C501" t="s">
        <v>995</v>
      </c>
      <c r="D501" t="s">
        <v>106</v>
      </c>
      <c r="E501">
        <v>3</v>
      </c>
      <c r="F501" t="str">
        <f>_xlfn.XLOOKUP(C501,Customers!$A$2:$A$1001,Customers!$B$2:$B$1001)</f>
        <v>Malynda Purbrick</v>
      </c>
      <c r="G501">
        <f>_xlfn.XLOOKUP(C501,Customers!$A$2:$A$1001,Customers!$C$2:$C$1001,,0)</f>
        <v>0</v>
      </c>
      <c r="H501" t="str">
        <f>_xlfn.XLOOKUP(C501,Customers!$A$2:$A$1001,Customers!$G$2:$G$1001)</f>
        <v>Ireland</v>
      </c>
      <c r="I501" t="str" cm="1">
        <f t="array" ref="I501:L501">_xlfn.XLOOKUP(D501,products!$A$2:$A$49,products!$B$2:$E$49)</f>
        <v>Rob</v>
      </c>
      <c r="J501" t="str">
        <v>D</v>
      </c>
      <c r="K501" s="8">
        <v>0.2</v>
      </c>
      <c r="L501" s="6">
        <v>2.6849999999999996</v>
      </c>
      <c r="M501" s="7">
        <f t="shared" si="21"/>
        <v>8.0549999999999997</v>
      </c>
      <c r="N501" t="str">
        <f t="shared" si="22"/>
        <v>Robusta</v>
      </c>
      <c r="O501" t="str">
        <f t="shared" si="23"/>
        <v>Dark</v>
      </c>
      <c r="P501" t="str">
        <f>_xlfn.XLOOKUP(Orders!C501,Customers!$A$2:$A$1001,Customers!$I$2:$I$1001)</f>
        <v>Yes</v>
      </c>
    </row>
    <row r="502" spans="1:16" x14ac:dyDescent="0.3">
      <c r="A502" t="s">
        <v>996</v>
      </c>
      <c r="B502" s="11">
        <v>44025</v>
      </c>
      <c r="C502" t="s">
        <v>997</v>
      </c>
      <c r="D502" t="s">
        <v>194</v>
      </c>
      <c r="E502">
        <v>4</v>
      </c>
      <c r="F502" t="str">
        <f>_xlfn.XLOOKUP(C502,Customers!$A$2:$A$1001,Customers!$B$2:$B$1001)</f>
        <v>Alf Housaman</v>
      </c>
      <c r="G502">
        <f>_xlfn.XLOOKUP(C502,Customers!$A$2:$A$1001,Customers!$C$2:$C$1001,,0)</f>
        <v>0</v>
      </c>
      <c r="H502" t="str">
        <f>_xlfn.XLOOKUP(C502,Customers!$A$2:$A$1001,Customers!$G$2:$G$1001)</f>
        <v>United States</v>
      </c>
      <c r="I502" t="str" cm="1">
        <f t="array" ref="I502:L502">_xlfn.XLOOKUP(D502,products!$A$2:$A$49,products!$B$2:$E$49)</f>
        <v>Rob</v>
      </c>
      <c r="J502" t="str">
        <v>L</v>
      </c>
      <c r="K502" s="8">
        <v>1</v>
      </c>
      <c r="L502" s="6">
        <v>11.95</v>
      </c>
      <c r="M502" s="7">
        <f t="shared" si="21"/>
        <v>47.8</v>
      </c>
      <c r="N502" t="str">
        <f t="shared" si="22"/>
        <v>Robusta</v>
      </c>
      <c r="O502" t="str">
        <f t="shared" si="23"/>
        <v>Lite</v>
      </c>
      <c r="P502" t="str">
        <f>_xlfn.XLOOKUP(Orders!C502,Customers!$A$2:$A$1001,Customers!$I$2:$I$1001)</f>
        <v>No</v>
      </c>
    </row>
    <row r="503" spans="1:16" x14ac:dyDescent="0.3">
      <c r="A503" t="s">
        <v>998</v>
      </c>
      <c r="B503" s="11">
        <v>43467</v>
      </c>
      <c r="C503" t="s">
        <v>999</v>
      </c>
      <c r="D503" t="s">
        <v>167</v>
      </c>
      <c r="E503">
        <v>4</v>
      </c>
      <c r="F503" t="str">
        <f>_xlfn.XLOOKUP(C503,Customers!$A$2:$A$1001,Customers!$B$2:$B$1001)</f>
        <v>Gladi Ducker</v>
      </c>
      <c r="G503" t="str">
        <f>_xlfn.XLOOKUP(C503,Customers!$A$2:$A$1001,Customers!$C$2:$C$1001,,0)</f>
        <v>gduckerdx@patch.com</v>
      </c>
      <c r="H503" t="str">
        <f>_xlfn.XLOOKUP(C503,Customers!$A$2:$A$1001,Customers!$G$2:$G$1001)</f>
        <v>United Kingdom</v>
      </c>
      <c r="I503" t="str" cm="1">
        <f t="array" ref="I503:L503">_xlfn.XLOOKUP(D503,products!$A$2:$A$49,products!$B$2:$E$49)</f>
        <v>Rob</v>
      </c>
      <c r="J503" t="str">
        <v>M</v>
      </c>
      <c r="K503" s="8">
        <v>0.2</v>
      </c>
      <c r="L503" s="6">
        <v>2.9849999999999999</v>
      </c>
      <c r="M503" s="7">
        <f t="shared" si="21"/>
        <v>11.94</v>
      </c>
      <c r="N503" t="str">
        <f t="shared" si="22"/>
        <v>Robusta</v>
      </c>
      <c r="O503" t="str">
        <f t="shared" si="23"/>
        <v>Medium</v>
      </c>
      <c r="P503" t="str">
        <f>_xlfn.XLOOKUP(Orders!C503,Customers!$A$2:$A$1001,Customers!$I$2:$I$1001)</f>
        <v>No</v>
      </c>
    </row>
    <row r="504" spans="1:16" x14ac:dyDescent="0.3">
      <c r="A504" t="s">
        <v>998</v>
      </c>
      <c r="B504" s="11">
        <v>43467</v>
      </c>
      <c r="C504" t="s">
        <v>999</v>
      </c>
      <c r="D504" t="s">
        <v>69</v>
      </c>
      <c r="E504">
        <v>4</v>
      </c>
      <c r="F504" t="str">
        <f>_xlfn.XLOOKUP(C504,Customers!$A$2:$A$1001,Customers!$B$2:$B$1001)</f>
        <v>Gladi Ducker</v>
      </c>
      <c r="G504" t="str">
        <f>_xlfn.XLOOKUP(C504,Customers!$A$2:$A$1001,Customers!$C$2:$C$1001,,0)</f>
        <v>gduckerdx@patch.com</v>
      </c>
      <c r="H504" t="str">
        <f>_xlfn.XLOOKUP(C504,Customers!$A$2:$A$1001,Customers!$G$2:$G$1001)</f>
        <v>United Kingdom</v>
      </c>
      <c r="I504" t="str" cm="1">
        <f t="array" ref="I504:L504">_xlfn.XLOOKUP(D504,products!$A$2:$A$49,products!$B$2:$E$49)</f>
        <v>Exc</v>
      </c>
      <c r="J504" t="str">
        <v>M</v>
      </c>
      <c r="K504" s="8">
        <v>0.2</v>
      </c>
      <c r="L504" s="6">
        <v>4.125</v>
      </c>
      <c r="M504" s="7">
        <f t="shared" si="21"/>
        <v>16.5</v>
      </c>
      <c r="N504" t="str">
        <f t="shared" si="22"/>
        <v>Excelsa</v>
      </c>
      <c r="O504" t="str">
        <f t="shared" si="23"/>
        <v>Medium</v>
      </c>
      <c r="P504" t="str">
        <f>_xlfn.XLOOKUP(Orders!C504,Customers!$A$2:$A$1001,Customers!$I$2:$I$1001)</f>
        <v>No</v>
      </c>
    </row>
    <row r="505" spans="1:16" x14ac:dyDescent="0.3">
      <c r="A505" t="s">
        <v>998</v>
      </c>
      <c r="B505" s="11">
        <v>43467</v>
      </c>
      <c r="C505" t="s">
        <v>999</v>
      </c>
      <c r="D505" t="s">
        <v>18</v>
      </c>
      <c r="E505">
        <v>4</v>
      </c>
      <c r="F505" t="str">
        <f>_xlfn.XLOOKUP(C505,Customers!$A$2:$A$1001,Customers!$B$2:$B$1001)</f>
        <v>Gladi Ducker</v>
      </c>
      <c r="G505" t="str">
        <f>_xlfn.XLOOKUP(C505,Customers!$A$2:$A$1001,Customers!$C$2:$C$1001,,0)</f>
        <v>gduckerdx@patch.com</v>
      </c>
      <c r="H505" t="str">
        <f>_xlfn.XLOOKUP(C505,Customers!$A$2:$A$1001,Customers!$G$2:$G$1001)</f>
        <v>United Kingdom</v>
      </c>
      <c r="I505" t="str" cm="1">
        <f t="array" ref="I505:L505">_xlfn.XLOOKUP(D505,products!$A$2:$A$49,products!$B$2:$E$49)</f>
        <v>Lib</v>
      </c>
      <c r="J505" t="str">
        <v>D</v>
      </c>
      <c r="K505" s="8">
        <v>1</v>
      </c>
      <c r="L505" s="6">
        <v>12.95</v>
      </c>
      <c r="M505" s="7">
        <f t="shared" si="21"/>
        <v>51.8</v>
      </c>
      <c r="N505" t="str">
        <f t="shared" si="22"/>
        <v>Liberica</v>
      </c>
      <c r="O505" t="str">
        <f t="shared" si="23"/>
        <v>Dark</v>
      </c>
      <c r="P505" t="str">
        <f>_xlfn.XLOOKUP(Orders!C505,Customers!$A$2:$A$1001,Customers!$I$2:$I$1001)</f>
        <v>No</v>
      </c>
    </row>
    <row r="506" spans="1:16" x14ac:dyDescent="0.3">
      <c r="A506" t="s">
        <v>998</v>
      </c>
      <c r="B506" s="11">
        <v>43467</v>
      </c>
      <c r="C506" t="s">
        <v>999</v>
      </c>
      <c r="D506" t="s">
        <v>24</v>
      </c>
      <c r="E506">
        <v>3</v>
      </c>
      <c r="F506" t="str">
        <f>_xlfn.XLOOKUP(C506,Customers!$A$2:$A$1001,Customers!$B$2:$B$1001)</f>
        <v>Gladi Ducker</v>
      </c>
      <c r="G506" t="str">
        <f>_xlfn.XLOOKUP(C506,Customers!$A$2:$A$1001,Customers!$C$2:$C$1001,,0)</f>
        <v>gduckerdx@patch.com</v>
      </c>
      <c r="H506" t="str">
        <f>_xlfn.XLOOKUP(C506,Customers!$A$2:$A$1001,Customers!$G$2:$G$1001)</f>
        <v>United Kingdom</v>
      </c>
      <c r="I506" t="str" cm="1">
        <f t="array" ref="I506:L506">_xlfn.XLOOKUP(D506,products!$A$2:$A$49,products!$B$2:$E$49)</f>
        <v>Lib</v>
      </c>
      <c r="J506" t="str">
        <v>L</v>
      </c>
      <c r="K506" s="8">
        <v>0.2</v>
      </c>
      <c r="L506" s="6">
        <v>4.7549999999999999</v>
      </c>
      <c r="M506" s="7">
        <f t="shared" si="21"/>
        <v>14.265000000000001</v>
      </c>
      <c r="N506" t="str">
        <f t="shared" si="22"/>
        <v>Liberica</v>
      </c>
      <c r="O506" t="str">
        <f t="shared" si="23"/>
        <v>Lite</v>
      </c>
      <c r="P506" t="str">
        <f>_xlfn.XLOOKUP(Orders!C506,Customers!$A$2:$A$1001,Customers!$I$2:$I$1001)</f>
        <v>No</v>
      </c>
    </row>
    <row r="507" spans="1:16" x14ac:dyDescent="0.3">
      <c r="A507" t="s">
        <v>1000</v>
      </c>
      <c r="B507" s="11">
        <v>44609</v>
      </c>
      <c r="C507" t="s">
        <v>1001</v>
      </c>
      <c r="D507" t="s">
        <v>82</v>
      </c>
      <c r="E507">
        <v>6</v>
      </c>
      <c r="F507" t="str">
        <f>_xlfn.XLOOKUP(C507,Customers!$A$2:$A$1001,Customers!$B$2:$B$1001)</f>
        <v>Wain Stearley</v>
      </c>
      <c r="G507" t="str">
        <f>_xlfn.XLOOKUP(C507,Customers!$A$2:$A$1001,Customers!$C$2:$C$1001,,0)</f>
        <v>wstearleye1@census.gov</v>
      </c>
      <c r="H507" t="str">
        <f>_xlfn.XLOOKUP(C507,Customers!$A$2:$A$1001,Customers!$G$2:$G$1001)</f>
        <v>United States</v>
      </c>
      <c r="I507" t="str" cm="1">
        <f t="array" ref="I507:L507">_xlfn.XLOOKUP(D507,products!$A$2:$A$49,products!$B$2:$E$49)</f>
        <v>Lib</v>
      </c>
      <c r="J507" t="str">
        <v>M</v>
      </c>
      <c r="K507" s="8">
        <v>0.2</v>
      </c>
      <c r="L507" s="6">
        <v>4.3650000000000002</v>
      </c>
      <c r="M507" s="7">
        <f t="shared" si="21"/>
        <v>26.19</v>
      </c>
      <c r="N507" t="str">
        <f t="shared" si="22"/>
        <v>Liberica</v>
      </c>
      <c r="O507" t="str">
        <f t="shared" si="23"/>
        <v>Medium</v>
      </c>
      <c r="P507" t="str">
        <f>_xlfn.XLOOKUP(Orders!C507,Customers!$A$2:$A$1001,Customers!$I$2:$I$1001)</f>
        <v>No</v>
      </c>
    </row>
    <row r="508" spans="1:16" x14ac:dyDescent="0.3">
      <c r="A508" t="s">
        <v>1002</v>
      </c>
      <c r="B508" s="11">
        <v>44184</v>
      </c>
      <c r="C508" t="s">
        <v>1003</v>
      </c>
      <c r="D508" t="s">
        <v>11</v>
      </c>
      <c r="E508">
        <v>2</v>
      </c>
      <c r="F508" t="str">
        <f>_xlfn.XLOOKUP(C508,Customers!$A$2:$A$1001,Customers!$B$2:$B$1001)</f>
        <v>Diane-marie Wincer</v>
      </c>
      <c r="G508" t="str">
        <f>_xlfn.XLOOKUP(C508,Customers!$A$2:$A$1001,Customers!$C$2:$C$1001,,0)</f>
        <v>dwincere2@marriott.com</v>
      </c>
      <c r="H508" t="str">
        <f>_xlfn.XLOOKUP(C508,Customers!$A$2:$A$1001,Customers!$G$2:$G$1001)</f>
        <v>United States</v>
      </c>
      <c r="I508" t="str" cm="1">
        <f t="array" ref="I508:L508">_xlfn.XLOOKUP(D508,products!$A$2:$A$49,products!$B$2:$E$49)</f>
        <v>Ara</v>
      </c>
      <c r="J508" t="str">
        <v>L</v>
      </c>
      <c r="K508" s="8">
        <v>1</v>
      </c>
      <c r="L508" s="6">
        <v>12.95</v>
      </c>
      <c r="M508" s="7">
        <f t="shared" si="21"/>
        <v>25.9</v>
      </c>
      <c r="N508" t="str">
        <f t="shared" si="22"/>
        <v>Arasbica</v>
      </c>
      <c r="O508" t="str">
        <f t="shared" si="23"/>
        <v>Lite</v>
      </c>
      <c r="P508" t="str">
        <f>_xlfn.XLOOKUP(Orders!C508,Customers!$A$2:$A$1001,Customers!$I$2:$I$1001)</f>
        <v>Yes</v>
      </c>
    </row>
    <row r="509" spans="1:16" x14ac:dyDescent="0.3">
      <c r="A509" t="s">
        <v>1004</v>
      </c>
      <c r="B509" s="11">
        <v>43516</v>
      </c>
      <c r="C509" t="s">
        <v>1005</v>
      </c>
      <c r="D509" t="s">
        <v>209</v>
      </c>
      <c r="E509">
        <v>3</v>
      </c>
      <c r="F509" t="str">
        <f>_xlfn.XLOOKUP(C509,Customers!$A$2:$A$1001,Customers!$B$2:$B$1001)</f>
        <v>Perry Lyfield</v>
      </c>
      <c r="G509" t="str">
        <f>_xlfn.XLOOKUP(C509,Customers!$A$2:$A$1001,Customers!$C$2:$C$1001,,0)</f>
        <v>plyfielde3@baidu.com</v>
      </c>
      <c r="H509" t="str">
        <f>_xlfn.XLOOKUP(C509,Customers!$A$2:$A$1001,Customers!$G$2:$G$1001)</f>
        <v>United States</v>
      </c>
      <c r="I509" t="str" cm="1">
        <f t="array" ref="I509:L509">_xlfn.XLOOKUP(D509,products!$A$2:$A$49,products!$B$2:$E$49)</f>
        <v>Ara</v>
      </c>
      <c r="J509" t="str">
        <v>L</v>
      </c>
      <c r="K509" s="8">
        <v>2.5</v>
      </c>
      <c r="L509" s="6">
        <v>29.784999999999997</v>
      </c>
      <c r="M509" s="7">
        <f t="shared" si="21"/>
        <v>89.35499999999999</v>
      </c>
      <c r="N509" t="str">
        <f t="shared" si="22"/>
        <v>Arasbica</v>
      </c>
      <c r="O509" t="str">
        <f t="shared" si="23"/>
        <v>Lite</v>
      </c>
      <c r="P509" t="str">
        <f>_xlfn.XLOOKUP(Orders!C509,Customers!$A$2:$A$1001,Customers!$I$2:$I$1001)</f>
        <v>Yes</v>
      </c>
    </row>
    <row r="510" spans="1:16" x14ac:dyDescent="0.3">
      <c r="A510" t="s">
        <v>1006</v>
      </c>
      <c r="B510" s="11">
        <v>44210</v>
      </c>
      <c r="C510" t="s">
        <v>1007</v>
      </c>
      <c r="D510" t="s">
        <v>128</v>
      </c>
      <c r="E510">
        <v>6</v>
      </c>
      <c r="F510" t="str">
        <f>_xlfn.XLOOKUP(C510,Customers!$A$2:$A$1001,Customers!$B$2:$B$1001)</f>
        <v>Heall Perris</v>
      </c>
      <c r="G510" t="str">
        <f>_xlfn.XLOOKUP(C510,Customers!$A$2:$A$1001,Customers!$C$2:$C$1001,,0)</f>
        <v>hperrise4@studiopress.com</v>
      </c>
      <c r="H510" t="str">
        <f>_xlfn.XLOOKUP(C510,Customers!$A$2:$A$1001,Customers!$G$2:$G$1001)</f>
        <v>Ireland</v>
      </c>
      <c r="I510" t="str" cm="1">
        <f t="array" ref="I510:L510">_xlfn.XLOOKUP(D510,products!$A$2:$A$49,products!$B$2:$E$49)</f>
        <v>Lib</v>
      </c>
      <c r="J510" t="str">
        <v>D</v>
      </c>
      <c r="K510" s="8">
        <v>0.5</v>
      </c>
      <c r="L510" s="6">
        <v>7.77</v>
      </c>
      <c r="M510" s="7">
        <f t="shared" si="21"/>
        <v>46.62</v>
      </c>
      <c r="N510" t="str">
        <f t="shared" si="22"/>
        <v>Liberica</v>
      </c>
      <c r="O510" t="str">
        <f t="shared" si="23"/>
        <v>Dark</v>
      </c>
      <c r="P510" t="str">
        <f>_xlfn.XLOOKUP(Orders!C510,Customers!$A$2:$A$1001,Customers!$I$2:$I$1001)</f>
        <v>No</v>
      </c>
    </row>
    <row r="511" spans="1:16" x14ac:dyDescent="0.3">
      <c r="A511" t="s">
        <v>1008</v>
      </c>
      <c r="B511" s="11">
        <v>43785</v>
      </c>
      <c r="C511" t="s">
        <v>993</v>
      </c>
      <c r="D511" t="s">
        <v>32</v>
      </c>
      <c r="E511">
        <v>3</v>
      </c>
      <c r="F511" t="str">
        <f>_xlfn.XLOOKUP(C511,Customers!$A$2:$A$1001,Customers!$B$2:$B$1001)</f>
        <v>Marja Urion</v>
      </c>
      <c r="G511" t="str">
        <f>_xlfn.XLOOKUP(C511,Customers!$A$2:$A$1001,Customers!$C$2:$C$1001,,0)</f>
        <v>murione5@alexa.com</v>
      </c>
      <c r="H511" t="str">
        <f>_xlfn.XLOOKUP(C511,Customers!$A$2:$A$1001,Customers!$G$2:$G$1001)</f>
        <v>Ireland</v>
      </c>
      <c r="I511" t="str" cm="1">
        <f t="array" ref="I511:L511">_xlfn.XLOOKUP(D511,products!$A$2:$A$49,products!$B$2:$E$49)</f>
        <v>Ara</v>
      </c>
      <c r="J511" t="str">
        <v>D</v>
      </c>
      <c r="K511" s="8">
        <v>1</v>
      </c>
      <c r="L511" s="6">
        <v>9.9499999999999993</v>
      </c>
      <c r="M511" s="7">
        <f t="shared" si="21"/>
        <v>29.849999999999998</v>
      </c>
      <c r="N511" t="str">
        <f t="shared" si="22"/>
        <v>Arasbica</v>
      </c>
      <c r="O511" t="str">
        <f t="shared" si="23"/>
        <v>Dark</v>
      </c>
      <c r="P511" t="str">
        <f>_xlfn.XLOOKUP(Orders!C511,Customers!$A$2:$A$1001,Customers!$I$2:$I$1001)</f>
        <v>Yes</v>
      </c>
    </row>
    <row r="512" spans="1:16" x14ac:dyDescent="0.3">
      <c r="A512" t="s">
        <v>1009</v>
      </c>
      <c r="B512" s="11">
        <v>43803</v>
      </c>
      <c r="C512" t="s">
        <v>1010</v>
      </c>
      <c r="D512" t="s">
        <v>187</v>
      </c>
      <c r="E512">
        <v>3</v>
      </c>
      <c r="F512" t="str">
        <f>_xlfn.XLOOKUP(C512,Customers!$A$2:$A$1001,Customers!$B$2:$B$1001)</f>
        <v>Camellia Kid</v>
      </c>
      <c r="G512" t="str">
        <f>_xlfn.XLOOKUP(C512,Customers!$A$2:$A$1001,Customers!$C$2:$C$1001,,0)</f>
        <v>ckide6@narod.ru</v>
      </c>
      <c r="H512" t="str">
        <f>_xlfn.XLOOKUP(C512,Customers!$A$2:$A$1001,Customers!$G$2:$G$1001)</f>
        <v>Ireland</v>
      </c>
      <c r="I512" t="str" cm="1">
        <f t="array" ref="I512:L512">_xlfn.XLOOKUP(D512,products!$A$2:$A$49,products!$B$2:$E$49)</f>
        <v>Rob</v>
      </c>
      <c r="J512" t="str">
        <v>L</v>
      </c>
      <c r="K512" s="8">
        <v>0.2</v>
      </c>
      <c r="L512" s="6">
        <v>3.5849999999999995</v>
      </c>
      <c r="M512" s="7">
        <f t="shared" si="21"/>
        <v>10.754999999999999</v>
      </c>
      <c r="N512" t="str">
        <f t="shared" si="22"/>
        <v>Robusta</v>
      </c>
      <c r="O512" t="str">
        <f t="shared" si="23"/>
        <v>Lite</v>
      </c>
      <c r="P512" t="str">
        <f>_xlfn.XLOOKUP(Orders!C512,Customers!$A$2:$A$1001,Customers!$I$2:$I$1001)</f>
        <v>Yes</v>
      </c>
    </row>
    <row r="513" spans="1:16" x14ac:dyDescent="0.3">
      <c r="A513" t="s">
        <v>1011</v>
      </c>
      <c r="B513" s="11">
        <v>44043</v>
      </c>
      <c r="C513" t="s">
        <v>1012</v>
      </c>
      <c r="D513" t="s">
        <v>49</v>
      </c>
      <c r="E513">
        <v>4</v>
      </c>
      <c r="F513" t="str">
        <f>_xlfn.XLOOKUP(C513,Customers!$A$2:$A$1001,Customers!$B$2:$B$1001)</f>
        <v>Carolann Beine</v>
      </c>
      <c r="G513" t="str">
        <f>_xlfn.XLOOKUP(C513,Customers!$A$2:$A$1001,Customers!$C$2:$C$1001,,0)</f>
        <v>cbeinee7@xinhuanet.com</v>
      </c>
      <c r="H513" t="str">
        <f>_xlfn.XLOOKUP(C513,Customers!$A$2:$A$1001,Customers!$G$2:$G$1001)</f>
        <v>United States</v>
      </c>
      <c r="I513" t="str" cm="1">
        <f t="array" ref="I513:L513">_xlfn.XLOOKUP(D513,products!$A$2:$A$49,products!$B$2:$E$49)</f>
        <v>Ara</v>
      </c>
      <c r="J513" t="str">
        <v>M</v>
      </c>
      <c r="K513" s="8">
        <v>0.2</v>
      </c>
      <c r="L513" s="6">
        <v>3.375</v>
      </c>
      <c r="M513" s="7">
        <f t="shared" si="21"/>
        <v>13.5</v>
      </c>
      <c r="N513" t="str">
        <f t="shared" si="22"/>
        <v>Arasbica</v>
      </c>
      <c r="O513" t="str">
        <f t="shared" si="23"/>
        <v>Medium</v>
      </c>
      <c r="P513" t="str">
        <f>_xlfn.XLOOKUP(Orders!C513,Customers!$A$2:$A$1001,Customers!$I$2:$I$1001)</f>
        <v>Yes</v>
      </c>
    </row>
    <row r="514" spans="1:16" x14ac:dyDescent="0.3">
      <c r="A514" t="s">
        <v>1013</v>
      </c>
      <c r="B514" s="11">
        <v>43535</v>
      </c>
      <c r="C514" t="s">
        <v>1014</v>
      </c>
      <c r="D514" t="s">
        <v>137</v>
      </c>
      <c r="E514">
        <v>3</v>
      </c>
      <c r="F514" t="str">
        <f>_xlfn.XLOOKUP(C514,Customers!$A$2:$A$1001,Customers!$B$2:$B$1001)</f>
        <v>Celia Bakeup</v>
      </c>
      <c r="G514" t="str">
        <f>_xlfn.XLOOKUP(C514,Customers!$A$2:$A$1001,Customers!$C$2:$C$1001,,0)</f>
        <v>cbakeupe8@globo.com</v>
      </c>
      <c r="H514" t="str">
        <f>_xlfn.XLOOKUP(C514,Customers!$A$2:$A$1001,Customers!$G$2:$G$1001)</f>
        <v>United States</v>
      </c>
      <c r="I514" t="str" cm="1">
        <f t="array" ref="I514:L514">_xlfn.XLOOKUP(D514,products!$A$2:$A$49,products!$B$2:$E$49)</f>
        <v>Lib</v>
      </c>
      <c r="J514" t="str">
        <v>L</v>
      </c>
      <c r="K514" s="8">
        <v>1</v>
      </c>
      <c r="L514" s="6">
        <v>15.85</v>
      </c>
      <c r="M514" s="7">
        <f t="shared" si="21"/>
        <v>47.55</v>
      </c>
      <c r="N514" t="str">
        <f t="shared" si="22"/>
        <v>Liberica</v>
      </c>
      <c r="O514" t="str">
        <f t="shared" si="23"/>
        <v>Lite</v>
      </c>
      <c r="P514" t="str">
        <f>_xlfn.XLOOKUP(Orders!C514,Customers!$A$2:$A$1001,Customers!$I$2:$I$1001)</f>
        <v>No</v>
      </c>
    </row>
    <row r="515" spans="1:16" x14ac:dyDescent="0.3">
      <c r="A515" t="s">
        <v>1015</v>
      </c>
      <c r="B515" s="11">
        <v>44691</v>
      </c>
      <c r="C515" t="s">
        <v>1016</v>
      </c>
      <c r="D515" t="s">
        <v>137</v>
      </c>
      <c r="E515">
        <v>5</v>
      </c>
      <c r="F515" t="str">
        <f>_xlfn.XLOOKUP(C515,Customers!$A$2:$A$1001,Customers!$B$2:$B$1001)</f>
        <v>Nataniel Helkin</v>
      </c>
      <c r="G515" t="str">
        <f>_xlfn.XLOOKUP(C515,Customers!$A$2:$A$1001,Customers!$C$2:$C$1001,,0)</f>
        <v>nhelkine9@example.com</v>
      </c>
      <c r="H515" t="str">
        <f>_xlfn.XLOOKUP(C515,Customers!$A$2:$A$1001,Customers!$G$2:$G$1001)</f>
        <v>United States</v>
      </c>
      <c r="I515" t="str" cm="1">
        <f t="array" ref="I515:L515">_xlfn.XLOOKUP(D515,products!$A$2:$A$49,products!$B$2:$E$49)</f>
        <v>Lib</v>
      </c>
      <c r="J515" t="str">
        <v>L</v>
      </c>
      <c r="K515" s="8">
        <v>1</v>
      </c>
      <c r="L515" s="6">
        <v>15.85</v>
      </c>
      <c r="M515" s="7">
        <f t="shared" ref="M515:M578" si="24">E515*L515</f>
        <v>79.25</v>
      </c>
      <c r="N515" t="str">
        <f t="shared" ref="N515:N578" si="25">IF(I515="rob","Robusta",IF(I515="Exc","Excelsa",IF(I515="Ara","Arasbica",IF(I515="Lib","Liberica"))))</f>
        <v>Liberica</v>
      </c>
      <c r="O515" t="str">
        <f t="shared" ref="O515:O578" si="26">IF(J515="M","Medium",IF(J515="L","Lite",IF(J515="D","Dark")))</f>
        <v>Lite</v>
      </c>
      <c r="P515" t="str">
        <f>_xlfn.XLOOKUP(Orders!C515,Customers!$A$2:$A$1001,Customers!$I$2:$I$1001)</f>
        <v>No</v>
      </c>
    </row>
    <row r="516" spans="1:16" x14ac:dyDescent="0.3">
      <c r="A516" t="s">
        <v>1017</v>
      </c>
      <c r="B516" s="11">
        <v>44555</v>
      </c>
      <c r="C516" t="s">
        <v>1018</v>
      </c>
      <c r="D516" t="s">
        <v>82</v>
      </c>
      <c r="E516">
        <v>6</v>
      </c>
      <c r="F516" t="str">
        <f>_xlfn.XLOOKUP(C516,Customers!$A$2:$A$1001,Customers!$B$2:$B$1001)</f>
        <v>Pippo Witherington</v>
      </c>
      <c r="G516" t="str">
        <f>_xlfn.XLOOKUP(C516,Customers!$A$2:$A$1001,Customers!$C$2:$C$1001,,0)</f>
        <v>pwitheringtonea@networkadvertising.org</v>
      </c>
      <c r="H516" t="str">
        <f>_xlfn.XLOOKUP(C516,Customers!$A$2:$A$1001,Customers!$G$2:$G$1001)</f>
        <v>United States</v>
      </c>
      <c r="I516" t="str" cm="1">
        <f t="array" ref="I516:L516">_xlfn.XLOOKUP(D516,products!$A$2:$A$49,products!$B$2:$E$49)</f>
        <v>Lib</v>
      </c>
      <c r="J516" t="str">
        <v>M</v>
      </c>
      <c r="K516" s="8">
        <v>0.2</v>
      </c>
      <c r="L516" s="6">
        <v>4.3650000000000002</v>
      </c>
      <c r="M516" s="7">
        <f t="shared" si="24"/>
        <v>26.19</v>
      </c>
      <c r="N516" t="str">
        <f t="shared" si="25"/>
        <v>Liberica</v>
      </c>
      <c r="O516" t="str">
        <f t="shared" si="26"/>
        <v>Medium</v>
      </c>
      <c r="P516" t="str">
        <f>_xlfn.XLOOKUP(Orders!C516,Customers!$A$2:$A$1001,Customers!$I$2:$I$1001)</f>
        <v>Yes</v>
      </c>
    </row>
    <row r="517" spans="1:16" x14ac:dyDescent="0.3">
      <c r="A517" t="s">
        <v>1019</v>
      </c>
      <c r="B517" s="11">
        <v>44673</v>
      </c>
      <c r="C517" t="s">
        <v>1020</v>
      </c>
      <c r="D517" t="s">
        <v>162</v>
      </c>
      <c r="E517">
        <v>3</v>
      </c>
      <c r="F517" t="str">
        <f>_xlfn.XLOOKUP(C517,Customers!$A$2:$A$1001,Customers!$B$2:$B$1001)</f>
        <v>Tildie Tilzey</v>
      </c>
      <c r="G517" t="str">
        <f>_xlfn.XLOOKUP(C517,Customers!$A$2:$A$1001,Customers!$C$2:$C$1001,,0)</f>
        <v>ttilzeyeb@hostgator.com</v>
      </c>
      <c r="H517" t="str">
        <f>_xlfn.XLOOKUP(C517,Customers!$A$2:$A$1001,Customers!$G$2:$G$1001)</f>
        <v>United States</v>
      </c>
      <c r="I517" t="str" cm="1">
        <f t="array" ref="I517:L517">_xlfn.XLOOKUP(D517,products!$A$2:$A$49,products!$B$2:$E$49)</f>
        <v>Rob</v>
      </c>
      <c r="J517" t="str">
        <v>L</v>
      </c>
      <c r="K517" s="8">
        <v>0.5</v>
      </c>
      <c r="L517" s="6">
        <v>7.169999999999999</v>
      </c>
      <c r="M517" s="7">
        <f t="shared" si="24"/>
        <v>21.509999999999998</v>
      </c>
      <c r="N517" t="str">
        <f t="shared" si="25"/>
        <v>Robusta</v>
      </c>
      <c r="O517" t="str">
        <f t="shared" si="26"/>
        <v>Lite</v>
      </c>
      <c r="P517" t="str">
        <f>_xlfn.XLOOKUP(Orders!C517,Customers!$A$2:$A$1001,Customers!$I$2:$I$1001)</f>
        <v>No</v>
      </c>
    </row>
    <row r="518" spans="1:16" x14ac:dyDescent="0.3">
      <c r="A518" t="s">
        <v>1021</v>
      </c>
      <c r="B518" s="11">
        <v>44723</v>
      </c>
      <c r="C518" t="s">
        <v>1022</v>
      </c>
      <c r="D518" t="s">
        <v>40</v>
      </c>
      <c r="E518">
        <v>5</v>
      </c>
      <c r="F518" t="str">
        <f>_xlfn.XLOOKUP(C518,Customers!$A$2:$A$1001,Customers!$B$2:$B$1001)</f>
        <v>Cindra Burling</v>
      </c>
      <c r="G518">
        <f>_xlfn.XLOOKUP(C518,Customers!$A$2:$A$1001,Customers!$C$2:$C$1001,,0)</f>
        <v>0</v>
      </c>
      <c r="H518" t="str">
        <f>_xlfn.XLOOKUP(C518,Customers!$A$2:$A$1001,Customers!$G$2:$G$1001)</f>
        <v>United States</v>
      </c>
      <c r="I518" t="str" cm="1">
        <f t="array" ref="I518:L518">_xlfn.XLOOKUP(D518,products!$A$2:$A$49,products!$B$2:$E$49)</f>
        <v>Rob</v>
      </c>
      <c r="J518" t="str">
        <v>D</v>
      </c>
      <c r="K518" s="8">
        <v>2.5</v>
      </c>
      <c r="L518" s="6">
        <v>20.584999999999997</v>
      </c>
      <c r="M518" s="7">
        <f t="shared" si="24"/>
        <v>102.92499999999998</v>
      </c>
      <c r="N518" t="str">
        <f t="shared" si="25"/>
        <v>Robusta</v>
      </c>
      <c r="O518" t="str">
        <f t="shared" si="26"/>
        <v>Dark</v>
      </c>
      <c r="P518" t="str">
        <f>_xlfn.XLOOKUP(Orders!C518,Customers!$A$2:$A$1001,Customers!$I$2:$I$1001)</f>
        <v>Yes</v>
      </c>
    </row>
    <row r="519" spans="1:16" x14ac:dyDescent="0.3">
      <c r="A519" t="s">
        <v>1023</v>
      </c>
      <c r="B519" s="11">
        <v>44678</v>
      </c>
      <c r="C519" t="s">
        <v>1024</v>
      </c>
      <c r="D519" t="s">
        <v>43</v>
      </c>
      <c r="E519">
        <v>2</v>
      </c>
      <c r="F519" t="str">
        <f>_xlfn.XLOOKUP(C519,Customers!$A$2:$A$1001,Customers!$B$2:$B$1001)</f>
        <v>Channa Belamy</v>
      </c>
      <c r="G519">
        <f>_xlfn.XLOOKUP(C519,Customers!$A$2:$A$1001,Customers!$C$2:$C$1001,,0)</f>
        <v>0</v>
      </c>
      <c r="H519" t="str">
        <f>_xlfn.XLOOKUP(C519,Customers!$A$2:$A$1001,Customers!$G$2:$G$1001)</f>
        <v>United States</v>
      </c>
      <c r="I519" t="str" cm="1">
        <f t="array" ref="I519:L519">_xlfn.XLOOKUP(D519,products!$A$2:$A$49,products!$B$2:$E$49)</f>
        <v>Lib</v>
      </c>
      <c r="J519" t="str">
        <v>D</v>
      </c>
      <c r="K519" s="8">
        <v>0.2</v>
      </c>
      <c r="L519" s="6">
        <v>3.8849999999999998</v>
      </c>
      <c r="M519" s="7">
        <f t="shared" si="24"/>
        <v>7.77</v>
      </c>
      <c r="N519" t="str">
        <f t="shared" si="25"/>
        <v>Liberica</v>
      </c>
      <c r="O519" t="str">
        <f t="shared" si="26"/>
        <v>Dark</v>
      </c>
      <c r="P519" t="str">
        <f>_xlfn.XLOOKUP(Orders!C519,Customers!$A$2:$A$1001,Customers!$I$2:$I$1001)</f>
        <v>No</v>
      </c>
    </row>
    <row r="520" spans="1:16" x14ac:dyDescent="0.3">
      <c r="A520" t="s">
        <v>1025</v>
      </c>
      <c r="B520" s="11">
        <v>44194</v>
      </c>
      <c r="C520" t="s">
        <v>1026</v>
      </c>
      <c r="D520" t="s">
        <v>535</v>
      </c>
      <c r="E520">
        <v>5</v>
      </c>
      <c r="F520" t="str">
        <f>_xlfn.XLOOKUP(C520,Customers!$A$2:$A$1001,Customers!$B$2:$B$1001)</f>
        <v>Karl Imorts</v>
      </c>
      <c r="G520" t="str">
        <f>_xlfn.XLOOKUP(C520,Customers!$A$2:$A$1001,Customers!$C$2:$C$1001,,0)</f>
        <v>kimortsee@alexa.com</v>
      </c>
      <c r="H520" t="str">
        <f>_xlfn.XLOOKUP(C520,Customers!$A$2:$A$1001,Customers!$G$2:$G$1001)</f>
        <v>United States</v>
      </c>
      <c r="I520" t="str" cm="1">
        <f t="array" ref="I520:L520">_xlfn.XLOOKUP(D520,products!$A$2:$A$49,products!$B$2:$E$49)</f>
        <v>Exc</v>
      </c>
      <c r="J520" t="str">
        <v>D</v>
      </c>
      <c r="K520" s="8">
        <v>2.5</v>
      </c>
      <c r="L520" s="6">
        <v>27.945</v>
      </c>
      <c r="M520" s="7">
        <f t="shared" si="24"/>
        <v>139.72499999999999</v>
      </c>
      <c r="N520" t="str">
        <f t="shared" si="25"/>
        <v>Excelsa</v>
      </c>
      <c r="O520" t="str">
        <f t="shared" si="26"/>
        <v>Dark</v>
      </c>
      <c r="P520" t="str">
        <f>_xlfn.XLOOKUP(Orders!C520,Customers!$A$2:$A$1001,Customers!$I$2:$I$1001)</f>
        <v>No</v>
      </c>
    </row>
    <row r="521" spans="1:16" x14ac:dyDescent="0.3">
      <c r="A521" t="s">
        <v>1027</v>
      </c>
      <c r="B521" s="11">
        <v>44026</v>
      </c>
      <c r="C521" t="s">
        <v>993</v>
      </c>
      <c r="D521" t="s">
        <v>77</v>
      </c>
      <c r="E521">
        <v>2</v>
      </c>
      <c r="F521" t="str">
        <f>_xlfn.XLOOKUP(C521,Customers!$A$2:$A$1001,Customers!$B$2:$B$1001)</f>
        <v>Marja Urion</v>
      </c>
      <c r="G521" t="str">
        <f>_xlfn.XLOOKUP(C521,Customers!$A$2:$A$1001,Customers!$C$2:$C$1001,,0)</f>
        <v>murione5@alexa.com</v>
      </c>
      <c r="H521" t="str">
        <f>_xlfn.XLOOKUP(C521,Customers!$A$2:$A$1001,Customers!$G$2:$G$1001)</f>
        <v>Ireland</v>
      </c>
      <c r="I521" t="str" cm="1">
        <f t="array" ref="I521:L521">_xlfn.XLOOKUP(D521,products!$A$2:$A$49,products!$B$2:$E$49)</f>
        <v>Ara</v>
      </c>
      <c r="J521" t="str">
        <v>D</v>
      </c>
      <c r="K521" s="8">
        <v>0.5</v>
      </c>
      <c r="L521" s="6">
        <v>5.97</v>
      </c>
      <c r="M521" s="7">
        <f t="shared" si="24"/>
        <v>11.94</v>
      </c>
      <c r="N521" t="str">
        <f t="shared" si="25"/>
        <v>Arasbica</v>
      </c>
      <c r="O521" t="str">
        <f t="shared" si="26"/>
        <v>Dark</v>
      </c>
      <c r="P521" t="str">
        <f>_xlfn.XLOOKUP(Orders!C521,Customers!$A$2:$A$1001,Customers!$I$2:$I$1001)</f>
        <v>Yes</v>
      </c>
    </row>
    <row r="522" spans="1:16" x14ac:dyDescent="0.3">
      <c r="A522" t="s">
        <v>1028</v>
      </c>
      <c r="B522" s="11">
        <v>44446</v>
      </c>
      <c r="C522" t="s">
        <v>1029</v>
      </c>
      <c r="D522" t="s">
        <v>43</v>
      </c>
      <c r="E522">
        <v>1</v>
      </c>
      <c r="F522" t="str">
        <f>_xlfn.XLOOKUP(C522,Customers!$A$2:$A$1001,Customers!$B$2:$B$1001)</f>
        <v>Mag Armistead</v>
      </c>
      <c r="G522" t="str">
        <f>_xlfn.XLOOKUP(C522,Customers!$A$2:$A$1001,Customers!$C$2:$C$1001,,0)</f>
        <v>marmisteadeg@blogtalkradio.com</v>
      </c>
      <c r="H522" t="str">
        <f>_xlfn.XLOOKUP(C522,Customers!$A$2:$A$1001,Customers!$G$2:$G$1001)</f>
        <v>United States</v>
      </c>
      <c r="I522" t="str" cm="1">
        <f t="array" ref="I522:L522">_xlfn.XLOOKUP(D522,products!$A$2:$A$49,products!$B$2:$E$49)</f>
        <v>Lib</v>
      </c>
      <c r="J522" t="str">
        <v>D</v>
      </c>
      <c r="K522" s="8">
        <v>0.2</v>
      </c>
      <c r="L522" s="6">
        <v>3.8849999999999998</v>
      </c>
      <c r="M522" s="7">
        <f t="shared" si="24"/>
        <v>3.8849999999999998</v>
      </c>
      <c r="N522" t="str">
        <f t="shared" si="25"/>
        <v>Liberica</v>
      </c>
      <c r="O522" t="str">
        <f t="shared" si="26"/>
        <v>Dark</v>
      </c>
      <c r="P522" t="str">
        <f>_xlfn.XLOOKUP(Orders!C522,Customers!$A$2:$A$1001,Customers!$I$2:$I$1001)</f>
        <v>No</v>
      </c>
    </row>
    <row r="523" spans="1:16" x14ac:dyDescent="0.3">
      <c r="A523" t="s">
        <v>1028</v>
      </c>
      <c r="B523" s="11">
        <v>44446</v>
      </c>
      <c r="C523" t="s">
        <v>1029</v>
      </c>
      <c r="D523" t="s">
        <v>7</v>
      </c>
      <c r="E523">
        <v>4</v>
      </c>
      <c r="F523" t="str">
        <f>_xlfn.XLOOKUP(C523,Customers!$A$2:$A$1001,Customers!$B$2:$B$1001)</f>
        <v>Mag Armistead</v>
      </c>
      <c r="G523" t="str">
        <f>_xlfn.XLOOKUP(C523,Customers!$A$2:$A$1001,Customers!$C$2:$C$1001,,0)</f>
        <v>marmisteadeg@blogtalkradio.com</v>
      </c>
      <c r="H523" t="str">
        <f>_xlfn.XLOOKUP(C523,Customers!$A$2:$A$1001,Customers!$G$2:$G$1001)</f>
        <v>United States</v>
      </c>
      <c r="I523" t="str" cm="1">
        <f t="array" ref="I523:L523">_xlfn.XLOOKUP(D523,products!$A$2:$A$49,products!$B$2:$E$49)</f>
        <v>Rob</v>
      </c>
      <c r="J523" t="str">
        <v>M</v>
      </c>
      <c r="K523" s="8">
        <v>1</v>
      </c>
      <c r="L523" s="6">
        <v>9.9499999999999993</v>
      </c>
      <c r="M523" s="7">
        <f t="shared" si="24"/>
        <v>39.799999999999997</v>
      </c>
      <c r="N523" t="str">
        <f t="shared" si="25"/>
        <v>Robusta</v>
      </c>
      <c r="O523" t="str">
        <f t="shared" si="26"/>
        <v>Medium</v>
      </c>
      <c r="P523" t="str">
        <f>_xlfn.XLOOKUP(Orders!C523,Customers!$A$2:$A$1001,Customers!$I$2:$I$1001)</f>
        <v>No</v>
      </c>
    </row>
    <row r="524" spans="1:16" x14ac:dyDescent="0.3">
      <c r="A524" t="s">
        <v>1030</v>
      </c>
      <c r="B524" s="11">
        <v>43625</v>
      </c>
      <c r="C524" t="s">
        <v>1031</v>
      </c>
      <c r="D524" t="s">
        <v>27</v>
      </c>
      <c r="E524">
        <v>5</v>
      </c>
      <c r="F524" t="str">
        <f>_xlfn.XLOOKUP(C524,Customers!$A$2:$A$1001,Customers!$B$2:$B$1001)</f>
        <v>Vasili Upstone</v>
      </c>
      <c r="G524" t="str">
        <f>_xlfn.XLOOKUP(C524,Customers!$A$2:$A$1001,Customers!$C$2:$C$1001,,0)</f>
        <v>vupstoneei@google.pl</v>
      </c>
      <c r="H524" t="str">
        <f>_xlfn.XLOOKUP(C524,Customers!$A$2:$A$1001,Customers!$G$2:$G$1001)</f>
        <v>United States</v>
      </c>
      <c r="I524" t="str" cm="1">
        <f t="array" ref="I524:L524">_xlfn.XLOOKUP(D524,products!$A$2:$A$49,products!$B$2:$E$49)</f>
        <v>Rob</v>
      </c>
      <c r="J524" t="str">
        <v>M</v>
      </c>
      <c r="K524" s="8">
        <v>0.5</v>
      </c>
      <c r="L524" s="6">
        <v>5.97</v>
      </c>
      <c r="M524" s="7">
        <f t="shared" si="24"/>
        <v>29.849999999999998</v>
      </c>
      <c r="N524" t="str">
        <f t="shared" si="25"/>
        <v>Robusta</v>
      </c>
      <c r="O524" t="str">
        <f t="shared" si="26"/>
        <v>Medium</v>
      </c>
      <c r="P524" t="str">
        <f>_xlfn.XLOOKUP(Orders!C524,Customers!$A$2:$A$1001,Customers!$I$2:$I$1001)</f>
        <v>No</v>
      </c>
    </row>
    <row r="525" spans="1:16" x14ac:dyDescent="0.3">
      <c r="A525" t="s">
        <v>1032</v>
      </c>
      <c r="B525" s="11">
        <v>44129</v>
      </c>
      <c r="C525" t="s">
        <v>1033</v>
      </c>
      <c r="D525" t="s">
        <v>114</v>
      </c>
      <c r="E525">
        <v>1</v>
      </c>
      <c r="F525" t="str">
        <f>_xlfn.XLOOKUP(C525,Customers!$A$2:$A$1001,Customers!$B$2:$B$1001)</f>
        <v>Berty Beelby</v>
      </c>
      <c r="G525" t="str">
        <f>_xlfn.XLOOKUP(C525,Customers!$A$2:$A$1001,Customers!$C$2:$C$1001,,0)</f>
        <v>bbeelbyej@rediff.com</v>
      </c>
      <c r="H525" t="str">
        <f>_xlfn.XLOOKUP(C525,Customers!$A$2:$A$1001,Customers!$G$2:$G$1001)</f>
        <v>Ireland</v>
      </c>
      <c r="I525" t="str" cm="1">
        <f t="array" ref="I525:L525">_xlfn.XLOOKUP(D525,products!$A$2:$A$49,products!$B$2:$E$49)</f>
        <v>Lib</v>
      </c>
      <c r="J525" t="str">
        <v>D</v>
      </c>
      <c r="K525" s="8">
        <v>2.5</v>
      </c>
      <c r="L525" s="6">
        <v>29.784999999999997</v>
      </c>
      <c r="M525" s="7">
        <f t="shared" si="24"/>
        <v>29.784999999999997</v>
      </c>
      <c r="N525" t="str">
        <f t="shared" si="25"/>
        <v>Liberica</v>
      </c>
      <c r="O525" t="str">
        <f t="shared" si="26"/>
        <v>Dark</v>
      </c>
      <c r="P525" t="str">
        <f>_xlfn.XLOOKUP(Orders!C525,Customers!$A$2:$A$1001,Customers!$I$2:$I$1001)</f>
        <v>No</v>
      </c>
    </row>
    <row r="526" spans="1:16" x14ac:dyDescent="0.3">
      <c r="A526" t="s">
        <v>1034</v>
      </c>
      <c r="B526" s="11">
        <v>44255</v>
      </c>
      <c r="C526" t="s">
        <v>1035</v>
      </c>
      <c r="D526" t="s">
        <v>109</v>
      </c>
      <c r="E526">
        <v>2</v>
      </c>
      <c r="F526" t="str">
        <f>_xlfn.XLOOKUP(C526,Customers!$A$2:$A$1001,Customers!$B$2:$B$1001)</f>
        <v>Erny Stenyng</v>
      </c>
      <c r="G526">
        <f>_xlfn.XLOOKUP(C526,Customers!$A$2:$A$1001,Customers!$C$2:$C$1001,,0)</f>
        <v>0</v>
      </c>
      <c r="H526" t="str">
        <f>_xlfn.XLOOKUP(C526,Customers!$A$2:$A$1001,Customers!$G$2:$G$1001)</f>
        <v>United States</v>
      </c>
      <c r="I526" t="str" cm="1">
        <f t="array" ref="I526:L526">_xlfn.XLOOKUP(D526,products!$A$2:$A$49,products!$B$2:$E$49)</f>
        <v>Lib</v>
      </c>
      <c r="J526" t="str">
        <v>L</v>
      </c>
      <c r="K526" s="8">
        <v>2.5</v>
      </c>
      <c r="L526" s="6">
        <v>36.454999999999998</v>
      </c>
      <c r="M526" s="7">
        <f t="shared" si="24"/>
        <v>72.91</v>
      </c>
      <c r="N526" t="str">
        <f t="shared" si="25"/>
        <v>Liberica</v>
      </c>
      <c r="O526" t="str">
        <f t="shared" si="26"/>
        <v>Lite</v>
      </c>
      <c r="P526" t="str">
        <f>_xlfn.XLOOKUP(Orders!C526,Customers!$A$2:$A$1001,Customers!$I$2:$I$1001)</f>
        <v>No</v>
      </c>
    </row>
    <row r="527" spans="1:16" x14ac:dyDescent="0.3">
      <c r="A527" t="s">
        <v>1036</v>
      </c>
      <c r="B527" s="11">
        <v>44038</v>
      </c>
      <c r="C527" t="s">
        <v>1037</v>
      </c>
      <c r="D527" t="s">
        <v>106</v>
      </c>
      <c r="E527">
        <v>5</v>
      </c>
      <c r="F527" t="str">
        <f>_xlfn.XLOOKUP(C527,Customers!$A$2:$A$1001,Customers!$B$2:$B$1001)</f>
        <v>Edin Yantsurev</v>
      </c>
      <c r="G527">
        <f>_xlfn.XLOOKUP(C527,Customers!$A$2:$A$1001,Customers!$C$2:$C$1001,,0)</f>
        <v>0</v>
      </c>
      <c r="H527" t="str">
        <f>_xlfn.XLOOKUP(C527,Customers!$A$2:$A$1001,Customers!$G$2:$G$1001)</f>
        <v>United States</v>
      </c>
      <c r="I527" t="str" cm="1">
        <f t="array" ref="I527:L527">_xlfn.XLOOKUP(D527,products!$A$2:$A$49,products!$B$2:$E$49)</f>
        <v>Rob</v>
      </c>
      <c r="J527" t="str">
        <v>D</v>
      </c>
      <c r="K527" s="8">
        <v>0.2</v>
      </c>
      <c r="L527" s="6">
        <v>2.6849999999999996</v>
      </c>
      <c r="M527" s="7">
        <f t="shared" si="24"/>
        <v>13.424999999999997</v>
      </c>
      <c r="N527" t="str">
        <f t="shared" si="25"/>
        <v>Robusta</v>
      </c>
      <c r="O527" t="str">
        <f t="shared" si="26"/>
        <v>Dark</v>
      </c>
      <c r="P527" t="str">
        <f>_xlfn.XLOOKUP(Orders!C527,Customers!$A$2:$A$1001,Customers!$I$2:$I$1001)</f>
        <v>Yes</v>
      </c>
    </row>
    <row r="528" spans="1:16" x14ac:dyDescent="0.3">
      <c r="A528" t="s">
        <v>1038</v>
      </c>
      <c r="B528" s="11">
        <v>44717</v>
      </c>
      <c r="C528" t="s">
        <v>1039</v>
      </c>
      <c r="D528" t="s">
        <v>117</v>
      </c>
      <c r="E528">
        <v>4</v>
      </c>
      <c r="F528" t="str">
        <f>_xlfn.XLOOKUP(C528,Customers!$A$2:$A$1001,Customers!$B$2:$B$1001)</f>
        <v>Webb Speechly</v>
      </c>
      <c r="G528" t="str">
        <f>_xlfn.XLOOKUP(C528,Customers!$A$2:$A$1001,Customers!$C$2:$C$1001,,0)</f>
        <v>wspeechlyem@amazon.com</v>
      </c>
      <c r="H528" t="str">
        <f>_xlfn.XLOOKUP(C528,Customers!$A$2:$A$1001,Customers!$G$2:$G$1001)</f>
        <v>United States</v>
      </c>
      <c r="I528" t="str" cm="1">
        <f t="array" ref="I528:L528">_xlfn.XLOOKUP(D528,products!$A$2:$A$49,products!$B$2:$E$49)</f>
        <v>Exc</v>
      </c>
      <c r="J528" t="str">
        <v>M</v>
      </c>
      <c r="K528" s="8">
        <v>2.5</v>
      </c>
      <c r="L528" s="6">
        <v>31.624999999999996</v>
      </c>
      <c r="M528" s="7">
        <f t="shared" si="24"/>
        <v>126.49999999999999</v>
      </c>
      <c r="N528" t="str">
        <f t="shared" si="25"/>
        <v>Excelsa</v>
      </c>
      <c r="O528" t="str">
        <f t="shared" si="26"/>
        <v>Medium</v>
      </c>
      <c r="P528" t="str">
        <f>_xlfn.XLOOKUP(Orders!C528,Customers!$A$2:$A$1001,Customers!$I$2:$I$1001)</f>
        <v>Yes</v>
      </c>
    </row>
    <row r="529" spans="1:16" x14ac:dyDescent="0.3">
      <c r="A529" t="s">
        <v>1040</v>
      </c>
      <c r="B529" s="11">
        <v>43517</v>
      </c>
      <c r="C529" t="s">
        <v>1041</v>
      </c>
      <c r="D529" t="s">
        <v>8</v>
      </c>
      <c r="E529">
        <v>5</v>
      </c>
      <c r="F529" t="str">
        <f>_xlfn.XLOOKUP(C529,Customers!$A$2:$A$1001,Customers!$B$2:$B$1001)</f>
        <v>Irvine Phillpot</v>
      </c>
      <c r="G529" t="str">
        <f>_xlfn.XLOOKUP(C529,Customers!$A$2:$A$1001,Customers!$C$2:$C$1001,,0)</f>
        <v>iphillpoten@buzzfeed.com</v>
      </c>
      <c r="H529" t="str">
        <f>_xlfn.XLOOKUP(C529,Customers!$A$2:$A$1001,Customers!$G$2:$G$1001)</f>
        <v>United Kingdom</v>
      </c>
      <c r="I529" t="str" cm="1">
        <f t="array" ref="I529:L529">_xlfn.XLOOKUP(D529,products!$A$2:$A$49,products!$B$2:$E$49)</f>
        <v>Exc</v>
      </c>
      <c r="J529" t="str">
        <v>M</v>
      </c>
      <c r="K529" s="8">
        <v>0.5</v>
      </c>
      <c r="L529" s="6">
        <v>8.25</v>
      </c>
      <c r="M529" s="7">
        <f t="shared" si="24"/>
        <v>41.25</v>
      </c>
      <c r="N529" t="str">
        <f t="shared" si="25"/>
        <v>Excelsa</v>
      </c>
      <c r="O529" t="str">
        <f t="shared" si="26"/>
        <v>Medium</v>
      </c>
      <c r="P529" t="str">
        <f>_xlfn.XLOOKUP(Orders!C529,Customers!$A$2:$A$1001,Customers!$I$2:$I$1001)</f>
        <v>No</v>
      </c>
    </row>
    <row r="530" spans="1:16" x14ac:dyDescent="0.3">
      <c r="A530" t="s">
        <v>1042</v>
      </c>
      <c r="B530" s="11">
        <v>43926</v>
      </c>
      <c r="C530" t="s">
        <v>1043</v>
      </c>
      <c r="D530" t="s">
        <v>181</v>
      </c>
      <c r="E530">
        <v>6</v>
      </c>
      <c r="F530" t="str">
        <f>_xlfn.XLOOKUP(C530,Customers!$A$2:$A$1001,Customers!$B$2:$B$1001)</f>
        <v>Lem Pennacci</v>
      </c>
      <c r="G530" t="str">
        <f>_xlfn.XLOOKUP(C530,Customers!$A$2:$A$1001,Customers!$C$2:$C$1001,,0)</f>
        <v>lpennaccieo@statcounter.com</v>
      </c>
      <c r="H530" t="str">
        <f>_xlfn.XLOOKUP(C530,Customers!$A$2:$A$1001,Customers!$G$2:$G$1001)</f>
        <v>United States</v>
      </c>
      <c r="I530" t="str" cm="1">
        <f t="array" ref="I530:L530">_xlfn.XLOOKUP(D530,products!$A$2:$A$49,products!$B$2:$E$49)</f>
        <v>Exc</v>
      </c>
      <c r="J530" t="str">
        <v>L</v>
      </c>
      <c r="K530" s="8">
        <v>0.5</v>
      </c>
      <c r="L530" s="6">
        <v>8.91</v>
      </c>
      <c r="M530" s="7">
        <f t="shared" si="24"/>
        <v>53.46</v>
      </c>
      <c r="N530" t="str">
        <f t="shared" si="25"/>
        <v>Excelsa</v>
      </c>
      <c r="O530" t="str">
        <f t="shared" si="26"/>
        <v>Lite</v>
      </c>
      <c r="P530" t="str">
        <f>_xlfn.XLOOKUP(Orders!C530,Customers!$A$2:$A$1001,Customers!$I$2:$I$1001)</f>
        <v>No</v>
      </c>
    </row>
    <row r="531" spans="1:16" x14ac:dyDescent="0.3">
      <c r="A531" t="s">
        <v>1044</v>
      </c>
      <c r="B531" s="11">
        <v>43475</v>
      </c>
      <c r="C531" t="s">
        <v>1045</v>
      </c>
      <c r="D531" t="s">
        <v>7</v>
      </c>
      <c r="E531">
        <v>6</v>
      </c>
      <c r="F531" t="str">
        <f>_xlfn.XLOOKUP(C531,Customers!$A$2:$A$1001,Customers!$B$2:$B$1001)</f>
        <v>Starr Arpin</v>
      </c>
      <c r="G531" t="str">
        <f>_xlfn.XLOOKUP(C531,Customers!$A$2:$A$1001,Customers!$C$2:$C$1001,,0)</f>
        <v>sarpinep@moonfruit.com</v>
      </c>
      <c r="H531" t="str">
        <f>_xlfn.XLOOKUP(C531,Customers!$A$2:$A$1001,Customers!$G$2:$G$1001)</f>
        <v>United States</v>
      </c>
      <c r="I531" t="str" cm="1">
        <f t="array" ref="I531:L531">_xlfn.XLOOKUP(D531,products!$A$2:$A$49,products!$B$2:$E$49)</f>
        <v>Rob</v>
      </c>
      <c r="J531" t="str">
        <v>M</v>
      </c>
      <c r="K531" s="8">
        <v>1</v>
      </c>
      <c r="L531" s="6">
        <v>9.9499999999999993</v>
      </c>
      <c r="M531" s="7">
        <f t="shared" si="24"/>
        <v>59.699999999999996</v>
      </c>
      <c r="N531" t="str">
        <f t="shared" si="25"/>
        <v>Robusta</v>
      </c>
      <c r="O531" t="str">
        <f t="shared" si="26"/>
        <v>Medium</v>
      </c>
      <c r="P531" t="str">
        <f>_xlfn.XLOOKUP(Orders!C531,Customers!$A$2:$A$1001,Customers!$I$2:$I$1001)</f>
        <v>No</v>
      </c>
    </row>
    <row r="532" spans="1:16" x14ac:dyDescent="0.3">
      <c r="A532" t="s">
        <v>1046</v>
      </c>
      <c r="B532" s="11">
        <v>44663</v>
      </c>
      <c r="C532" t="s">
        <v>1047</v>
      </c>
      <c r="D532" t="s">
        <v>7</v>
      </c>
      <c r="E532">
        <v>6</v>
      </c>
      <c r="F532" t="str">
        <f>_xlfn.XLOOKUP(C532,Customers!$A$2:$A$1001,Customers!$B$2:$B$1001)</f>
        <v>Donny Fries</v>
      </c>
      <c r="G532" t="str">
        <f>_xlfn.XLOOKUP(C532,Customers!$A$2:$A$1001,Customers!$C$2:$C$1001,,0)</f>
        <v>dfrieseq@cargocollective.com</v>
      </c>
      <c r="H532" t="str">
        <f>_xlfn.XLOOKUP(C532,Customers!$A$2:$A$1001,Customers!$G$2:$G$1001)</f>
        <v>United States</v>
      </c>
      <c r="I532" t="str" cm="1">
        <f t="array" ref="I532:L532">_xlfn.XLOOKUP(D532,products!$A$2:$A$49,products!$B$2:$E$49)</f>
        <v>Rob</v>
      </c>
      <c r="J532" t="str">
        <v>M</v>
      </c>
      <c r="K532" s="8">
        <v>1</v>
      </c>
      <c r="L532" s="6">
        <v>9.9499999999999993</v>
      </c>
      <c r="M532" s="7">
        <f t="shared" si="24"/>
        <v>59.699999999999996</v>
      </c>
      <c r="N532" t="str">
        <f t="shared" si="25"/>
        <v>Robusta</v>
      </c>
      <c r="O532" t="str">
        <f t="shared" si="26"/>
        <v>Medium</v>
      </c>
      <c r="P532" t="str">
        <f>_xlfn.XLOOKUP(Orders!C532,Customers!$A$2:$A$1001,Customers!$I$2:$I$1001)</f>
        <v>No</v>
      </c>
    </row>
    <row r="533" spans="1:16" x14ac:dyDescent="0.3">
      <c r="A533" t="s">
        <v>1048</v>
      </c>
      <c r="B533" s="11">
        <v>44591</v>
      </c>
      <c r="C533" t="s">
        <v>1049</v>
      </c>
      <c r="D533" t="s">
        <v>184</v>
      </c>
      <c r="E533">
        <v>5</v>
      </c>
      <c r="F533" t="str">
        <f>_xlfn.XLOOKUP(C533,Customers!$A$2:$A$1001,Customers!$B$2:$B$1001)</f>
        <v>Rana Sharer</v>
      </c>
      <c r="G533" t="str">
        <f>_xlfn.XLOOKUP(C533,Customers!$A$2:$A$1001,Customers!$C$2:$C$1001,,0)</f>
        <v>rsharerer@flavors.me</v>
      </c>
      <c r="H533" t="str">
        <f>_xlfn.XLOOKUP(C533,Customers!$A$2:$A$1001,Customers!$G$2:$G$1001)</f>
        <v>United States</v>
      </c>
      <c r="I533" t="str" cm="1">
        <f t="array" ref="I533:L533">_xlfn.XLOOKUP(D533,products!$A$2:$A$49,products!$B$2:$E$49)</f>
        <v>Rob</v>
      </c>
      <c r="J533" t="str">
        <v>D</v>
      </c>
      <c r="K533" s="8">
        <v>1</v>
      </c>
      <c r="L533" s="6">
        <v>8.9499999999999993</v>
      </c>
      <c r="M533" s="7">
        <f t="shared" si="24"/>
        <v>44.75</v>
      </c>
      <c r="N533" t="str">
        <f t="shared" si="25"/>
        <v>Robusta</v>
      </c>
      <c r="O533" t="str">
        <f t="shared" si="26"/>
        <v>Dark</v>
      </c>
      <c r="P533" t="str">
        <f>_xlfn.XLOOKUP(Orders!C533,Customers!$A$2:$A$1001,Customers!$I$2:$I$1001)</f>
        <v>No</v>
      </c>
    </row>
    <row r="534" spans="1:16" x14ac:dyDescent="0.3">
      <c r="A534" t="s">
        <v>1050</v>
      </c>
      <c r="B534" s="11">
        <v>44330</v>
      </c>
      <c r="C534" t="s">
        <v>1051</v>
      </c>
      <c r="D534" t="s">
        <v>8</v>
      </c>
      <c r="E534">
        <v>2</v>
      </c>
      <c r="F534" t="str">
        <f>_xlfn.XLOOKUP(C534,Customers!$A$2:$A$1001,Customers!$B$2:$B$1001)</f>
        <v>Nannie Naseby</v>
      </c>
      <c r="G534" t="str">
        <f>_xlfn.XLOOKUP(C534,Customers!$A$2:$A$1001,Customers!$C$2:$C$1001,,0)</f>
        <v>nnasebyes@umich.edu</v>
      </c>
      <c r="H534" t="str">
        <f>_xlfn.XLOOKUP(C534,Customers!$A$2:$A$1001,Customers!$G$2:$G$1001)</f>
        <v>United States</v>
      </c>
      <c r="I534" t="str" cm="1">
        <f t="array" ref="I534:L534">_xlfn.XLOOKUP(D534,products!$A$2:$A$49,products!$B$2:$E$49)</f>
        <v>Exc</v>
      </c>
      <c r="J534" t="str">
        <v>M</v>
      </c>
      <c r="K534" s="8">
        <v>0.5</v>
      </c>
      <c r="L534" s="6">
        <v>8.25</v>
      </c>
      <c r="M534" s="7">
        <f t="shared" si="24"/>
        <v>16.5</v>
      </c>
      <c r="N534" t="str">
        <f t="shared" si="25"/>
        <v>Excelsa</v>
      </c>
      <c r="O534" t="str">
        <f t="shared" si="26"/>
        <v>Medium</v>
      </c>
      <c r="P534" t="str">
        <f>_xlfn.XLOOKUP(Orders!C534,Customers!$A$2:$A$1001,Customers!$I$2:$I$1001)</f>
        <v>Yes</v>
      </c>
    </row>
    <row r="535" spans="1:16" x14ac:dyDescent="0.3">
      <c r="A535" t="s">
        <v>1052</v>
      </c>
      <c r="B535" s="11">
        <v>44724</v>
      </c>
      <c r="C535" t="s">
        <v>1053</v>
      </c>
      <c r="D535" t="s">
        <v>151</v>
      </c>
      <c r="E535">
        <v>4</v>
      </c>
      <c r="F535" t="str">
        <f>_xlfn.XLOOKUP(C535,Customers!$A$2:$A$1001,Customers!$B$2:$B$1001)</f>
        <v>Rea Offell</v>
      </c>
      <c r="G535">
        <f>_xlfn.XLOOKUP(C535,Customers!$A$2:$A$1001,Customers!$C$2:$C$1001,,0)</f>
        <v>0</v>
      </c>
      <c r="H535" t="str">
        <f>_xlfn.XLOOKUP(C535,Customers!$A$2:$A$1001,Customers!$G$2:$G$1001)</f>
        <v>United States</v>
      </c>
      <c r="I535" t="str" cm="1">
        <f t="array" ref="I535:L535">_xlfn.XLOOKUP(D535,products!$A$2:$A$49,products!$B$2:$E$49)</f>
        <v>Rob</v>
      </c>
      <c r="J535" t="str">
        <v>D</v>
      </c>
      <c r="K535" s="8">
        <v>0.5</v>
      </c>
      <c r="L535" s="6">
        <v>5.3699999999999992</v>
      </c>
      <c r="M535" s="7">
        <f t="shared" si="24"/>
        <v>21.479999999999997</v>
      </c>
      <c r="N535" t="str">
        <f t="shared" si="25"/>
        <v>Robusta</v>
      </c>
      <c r="O535" t="str">
        <f t="shared" si="26"/>
        <v>Dark</v>
      </c>
      <c r="P535" t="str">
        <f>_xlfn.XLOOKUP(Orders!C535,Customers!$A$2:$A$1001,Customers!$I$2:$I$1001)</f>
        <v>No</v>
      </c>
    </row>
    <row r="536" spans="1:16" x14ac:dyDescent="0.3">
      <c r="A536" t="s">
        <v>1054</v>
      </c>
      <c r="B536" s="11">
        <v>44563</v>
      </c>
      <c r="C536" t="s">
        <v>1055</v>
      </c>
      <c r="D536" t="s">
        <v>46</v>
      </c>
      <c r="E536">
        <v>2</v>
      </c>
      <c r="F536" t="str">
        <f>_xlfn.XLOOKUP(C536,Customers!$A$2:$A$1001,Customers!$B$2:$B$1001)</f>
        <v>Kris O'Cullen</v>
      </c>
      <c r="G536" t="str">
        <f>_xlfn.XLOOKUP(C536,Customers!$A$2:$A$1001,Customers!$C$2:$C$1001,,0)</f>
        <v>koculleneu@ca.gov</v>
      </c>
      <c r="H536" t="str">
        <f>_xlfn.XLOOKUP(C536,Customers!$A$2:$A$1001,Customers!$G$2:$G$1001)</f>
        <v>Ireland</v>
      </c>
      <c r="I536" t="str" cm="1">
        <f t="array" ref="I536:L536">_xlfn.XLOOKUP(D536,products!$A$2:$A$49,products!$B$2:$E$49)</f>
        <v>Rob</v>
      </c>
      <c r="J536" t="str">
        <v>M</v>
      </c>
      <c r="K536" s="8">
        <v>2.5</v>
      </c>
      <c r="L536" s="6">
        <v>22.884999999999998</v>
      </c>
      <c r="M536" s="7">
        <f t="shared" si="24"/>
        <v>45.769999999999996</v>
      </c>
      <c r="N536" t="str">
        <f t="shared" si="25"/>
        <v>Robusta</v>
      </c>
      <c r="O536" t="str">
        <f t="shared" si="26"/>
        <v>Medium</v>
      </c>
      <c r="P536" t="str">
        <f>_xlfn.XLOOKUP(Orders!C536,Customers!$A$2:$A$1001,Customers!$I$2:$I$1001)</f>
        <v>Yes</v>
      </c>
    </row>
    <row r="537" spans="1:16" x14ac:dyDescent="0.3">
      <c r="A537" t="s">
        <v>1056</v>
      </c>
      <c r="B537" s="11">
        <v>44585</v>
      </c>
      <c r="C537" t="s">
        <v>1057</v>
      </c>
      <c r="D537" t="s">
        <v>24</v>
      </c>
      <c r="E537">
        <v>2</v>
      </c>
      <c r="F537" t="str">
        <f>_xlfn.XLOOKUP(C537,Customers!$A$2:$A$1001,Customers!$B$2:$B$1001)</f>
        <v>Timoteo Glisane</v>
      </c>
      <c r="G537">
        <f>_xlfn.XLOOKUP(C537,Customers!$A$2:$A$1001,Customers!$C$2:$C$1001,,0)</f>
        <v>0</v>
      </c>
      <c r="H537" t="str">
        <f>_xlfn.XLOOKUP(C537,Customers!$A$2:$A$1001,Customers!$G$2:$G$1001)</f>
        <v>Ireland</v>
      </c>
      <c r="I537" t="str" cm="1">
        <f t="array" ref="I537:L537">_xlfn.XLOOKUP(D537,products!$A$2:$A$49,products!$B$2:$E$49)</f>
        <v>Lib</v>
      </c>
      <c r="J537" t="str">
        <v>L</v>
      </c>
      <c r="K537" s="8">
        <v>0.2</v>
      </c>
      <c r="L537" s="6">
        <v>4.7549999999999999</v>
      </c>
      <c r="M537" s="7">
        <f t="shared" si="24"/>
        <v>9.51</v>
      </c>
      <c r="N537" t="str">
        <f t="shared" si="25"/>
        <v>Liberica</v>
      </c>
      <c r="O537" t="str">
        <f t="shared" si="26"/>
        <v>Lite</v>
      </c>
      <c r="P537" t="str">
        <f>_xlfn.XLOOKUP(Orders!C537,Customers!$A$2:$A$1001,Customers!$I$2:$I$1001)</f>
        <v>No</v>
      </c>
    </row>
    <row r="538" spans="1:16" x14ac:dyDescent="0.3">
      <c r="A538" t="s">
        <v>1058</v>
      </c>
      <c r="B538" s="11">
        <v>43544</v>
      </c>
      <c r="C538" t="s">
        <v>993</v>
      </c>
      <c r="D538" t="s">
        <v>106</v>
      </c>
      <c r="E538">
        <v>3</v>
      </c>
      <c r="F538" t="str">
        <f>_xlfn.XLOOKUP(C538,Customers!$A$2:$A$1001,Customers!$B$2:$B$1001)</f>
        <v>Marja Urion</v>
      </c>
      <c r="G538" t="str">
        <f>_xlfn.XLOOKUP(C538,Customers!$A$2:$A$1001,Customers!$C$2:$C$1001,,0)</f>
        <v>murione5@alexa.com</v>
      </c>
      <c r="H538" t="str">
        <f>_xlfn.XLOOKUP(C538,Customers!$A$2:$A$1001,Customers!$G$2:$G$1001)</f>
        <v>Ireland</v>
      </c>
      <c r="I538" t="str" cm="1">
        <f t="array" ref="I538:L538">_xlfn.XLOOKUP(D538,products!$A$2:$A$49,products!$B$2:$E$49)</f>
        <v>Rob</v>
      </c>
      <c r="J538" t="str">
        <v>D</v>
      </c>
      <c r="K538" s="8">
        <v>0.2</v>
      </c>
      <c r="L538" s="6">
        <v>2.6849999999999996</v>
      </c>
      <c r="M538" s="7">
        <f t="shared" si="24"/>
        <v>8.0549999999999997</v>
      </c>
      <c r="N538" t="str">
        <f t="shared" si="25"/>
        <v>Robusta</v>
      </c>
      <c r="O538" t="str">
        <f t="shared" si="26"/>
        <v>Dark</v>
      </c>
      <c r="P538" t="str">
        <f>_xlfn.XLOOKUP(Orders!C538,Customers!$A$2:$A$1001,Customers!$I$2:$I$1001)</f>
        <v>Yes</v>
      </c>
    </row>
    <row r="539" spans="1:16" x14ac:dyDescent="0.3">
      <c r="A539" t="s">
        <v>1059</v>
      </c>
      <c r="B539" s="11">
        <v>44156</v>
      </c>
      <c r="C539" t="s">
        <v>1060</v>
      </c>
      <c r="D539" t="s">
        <v>535</v>
      </c>
      <c r="E539">
        <v>4</v>
      </c>
      <c r="F539" t="str">
        <f>_xlfn.XLOOKUP(C539,Customers!$A$2:$A$1001,Customers!$B$2:$B$1001)</f>
        <v>Hildegarde Brangan</v>
      </c>
      <c r="G539" t="str">
        <f>_xlfn.XLOOKUP(C539,Customers!$A$2:$A$1001,Customers!$C$2:$C$1001,,0)</f>
        <v>hbranganex@woothemes.com</v>
      </c>
      <c r="H539" t="str">
        <f>_xlfn.XLOOKUP(C539,Customers!$A$2:$A$1001,Customers!$G$2:$G$1001)</f>
        <v>United States</v>
      </c>
      <c r="I539" t="str" cm="1">
        <f t="array" ref="I539:L539">_xlfn.XLOOKUP(D539,products!$A$2:$A$49,products!$B$2:$E$49)</f>
        <v>Exc</v>
      </c>
      <c r="J539" t="str">
        <v>D</v>
      </c>
      <c r="K539" s="8">
        <v>2.5</v>
      </c>
      <c r="L539" s="6">
        <v>27.945</v>
      </c>
      <c r="M539" s="7">
        <f t="shared" si="24"/>
        <v>111.78</v>
      </c>
      <c r="N539" t="str">
        <f t="shared" si="25"/>
        <v>Excelsa</v>
      </c>
      <c r="O539" t="str">
        <f t="shared" si="26"/>
        <v>Dark</v>
      </c>
      <c r="P539" t="str">
        <f>_xlfn.XLOOKUP(Orders!C539,Customers!$A$2:$A$1001,Customers!$I$2:$I$1001)</f>
        <v>Yes</v>
      </c>
    </row>
    <row r="540" spans="1:16" x14ac:dyDescent="0.3">
      <c r="A540" t="s">
        <v>1061</v>
      </c>
      <c r="B540" s="11">
        <v>44482</v>
      </c>
      <c r="C540" t="s">
        <v>1062</v>
      </c>
      <c r="D540" t="s">
        <v>106</v>
      </c>
      <c r="E540">
        <v>4</v>
      </c>
      <c r="F540" t="str">
        <f>_xlfn.XLOOKUP(C540,Customers!$A$2:$A$1001,Customers!$B$2:$B$1001)</f>
        <v>Amii Gallyon</v>
      </c>
      <c r="G540" t="str">
        <f>_xlfn.XLOOKUP(C540,Customers!$A$2:$A$1001,Customers!$C$2:$C$1001,,0)</f>
        <v>agallyoney@engadget.com</v>
      </c>
      <c r="H540" t="str">
        <f>_xlfn.XLOOKUP(C540,Customers!$A$2:$A$1001,Customers!$G$2:$G$1001)</f>
        <v>United States</v>
      </c>
      <c r="I540" t="str" cm="1">
        <f t="array" ref="I540:L540">_xlfn.XLOOKUP(D540,products!$A$2:$A$49,products!$B$2:$E$49)</f>
        <v>Rob</v>
      </c>
      <c r="J540" t="str">
        <v>D</v>
      </c>
      <c r="K540" s="8">
        <v>0.2</v>
      </c>
      <c r="L540" s="6">
        <v>2.6849999999999996</v>
      </c>
      <c r="M540" s="7">
        <f t="shared" si="24"/>
        <v>10.739999999999998</v>
      </c>
      <c r="N540" t="str">
        <f t="shared" si="25"/>
        <v>Robusta</v>
      </c>
      <c r="O540" t="str">
        <f t="shared" si="26"/>
        <v>Dark</v>
      </c>
      <c r="P540" t="str">
        <f>_xlfn.XLOOKUP(Orders!C540,Customers!$A$2:$A$1001,Customers!$I$2:$I$1001)</f>
        <v>Yes</v>
      </c>
    </row>
    <row r="541" spans="1:16" x14ac:dyDescent="0.3">
      <c r="A541" t="s">
        <v>1063</v>
      </c>
      <c r="B541" s="11">
        <v>44488</v>
      </c>
      <c r="C541" t="s">
        <v>1064</v>
      </c>
      <c r="D541" t="s">
        <v>151</v>
      </c>
      <c r="E541">
        <v>5</v>
      </c>
      <c r="F541" t="str">
        <f>_xlfn.XLOOKUP(C541,Customers!$A$2:$A$1001,Customers!$B$2:$B$1001)</f>
        <v>Birgit Domange</v>
      </c>
      <c r="G541" t="str">
        <f>_xlfn.XLOOKUP(C541,Customers!$A$2:$A$1001,Customers!$C$2:$C$1001,,0)</f>
        <v>bdomangeez@yahoo.co.jp</v>
      </c>
      <c r="H541" t="str">
        <f>_xlfn.XLOOKUP(C541,Customers!$A$2:$A$1001,Customers!$G$2:$G$1001)</f>
        <v>United States</v>
      </c>
      <c r="I541" t="str" cm="1">
        <f t="array" ref="I541:L541">_xlfn.XLOOKUP(D541,products!$A$2:$A$49,products!$B$2:$E$49)</f>
        <v>Rob</v>
      </c>
      <c r="J541" t="str">
        <v>D</v>
      </c>
      <c r="K541" s="8">
        <v>0.5</v>
      </c>
      <c r="L541" s="6">
        <v>5.3699999999999992</v>
      </c>
      <c r="M541" s="7">
        <f t="shared" si="24"/>
        <v>26.849999999999994</v>
      </c>
      <c r="N541" t="str">
        <f t="shared" si="25"/>
        <v>Robusta</v>
      </c>
      <c r="O541" t="str">
        <f t="shared" si="26"/>
        <v>Dark</v>
      </c>
      <c r="P541" t="str">
        <f>_xlfn.XLOOKUP(Orders!C541,Customers!$A$2:$A$1001,Customers!$I$2:$I$1001)</f>
        <v>No</v>
      </c>
    </row>
    <row r="542" spans="1:16" x14ac:dyDescent="0.3">
      <c r="A542" t="s">
        <v>1065</v>
      </c>
      <c r="B542" s="11">
        <v>43584</v>
      </c>
      <c r="C542" t="s">
        <v>1066</v>
      </c>
      <c r="D542" t="s">
        <v>137</v>
      </c>
      <c r="E542">
        <v>4</v>
      </c>
      <c r="F542" t="str">
        <f>_xlfn.XLOOKUP(C542,Customers!$A$2:$A$1001,Customers!$B$2:$B$1001)</f>
        <v>Killian Osler</v>
      </c>
      <c r="G542" t="str">
        <f>_xlfn.XLOOKUP(C542,Customers!$A$2:$A$1001,Customers!$C$2:$C$1001,,0)</f>
        <v>koslerf0@gmpg.org</v>
      </c>
      <c r="H542" t="str">
        <f>_xlfn.XLOOKUP(C542,Customers!$A$2:$A$1001,Customers!$G$2:$G$1001)</f>
        <v>United States</v>
      </c>
      <c r="I542" t="str" cm="1">
        <f t="array" ref="I542:L542">_xlfn.XLOOKUP(D542,products!$A$2:$A$49,products!$B$2:$E$49)</f>
        <v>Lib</v>
      </c>
      <c r="J542" t="str">
        <v>L</v>
      </c>
      <c r="K542" s="8">
        <v>1</v>
      </c>
      <c r="L542" s="6">
        <v>15.85</v>
      </c>
      <c r="M542" s="7">
        <f t="shared" si="24"/>
        <v>63.4</v>
      </c>
      <c r="N542" t="str">
        <f t="shared" si="25"/>
        <v>Liberica</v>
      </c>
      <c r="O542" t="str">
        <f t="shared" si="26"/>
        <v>Lite</v>
      </c>
      <c r="P542" t="str">
        <f>_xlfn.XLOOKUP(Orders!C542,Customers!$A$2:$A$1001,Customers!$I$2:$I$1001)</f>
        <v>Yes</v>
      </c>
    </row>
    <row r="543" spans="1:16" x14ac:dyDescent="0.3">
      <c r="A543" t="s">
        <v>1067</v>
      </c>
      <c r="B543" s="11">
        <v>43750</v>
      </c>
      <c r="C543" t="s">
        <v>1068</v>
      </c>
      <c r="D543" t="s">
        <v>123</v>
      </c>
      <c r="E543">
        <v>1</v>
      </c>
      <c r="F543" t="str">
        <f>_xlfn.XLOOKUP(C543,Customers!$A$2:$A$1001,Customers!$B$2:$B$1001)</f>
        <v>Lora Dukes</v>
      </c>
      <c r="G543">
        <f>_xlfn.XLOOKUP(C543,Customers!$A$2:$A$1001,Customers!$C$2:$C$1001,,0)</f>
        <v>0</v>
      </c>
      <c r="H543" t="str">
        <f>_xlfn.XLOOKUP(C543,Customers!$A$2:$A$1001,Customers!$G$2:$G$1001)</f>
        <v>Ireland</v>
      </c>
      <c r="I543" t="str" cm="1">
        <f t="array" ref="I543:L543">_xlfn.XLOOKUP(D543,products!$A$2:$A$49,products!$B$2:$E$49)</f>
        <v>Ara</v>
      </c>
      <c r="J543" t="str">
        <v>D</v>
      </c>
      <c r="K543" s="8">
        <v>2.5</v>
      </c>
      <c r="L543" s="6">
        <v>22.884999999999998</v>
      </c>
      <c r="M543" s="7">
        <f t="shared" si="24"/>
        <v>22.884999999999998</v>
      </c>
      <c r="N543" t="str">
        <f t="shared" si="25"/>
        <v>Arasbica</v>
      </c>
      <c r="O543" t="str">
        <f t="shared" si="26"/>
        <v>Dark</v>
      </c>
      <c r="P543" t="str">
        <f>_xlfn.XLOOKUP(Orders!C543,Customers!$A$2:$A$1001,Customers!$I$2:$I$1001)</f>
        <v>Yes</v>
      </c>
    </row>
    <row r="544" spans="1:16" x14ac:dyDescent="0.3">
      <c r="A544" t="s">
        <v>1069</v>
      </c>
      <c r="B544" s="11">
        <v>44335</v>
      </c>
      <c r="C544" t="s">
        <v>1070</v>
      </c>
      <c r="D544" t="s">
        <v>176</v>
      </c>
      <c r="E544">
        <v>4</v>
      </c>
      <c r="F544" t="str">
        <f>_xlfn.XLOOKUP(C544,Customers!$A$2:$A$1001,Customers!$B$2:$B$1001)</f>
        <v>Zack Pellett</v>
      </c>
      <c r="G544" t="str">
        <f>_xlfn.XLOOKUP(C544,Customers!$A$2:$A$1001,Customers!$C$2:$C$1001,,0)</f>
        <v>zpellettf2@dailymotion.com</v>
      </c>
      <c r="H544" t="str">
        <f>_xlfn.XLOOKUP(C544,Customers!$A$2:$A$1001,Customers!$G$2:$G$1001)</f>
        <v>United States</v>
      </c>
      <c r="I544" t="str" cm="1">
        <f t="array" ref="I544:L544">_xlfn.XLOOKUP(D544,products!$A$2:$A$49,products!$B$2:$E$49)</f>
        <v>Ara</v>
      </c>
      <c r="J544" t="str">
        <v>M</v>
      </c>
      <c r="K544" s="8">
        <v>2.5</v>
      </c>
      <c r="L544" s="6">
        <v>25.874999999999996</v>
      </c>
      <c r="M544" s="7">
        <f t="shared" si="24"/>
        <v>103.49999999999999</v>
      </c>
      <c r="N544" t="str">
        <f t="shared" si="25"/>
        <v>Arasbica</v>
      </c>
      <c r="O544" t="str">
        <f t="shared" si="26"/>
        <v>Medium</v>
      </c>
      <c r="P544" t="str">
        <f>_xlfn.XLOOKUP(Orders!C544,Customers!$A$2:$A$1001,Customers!$I$2:$I$1001)</f>
        <v>No</v>
      </c>
    </row>
    <row r="545" spans="1:16" x14ac:dyDescent="0.3">
      <c r="A545" t="s">
        <v>1071</v>
      </c>
      <c r="B545" s="11">
        <v>44380</v>
      </c>
      <c r="C545" t="s">
        <v>1072</v>
      </c>
      <c r="D545" t="s">
        <v>15</v>
      </c>
      <c r="E545">
        <v>2</v>
      </c>
      <c r="F545" t="str">
        <f>_xlfn.XLOOKUP(C545,Customers!$A$2:$A$1001,Customers!$B$2:$B$1001)</f>
        <v>Ilaire Sprakes</v>
      </c>
      <c r="G545" t="str">
        <f>_xlfn.XLOOKUP(C545,Customers!$A$2:$A$1001,Customers!$C$2:$C$1001,,0)</f>
        <v>isprakesf3@spiegel.de</v>
      </c>
      <c r="H545" t="str">
        <f>_xlfn.XLOOKUP(C545,Customers!$A$2:$A$1001,Customers!$G$2:$G$1001)</f>
        <v>United States</v>
      </c>
      <c r="I545" t="str" cm="1">
        <f t="array" ref="I545:L545">_xlfn.XLOOKUP(D545,products!$A$2:$A$49,products!$B$2:$E$49)</f>
        <v>Rob</v>
      </c>
      <c r="J545" t="str">
        <v>L</v>
      </c>
      <c r="K545" s="8">
        <v>2.5</v>
      </c>
      <c r="L545" s="6">
        <v>27.484999999999996</v>
      </c>
      <c r="M545" s="7">
        <f t="shared" si="24"/>
        <v>54.969999999999992</v>
      </c>
      <c r="N545" t="str">
        <f t="shared" si="25"/>
        <v>Robusta</v>
      </c>
      <c r="O545" t="str">
        <f t="shared" si="26"/>
        <v>Lite</v>
      </c>
      <c r="P545" t="str">
        <f>_xlfn.XLOOKUP(Orders!C545,Customers!$A$2:$A$1001,Customers!$I$2:$I$1001)</f>
        <v>No</v>
      </c>
    </row>
    <row r="546" spans="1:16" x14ac:dyDescent="0.3">
      <c r="A546" t="s">
        <v>1073</v>
      </c>
      <c r="B546" s="11">
        <v>43869</v>
      </c>
      <c r="C546" t="s">
        <v>1074</v>
      </c>
      <c r="D546" t="s">
        <v>197</v>
      </c>
      <c r="E546">
        <v>2</v>
      </c>
      <c r="F546" t="str">
        <f>_xlfn.XLOOKUP(C546,Customers!$A$2:$A$1001,Customers!$B$2:$B$1001)</f>
        <v>Heda Fromant</v>
      </c>
      <c r="G546" t="str">
        <f>_xlfn.XLOOKUP(C546,Customers!$A$2:$A$1001,Customers!$C$2:$C$1001,,0)</f>
        <v>hfromantf4@ucsd.edu</v>
      </c>
      <c r="H546" t="str">
        <f>_xlfn.XLOOKUP(C546,Customers!$A$2:$A$1001,Customers!$G$2:$G$1001)</f>
        <v>United States</v>
      </c>
      <c r="I546" t="str" cm="1">
        <f t="array" ref="I546:L546">_xlfn.XLOOKUP(D546,products!$A$2:$A$49,products!$B$2:$E$49)</f>
        <v>Ara</v>
      </c>
      <c r="J546" t="str">
        <v>L</v>
      </c>
      <c r="K546" s="8">
        <v>0.5</v>
      </c>
      <c r="L546" s="6">
        <v>7.77</v>
      </c>
      <c r="M546" s="7">
        <f t="shared" si="24"/>
        <v>15.54</v>
      </c>
      <c r="N546" t="str">
        <f t="shared" si="25"/>
        <v>Arasbica</v>
      </c>
      <c r="O546" t="str">
        <f t="shared" si="26"/>
        <v>Lite</v>
      </c>
      <c r="P546" t="str">
        <f>_xlfn.XLOOKUP(Orders!C546,Customers!$A$2:$A$1001,Customers!$I$2:$I$1001)</f>
        <v>No</v>
      </c>
    </row>
    <row r="547" spans="1:16" x14ac:dyDescent="0.3">
      <c r="A547" t="s">
        <v>1075</v>
      </c>
      <c r="B547" s="11">
        <v>44120</v>
      </c>
      <c r="C547" t="s">
        <v>1076</v>
      </c>
      <c r="D547" t="s">
        <v>43</v>
      </c>
      <c r="E547">
        <v>4</v>
      </c>
      <c r="F547" t="str">
        <f>_xlfn.XLOOKUP(C547,Customers!$A$2:$A$1001,Customers!$B$2:$B$1001)</f>
        <v>Rufus Flear</v>
      </c>
      <c r="G547" t="str">
        <f>_xlfn.XLOOKUP(C547,Customers!$A$2:$A$1001,Customers!$C$2:$C$1001,,0)</f>
        <v>rflearf5@artisteer.com</v>
      </c>
      <c r="H547" t="str">
        <f>_xlfn.XLOOKUP(C547,Customers!$A$2:$A$1001,Customers!$G$2:$G$1001)</f>
        <v>United Kingdom</v>
      </c>
      <c r="I547" t="str" cm="1">
        <f t="array" ref="I547:L547">_xlfn.XLOOKUP(D547,products!$A$2:$A$49,products!$B$2:$E$49)</f>
        <v>Lib</v>
      </c>
      <c r="J547" t="str">
        <v>D</v>
      </c>
      <c r="K547" s="8">
        <v>0.2</v>
      </c>
      <c r="L547" s="6">
        <v>3.8849999999999998</v>
      </c>
      <c r="M547" s="7">
        <f t="shared" si="24"/>
        <v>15.54</v>
      </c>
      <c r="N547" t="str">
        <f t="shared" si="25"/>
        <v>Liberica</v>
      </c>
      <c r="O547" t="str">
        <f t="shared" si="26"/>
        <v>Dark</v>
      </c>
      <c r="P547" t="str">
        <f>_xlfn.XLOOKUP(Orders!C547,Customers!$A$2:$A$1001,Customers!$I$2:$I$1001)</f>
        <v>No</v>
      </c>
    </row>
    <row r="548" spans="1:16" x14ac:dyDescent="0.3">
      <c r="A548" t="s">
        <v>1077</v>
      </c>
      <c r="B548" s="11">
        <v>44127</v>
      </c>
      <c r="C548" t="s">
        <v>1078</v>
      </c>
      <c r="D548" t="s">
        <v>535</v>
      </c>
      <c r="E548">
        <v>3</v>
      </c>
      <c r="F548" t="str">
        <f>_xlfn.XLOOKUP(C548,Customers!$A$2:$A$1001,Customers!$B$2:$B$1001)</f>
        <v>Dom Milella</v>
      </c>
      <c r="G548">
        <f>_xlfn.XLOOKUP(C548,Customers!$A$2:$A$1001,Customers!$C$2:$C$1001,,0)</f>
        <v>0</v>
      </c>
      <c r="H548" t="str">
        <f>_xlfn.XLOOKUP(C548,Customers!$A$2:$A$1001,Customers!$G$2:$G$1001)</f>
        <v>Ireland</v>
      </c>
      <c r="I548" t="str" cm="1">
        <f t="array" ref="I548:L548">_xlfn.XLOOKUP(D548,products!$A$2:$A$49,products!$B$2:$E$49)</f>
        <v>Exc</v>
      </c>
      <c r="J548" t="str">
        <v>D</v>
      </c>
      <c r="K548" s="8">
        <v>2.5</v>
      </c>
      <c r="L548" s="6">
        <v>27.945</v>
      </c>
      <c r="M548" s="7">
        <f t="shared" si="24"/>
        <v>83.835000000000008</v>
      </c>
      <c r="N548" t="str">
        <f t="shared" si="25"/>
        <v>Excelsa</v>
      </c>
      <c r="O548" t="str">
        <f t="shared" si="26"/>
        <v>Dark</v>
      </c>
      <c r="P548" t="str">
        <f>_xlfn.XLOOKUP(Orders!C548,Customers!$A$2:$A$1001,Customers!$I$2:$I$1001)</f>
        <v>No</v>
      </c>
    </row>
    <row r="549" spans="1:16" x14ac:dyDescent="0.3">
      <c r="A549" t="s">
        <v>1079</v>
      </c>
      <c r="B549" s="11">
        <v>44265</v>
      </c>
      <c r="C549" t="s">
        <v>1080</v>
      </c>
      <c r="D549" t="s">
        <v>187</v>
      </c>
      <c r="E549">
        <v>3</v>
      </c>
      <c r="F549" t="str">
        <f>_xlfn.XLOOKUP(C549,Customers!$A$2:$A$1001,Customers!$B$2:$B$1001)</f>
        <v>Wilek Lightollers</v>
      </c>
      <c r="G549" t="str">
        <f>_xlfn.XLOOKUP(C549,Customers!$A$2:$A$1001,Customers!$C$2:$C$1001,,0)</f>
        <v>wlightollersf9@baidu.com</v>
      </c>
      <c r="H549" t="str">
        <f>_xlfn.XLOOKUP(C549,Customers!$A$2:$A$1001,Customers!$G$2:$G$1001)</f>
        <v>United States</v>
      </c>
      <c r="I549" t="str" cm="1">
        <f t="array" ref="I549:L549">_xlfn.XLOOKUP(D549,products!$A$2:$A$49,products!$B$2:$E$49)</f>
        <v>Rob</v>
      </c>
      <c r="J549" t="str">
        <v>L</v>
      </c>
      <c r="K549" s="8">
        <v>0.2</v>
      </c>
      <c r="L549" s="6">
        <v>3.5849999999999995</v>
      </c>
      <c r="M549" s="7">
        <f t="shared" si="24"/>
        <v>10.754999999999999</v>
      </c>
      <c r="N549" t="str">
        <f t="shared" si="25"/>
        <v>Robusta</v>
      </c>
      <c r="O549" t="str">
        <f t="shared" si="26"/>
        <v>Lite</v>
      </c>
      <c r="P549" t="str">
        <f>_xlfn.XLOOKUP(Orders!C549,Customers!$A$2:$A$1001,Customers!$I$2:$I$1001)</f>
        <v>Yes</v>
      </c>
    </row>
    <row r="550" spans="1:16" x14ac:dyDescent="0.3">
      <c r="A550" t="s">
        <v>1081</v>
      </c>
      <c r="B550" s="11">
        <v>44384</v>
      </c>
      <c r="C550" t="s">
        <v>1082</v>
      </c>
      <c r="D550" t="s">
        <v>259</v>
      </c>
      <c r="E550">
        <v>3</v>
      </c>
      <c r="F550" t="str">
        <f>_xlfn.XLOOKUP(C550,Customers!$A$2:$A$1001,Customers!$B$2:$B$1001)</f>
        <v>Bette-ann Munden</v>
      </c>
      <c r="G550" t="str">
        <f>_xlfn.XLOOKUP(C550,Customers!$A$2:$A$1001,Customers!$C$2:$C$1001,,0)</f>
        <v>bmundenf8@elpais.com</v>
      </c>
      <c r="H550" t="str">
        <f>_xlfn.XLOOKUP(C550,Customers!$A$2:$A$1001,Customers!$G$2:$G$1001)</f>
        <v>United States</v>
      </c>
      <c r="I550" t="str" cm="1">
        <f t="array" ref="I550:L550">_xlfn.XLOOKUP(D550,products!$A$2:$A$49,products!$B$2:$E$49)</f>
        <v>Exc</v>
      </c>
      <c r="J550" t="str">
        <v>L</v>
      </c>
      <c r="K550" s="8">
        <v>0.2</v>
      </c>
      <c r="L550" s="6">
        <v>4.4550000000000001</v>
      </c>
      <c r="M550" s="7">
        <f t="shared" si="24"/>
        <v>13.365</v>
      </c>
      <c r="N550" t="str">
        <f t="shared" si="25"/>
        <v>Excelsa</v>
      </c>
      <c r="O550" t="str">
        <f t="shared" si="26"/>
        <v>Lite</v>
      </c>
      <c r="P550" t="str">
        <f>_xlfn.XLOOKUP(Orders!C550,Customers!$A$2:$A$1001,Customers!$I$2:$I$1001)</f>
        <v>Yes</v>
      </c>
    </row>
    <row r="551" spans="1:16" x14ac:dyDescent="0.3">
      <c r="A551" t="s">
        <v>1083</v>
      </c>
      <c r="B551" s="11">
        <v>44232</v>
      </c>
      <c r="C551" t="s">
        <v>1080</v>
      </c>
      <c r="D551" t="s">
        <v>259</v>
      </c>
      <c r="E551">
        <v>4</v>
      </c>
      <c r="F551" t="str">
        <f>_xlfn.XLOOKUP(C551,Customers!$A$2:$A$1001,Customers!$B$2:$B$1001)</f>
        <v>Wilek Lightollers</v>
      </c>
      <c r="G551" t="str">
        <f>_xlfn.XLOOKUP(C551,Customers!$A$2:$A$1001,Customers!$C$2:$C$1001,,0)</f>
        <v>wlightollersf9@baidu.com</v>
      </c>
      <c r="H551" t="str">
        <f>_xlfn.XLOOKUP(C551,Customers!$A$2:$A$1001,Customers!$G$2:$G$1001)</f>
        <v>United States</v>
      </c>
      <c r="I551" t="str" cm="1">
        <f t="array" ref="I551:L551">_xlfn.XLOOKUP(D551,products!$A$2:$A$49,products!$B$2:$E$49)</f>
        <v>Exc</v>
      </c>
      <c r="J551" t="str">
        <v>L</v>
      </c>
      <c r="K551" s="8">
        <v>0.2</v>
      </c>
      <c r="L551" s="6">
        <v>4.4550000000000001</v>
      </c>
      <c r="M551" s="7">
        <f t="shared" si="24"/>
        <v>17.82</v>
      </c>
      <c r="N551" t="str">
        <f t="shared" si="25"/>
        <v>Excelsa</v>
      </c>
      <c r="O551" t="str">
        <f t="shared" si="26"/>
        <v>Lite</v>
      </c>
      <c r="P551" t="str">
        <f>_xlfn.XLOOKUP(Orders!C551,Customers!$A$2:$A$1001,Customers!$I$2:$I$1001)</f>
        <v>Yes</v>
      </c>
    </row>
    <row r="552" spans="1:16" x14ac:dyDescent="0.3">
      <c r="A552" t="s">
        <v>1084</v>
      </c>
      <c r="B552" s="11">
        <v>44176</v>
      </c>
      <c r="C552" t="s">
        <v>1085</v>
      </c>
      <c r="D552" t="s">
        <v>43</v>
      </c>
      <c r="E552">
        <v>6</v>
      </c>
      <c r="F552" t="str">
        <f>_xlfn.XLOOKUP(C552,Customers!$A$2:$A$1001,Customers!$B$2:$B$1001)</f>
        <v>Nick Brakespear</v>
      </c>
      <c r="G552" t="str">
        <f>_xlfn.XLOOKUP(C552,Customers!$A$2:$A$1001,Customers!$C$2:$C$1001,,0)</f>
        <v>nbrakespearfa@rediff.com</v>
      </c>
      <c r="H552" t="str">
        <f>_xlfn.XLOOKUP(C552,Customers!$A$2:$A$1001,Customers!$G$2:$G$1001)</f>
        <v>United States</v>
      </c>
      <c r="I552" t="str" cm="1">
        <f t="array" ref="I552:L552">_xlfn.XLOOKUP(D552,products!$A$2:$A$49,products!$B$2:$E$49)</f>
        <v>Lib</v>
      </c>
      <c r="J552" t="str">
        <v>D</v>
      </c>
      <c r="K552" s="8">
        <v>0.2</v>
      </c>
      <c r="L552" s="6">
        <v>3.8849999999999998</v>
      </c>
      <c r="M552" s="7">
        <f t="shared" si="24"/>
        <v>23.31</v>
      </c>
      <c r="N552" t="str">
        <f t="shared" si="25"/>
        <v>Liberica</v>
      </c>
      <c r="O552" t="str">
        <f t="shared" si="26"/>
        <v>Dark</v>
      </c>
      <c r="P552" t="str">
        <f>_xlfn.XLOOKUP(Orders!C552,Customers!$A$2:$A$1001,Customers!$I$2:$I$1001)</f>
        <v>Yes</v>
      </c>
    </row>
    <row r="553" spans="1:16" x14ac:dyDescent="0.3">
      <c r="A553" t="s">
        <v>1086</v>
      </c>
      <c r="B553" s="11">
        <v>44694</v>
      </c>
      <c r="C553" t="s">
        <v>1087</v>
      </c>
      <c r="D553" t="s">
        <v>56</v>
      </c>
      <c r="E553">
        <v>2</v>
      </c>
      <c r="F553" t="str">
        <f>_xlfn.XLOOKUP(C553,Customers!$A$2:$A$1001,Customers!$B$2:$B$1001)</f>
        <v>Malynda Glawsop</v>
      </c>
      <c r="G553" t="str">
        <f>_xlfn.XLOOKUP(C553,Customers!$A$2:$A$1001,Customers!$C$2:$C$1001,,0)</f>
        <v>mglawsopfb@reverbnation.com</v>
      </c>
      <c r="H553" t="str">
        <f>_xlfn.XLOOKUP(C553,Customers!$A$2:$A$1001,Customers!$G$2:$G$1001)</f>
        <v>United States</v>
      </c>
      <c r="I553" t="str" cm="1">
        <f t="array" ref="I553:L553">_xlfn.XLOOKUP(D553,products!$A$2:$A$49,products!$B$2:$E$49)</f>
        <v>Exc</v>
      </c>
      <c r="J553" t="str">
        <v>D</v>
      </c>
      <c r="K553" s="8">
        <v>0.2</v>
      </c>
      <c r="L553" s="6">
        <v>3.645</v>
      </c>
      <c r="M553" s="7">
        <f t="shared" si="24"/>
        <v>7.29</v>
      </c>
      <c r="N553" t="str">
        <f t="shared" si="25"/>
        <v>Excelsa</v>
      </c>
      <c r="O553" t="str">
        <f t="shared" si="26"/>
        <v>Dark</v>
      </c>
      <c r="P553" t="str">
        <f>_xlfn.XLOOKUP(Orders!C553,Customers!$A$2:$A$1001,Customers!$I$2:$I$1001)</f>
        <v>No</v>
      </c>
    </row>
    <row r="554" spans="1:16" x14ac:dyDescent="0.3">
      <c r="A554" t="s">
        <v>1088</v>
      </c>
      <c r="B554" s="11">
        <v>43761</v>
      </c>
      <c r="C554" t="s">
        <v>1089</v>
      </c>
      <c r="D554" t="s">
        <v>259</v>
      </c>
      <c r="E554">
        <v>4</v>
      </c>
      <c r="F554" t="str">
        <f>_xlfn.XLOOKUP(C554,Customers!$A$2:$A$1001,Customers!$B$2:$B$1001)</f>
        <v>Granville Alberts</v>
      </c>
      <c r="G554" t="str">
        <f>_xlfn.XLOOKUP(C554,Customers!$A$2:$A$1001,Customers!$C$2:$C$1001,,0)</f>
        <v>galbertsfc@etsy.com</v>
      </c>
      <c r="H554" t="str">
        <f>_xlfn.XLOOKUP(C554,Customers!$A$2:$A$1001,Customers!$G$2:$G$1001)</f>
        <v>United Kingdom</v>
      </c>
      <c r="I554" t="str" cm="1">
        <f t="array" ref="I554:L554">_xlfn.XLOOKUP(D554,products!$A$2:$A$49,products!$B$2:$E$49)</f>
        <v>Exc</v>
      </c>
      <c r="J554" t="str">
        <v>L</v>
      </c>
      <c r="K554" s="8">
        <v>0.2</v>
      </c>
      <c r="L554" s="6">
        <v>4.4550000000000001</v>
      </c>
      <c r="M554" s="7">
        <f t="shared" si="24"/>
        <v>17.82</v>
      </c>
      <c r="N554" t="str">
        <f t="shared" si="25"/>
        <v>Excelsa</v>
      </c>
      <c r="O554" t="str">
        <f t="shared" si="26"/>
        <v>Lite</v>
      </c>
      <c r="P554" t="str">
        <f>_xlfn.XLOOKUP(Orders!C554,Customers!$A$2:$A$1001,Customers!$I$2:$I$1001)</f>
        <v>Yes</v>
      </c>
    </row>
    <row r="555" spans="1:16" x14ac:dyDescent="0.3">
      <c r="A555" t="s">
        <v>1090</v>
      </c>
      <c r="B555" s="11">
        <v>44085</v>
      </c>
      <c r="C555" t="s">
        <v>1091</v>
      </c>
      <c r="D555" t="s">
        <v>14</v>
      </c>
      <c r="E555">
        <v>5</v>
      </c>
      <c r="F555" t="str">
        <f>_xlfn.XLOOKUP(C555,Customers!$A$2:$A$1001,Customers!$B$2:$B$1001)</f>
        <v>Vasily Polglase</v>
      </c>
      <c r="G555" t="str">
        <f>_xlfn.XLOOKUP(C555,Customers!$A$2:$A$1001,Customers!$C$2:$C$1001,,0)</f>
        <v>vpolglasefd@about.me</v>
      </c>
      <c r="H555" t="str">
        <f>_xlfn.XLOOKUP(C555,Customers!$A$2:$A$1001,Customers!$G$2:$G$1001)</f>
        <v>United States</v>
      </c>
      <c r="I555" t="str" cm="1">
        <f t="array" ref="I555:L555">_xlfn.XLOOKUP(D555,products!$A$2:$A$49,products!$B$2:$E$49)</f>
        <v>Exc</v>
      </c>
      <c r="J555" t="str">
        <v>M</v>
      </c>
      <c r="K555" s="8">
        <v>1</v>
      </c>
      <c r="L555" s="6">
        <v>13.75</v>
      </c>
      <c r="M555" s="7">
        <f t="shared" si="24"/>
        <v>68.75</v>
      </c>
      <c r="N555" t="str">
        <f t="shared" si="25"/>
        <v>Excelsa</v>
      </c>
      <c r="O555" t="str">
        <f t="shared" si="26"/>
        <v>Medium</v>
      </c>
      <c r="P555" t="str">
        <f>_xlfn.XLOOKUP(Orders!C555,Customers!$A$2:$A$1001,Customers!$I$2:$I$1001)</f>
        <v>No</v>
      </c>
    </row>
    <row r="556" spans="1:16" x14ac:dyDescent="0.3">
      <c r="A556" t="s">
        <v>1092</v>
      </c>
      <c r="B556" s="11">
        <v>43737</v>
      </c>
      <c r="C556" t="s">
        <v>1093</v>
      </c>
      <c r="D556" t="s">
        <v>15</v>
      </c>
      <c r="E556">
        <v>2</v>
      </c>
      <c r="F556" t="str">
        <f>_xlfn.XLOOKUP(C556,Customers!$A$2:$A$1001,Customers!$B$2:$B$1001)</f>
        <v>Madelaine Sharples</v>
      </c>
      <c r="G556">
        <f>_xlfn.XLOOKUP(C556,Customers!$A$2:$A$1001,Customers!$C$2:$C$1001,,0)</f>
        <v>0</v>
      </c>
      <c r="H556" t="str">
        <f>_xlfn.XLOOKUP(C556,Customers!$A$2:$A$1001,Customers!$G$2:$G$1001)</f>
        <v>United Kingdom</v>
      </c>
      <c r="I556" t="str" cm="1">
        <f t="array" ref="I556:L556">_xlfn.XLOOKUP(D556,products!$A$2:$A$49,products!$B$2:$E$49)</f>
        <v>Rob</v>
      </c>
      <c r="J556" t="str">
        <v>L</v>
      </c>
      <c r="K556" s="8">
        <v>2.5</v>
      </c>
      <c r="L556" s="6">
        <v>27.484999999999996</v>
      </c>
      <c r="M556" s="7">
        <f t="shared" si="24"/>
        <v>54.969999999999992</v>
      </c>
      <c r="N556" t="str">
        <f t="shared" si="25"/>
        <v>Robusta</v>
      </c>
      <c r="O556" t="str">
        <f t="shared" si="26"/>
        <v>Lite</v>
      </c>
      <c r="P556" t="str">
        <f>_xlfn.XLOOKUP(Orders!C556,Customers!$A$2:$A$1001,Customers!$I$2:$I$1001)</f>
        <v>Yes</v>
      </c>
    </row>
    <row r="557" spans="1:16" x14ac:dyDescent="0.3">
      <c r="A557" t="s">
        <v>1094</v>
      </c>
      <c r="B557" s="11">
        <v>44258</v>
      </c>
      <c r="C557" t="s">
        <v>1095</v>
      </c>
      <c r="D557" t="s">
        <v>14</v>
      </c>
      <c r="E557">
        <v>6</v>
      </c>
      <c r="F557" t="str">
        <f>_xlfn.XLOOKUP(C557,Customers!$A$2:$A$1001,Customers!$B$2:$B$1001)</f>
        <v>Sigfrid Busch</v>
      </c>
      <c r="G557" t="str">
        <f>_xlfn.XLOOKUP(C557,Customers!$A$2:$A$1001,Customers!$C$2:$C$1001,,0)</f>
        <v>sbuschff@so-net.ne.jp</v>
      </c>
      <c r="H557" t="str">
        <f>_xlfn.XLOOKUP(C557,Customers!$A$2:$A$1001,Customers!$G$2:$G$1001)</f>
        <v>Ireland</v>
      </c>
      <c r="I557" t="str" cm="1">
        <f t="array" ref="I557:L557">_xlfn.XLOOKUP(D557,products!$A$2:$A$49,products!$B$2:$E$49)</f>
        <v>Exc</v>
      </c>
      <c r="J557" t="str">
        <v>M</v>
      </c>
      <c r="K557" s="8">
        <v>1</v>
      </c>
      <c r="L557" s="6">
        <v>13.75</v>
      </c>
      <c r="M557" s="7">
        <f t="shared" si="24"/>
        <v>82.5</v>
      </c>
      <c r="N557" t="str">
        <f t="shared" si="25"/>
        <v>Excelsa</v>
      </c>
      <c r="O557" t="str">
        <f t="shared" si="26"/>
        <v>Medium</v>
      </c>
      <c r="P557" t="str">
        <f>_xlfn.XLOOKUP(Orders!C557,Customers!$A$2:$A$1001,Customers!$I$2:$I$1001)</f>
        <v>No</v>
      </c>
    </row>
    <row r="558" spans="1:16" x14ac:dyDescent="0.3">
      <c r="A558" t="s">
        <v>1096</v>
      </c>
      <c r="B558" s="11">
        <v>44523</v>
      </c>
      <c r="C558" t="s">
        <v>1097</v>
      </c>
      <c r="D558" t="s">
        <v>82</v>
      </c>
      <c r="E558">
        <v>2</v>
      </c>
      <c r="F558" t="str">
        <f>_xlfn.XLOOKUP(C558,Customers!$A$2:$A$1001,Customers!$B$2:$B$1001)</f>
        <v>Cissiee Raisbeck</v>
      </c>
      <c r="G558" t="str">
        <f>_xlfn.XLOOKUP(C558,Customers!$A$2:$A$1001,Customers!$C$2:$C$1001,,0)</f>
        <v>craisbeckfg@webnode.com</v>
      </c>
      <c r="H558" t="str">
        <f>_xlfn.XLOOKUP(C558,Customers!$A$2:$A$1001,Customers!$G$2:$G$1001)</f>
        <v>United States</v>
      </c>
      <c r="I558" t="str" cm="1">
        <f t="array" ref="I558:L558">_xlfn.XLOOKUP(D558,products!$A$2:$A$49,products!$B$2:$E$49)</f>
        <v>Lib</v>
      </c>
      <c r="J558" t="str">
        <v>M</v>
      </c>
      <c r="K558" s="8">
        <v>0.2</v>
      </c>
      <c r="L558" s="6">
        <v>4.3650000000000002</v>
      </c>
      <c r="M558" s="7">
        <f t="shared" si="24"/>
        <v>8.73</v>
      </c>
      <c r="N558" t="str">
        <f t="shared" si="25"/>
        <v>Liberica</v>
      </c>
      <c r="O558" t="str">
        <f t="shared" si="26"/>
        <v>Medium</v>
      </c>
      <c r="P558" t="str">
        <f>_xlfn.XLOOKUP(Orders!C558,Customers!$A$2:$A$1001,Customers!$I$2:$I$1001)</f>
        <v>Yes</v>
      </c>
    </row>
    <row r="559" spans="1:16" x14ac:dyDescent="0.3">
      <c r="A559" t="s">
        <v>1098</v>
      </c>
      <c r="B559" s="11">
        <v>44506</v>
      </c>
      <c r="C559" t="s">
        <v>993</v>
      </c>
      <c r="D559" t="s">
        <v>142</v>
      </c>
      <c r="E559">
        <v>4</v>
      </c>
      <c r="F559" t="str">
        <f>_xlfn.XLOOKUP(C559,Customers!$A$2:$A$1001,Customers!$B$2:$B$1001)</f>
        <v>Marja Urion</v>
      </c>
      <c r="G559" t="str">
        <f>_xlfn.XLOOKUP(C559,Customers!$A$2:$A$1001,Customers!$C$2:$C$1001,,0)</f>
        <v>murione5@alexa.com</v>
      </c>
      <c r="H559" t="str">
        <f>_xlfn.XLOOKUP(C559,Customers!$A$2:$A$1001,Customers!$G$2:$G$1001)</f>
        <v>Ireland</v>
      </c>
      <c r="I559" t="str" cm="1">
        <f t="array" ref="I559:L559">_xlfn.XLOOKUP(D559,products!$A$2:$A$49,products!$B$2:$E$49)</f>
        <v>Exc</v>
      </c>
      <c r="J559" t="str">
        <v>L</v>
      </c>
      <c r="K559" s="8">
        <v>1</v>
      </c>
      <c r="L559" s="6">
        <v>14.85</v>
      </c>
      <c r="M559" s="7">
        <f t="shared" si="24"/>
        <v>59.4</v>
      </c>
      <c r="N559" t="str">
        <f t="shared" si="25"/>
        <v>Excelsa</v>
      </c>
      <c r="O559" t="str">
        <f t="shared" si="26"/>
        <v>Lite</v>
      </c>
      <c r="P559" t="str">
        <f>_xlfn.XLOOKUP(Orders!C559,Customers!$A$2:$A$1001,Customers!$I$2:$I$1001)</f>
        <v>Yes</v>
      </c>
    </row>
    <row r="560" spans="1:16" x14ac:dyDescent="0.3">
      <c r="A560" t="s">
        <v>1099</v>
      </c>
      <c r="B560" s="11">
        <v>44225</v>
      </c>
      <c r="C560" t="s">
        <v>1100</v>
      </c>
      <c r="D560" t="s">
        <v>43</v>
      </c>
      <c r="E560">
        <v>4</v>
      </c>
      <c r="F560" t="str">
        <f>_xlfn.XLOOKUP(C560,Customers!$A$2:$A$1001,Customers!$B$2:$B$1001)</f>
        <v>Kenton Wetherick</v>
      </c>
      <c r="G560">
        <f>_xlfn.XLOOKUP(C560,Customers!$A$2:$A$1001,Customers!$C$2:$C$1001,,0)</f>
        <v>0</v>
      </c>
      <c r="H560" t="str">
        <f>_xlfn.XLOOKUP(C560,Customers!$A$2:$A$1001,Customers!$G$2:$G$1001)</f>
        <v>United States</v>
      </c>
      <c r="I560" t="str" cm="1">
        <f t="array" ref="I560:L560">_xlfn.XLOOKUP(D560,products!$A$2:$A$49,products!$B$2:$E$49)</f>
        <v>Lib</v>
      </c>
      <c r="J560" t="str">
        <v>D</v>
      </c>
      <c r="K560" s="8">
        <v>0.2</v>
      </c>
      <c r="L560" s="6">
        <v>3.8849999999999998</v>
      </c>
      <c r="M560" s="7">
        <f t="shared" si="24"/>
        <v>15.54</v>
      </c>
      <c r="N560" t="str">
        <f t="shared" si="25"/>
        <v>Liberica</v>
      </c>
      <c r="O560" t="str">
        <f t="shared" si="26"/>
        <v>Dark</v>
      </c>
      <c r="P560" t="str">
        <f>_xlfn.XLOOKUP(Orders!C560,Customers!$A$2:$A$1001,Customers!$I$2:$I$1001)</f>
        <v>Yes</v>
      </c>
    </row>
    <row r="561" spans="1:16" x14ac:dyDescent="0.3">
      <c r="A561" t="s">
        <v>1101</v>
      </c>
      <c r="B561" s="11">
        <v>44667</v>
      </c>
      <c r="C561" t="s">
        <v>1102</v>
      </c>
      <c r="D561" t="s">
        <v>11</v>
      </c>
      <c r="E561">
        <v>3</v>
      </c>
      <c r="F561" t="str">
        <f>_xlfn.XLOOKUP(C561,Customers!$A$2:$A$1001,Customers!$B$2:$B$1001)</f>
        <v>Reamonn Aynold</v>
      </c>
      <c r="G561" t="str">
        <f>_xlfn.XLOOKUP(C561,Customers!$A$2:$A$1001,Customers!$C$2:$C$1001)</f>
        <v>raynoldfj@ustream.tv</v>
      </c>
      <c r="H561" t="str">
        <f>_xlfn.XLOOKUP(C561,Customers!$A$2:$A$1001,Customers!$G$2:$G$1001)</f>
        <v>United States</v>
      </c>
      <c r="I561" t="str" cm="1">
        <f t="array" ref="I561:L561">_xlfn.XLOOKUP(D561,products!$A$2:$A$49,products!$B$2:$E$49)</f>
        <v>Ara</v>
      </c>
      <c r="J561" t="str">
        <v>L</v>
      </c>
      <c r="K561" s="8">
        <v>1</v>
      </c>
      <c r="L561" s="6">
        <v>12.95</v>
      </c>
      <c r="M561" s="7">
        <f t="shared" si="24"/>
        <v>38.849999999999994</v>
      </c>
      <c r="N561" t="str">
        <f t="shared" si="25"/>
        <v>Arasbica</v>
      </c>
      <c r="O561" t="str">
        <f t="shared" si="26"/>
        <v>Lite</v>
      </c>
      <c r="P561" t="str">
        <f>_xlfn.XLOOKUP(Orders!C561,Customers!$A$2:$A$1001,Customers!$I$2:$I$1001)</f>
        <v>Yes</v>
      </c>
    </row>
    <row r="562" spans="1:16" x14ac:dyDescent="0.3">
      <c r="A562" t="s">
        <v>1103</v>
      </c>
      <c r="B562" s="11">
        <v>44401</v>
      </c>
      <c r="C562" t="s">
        <v>1104</v>
      </c>
      <c r="D562" t="s">
        <v>117</v>
      </c>
      <c r="E562">
        <v>6</v>
      </c>
      <c r="F562" t="str">
        <f>_xlfn.XLOOKUP(C562,Customers!$A$2:$A$1001,Customers!$B$2:$B$1001)</f>
        <v>Hatty Dovydenas</v>
      </c>
      <c r="G562">
        <f>_xlfn.XLOOKUP(C562,Customers!$A$2:$A$1001,Customers!$C$2:$C$1001)</f>
        <v>0</v>
      </c>
      <c r="H562" t="str">
        <f>_xlfn.XLOOKUP(C562,Customers!$A$2:$A$1001,Customers!$G$2:$G$1001)</f>
        <v>United States</v>
      </c>
      <c r="I562" t="str" cm="1">
        <f t="array" ref="I562:L562">_xlfn.XLOOKUP(D562,products!$A$2:$A$49,products!$B$2:$E$49)</f>
        <v>Exc</v>
      </c>
      <c r="J562" t="str">
        <v>M</v>
      </c>
      <c r="K562" s="8">
        <v>2.5</v>
      </c>
      <c r="L562" s="6">
        <v>31.624999999999996</v>
      </c>
      <c r="M562" s="7">
        <f t="shared" si="24"/>
        <v>189.74999999999997</v>
      </c>
      <c r="N562" t="str">
        <f t="shared" si="25"/>
        <v>Excelsa</v>
      </c>
      <c r="O562" t="str">
        <f t="shared" si="26"/>
        <v>Medium</v>
      </c>
      <c r="P562" t="str">
        <f>_xlfn.XLOOKUP(Orders!C562,Customers!$A$2:$A$1001,Customers!$I$2:$I$1001)</f>
        <v>Yes</v>
      </c>
    </row>
    <row r="563" spans="1:16" x14ac:dyDescent="0.3">
      <c r="A563" t="s">
        <v>1105</v>
      </c>
      <c r="B563" s="11">
        <v>43688</v>
      </c>
      <c r="C563" t="s">
        <v>1106</v>
      </c>
      <c r="D563" t="s">
        <v>59</v>
      </c>
      <c r="E563">
        <v>6</v>
      </c>
      <c r="F563" t="str">
        <f>_xlfn.XLOOKUP(C563,Customers!$A$2:$A$1001,Customers!$B$2:$B$1001)</f>
        <v>Nathaniel Bloxland</v>
      </c>
      <c r="G563">
        <f>_xlfn.XLOOKUP(C563,Customers!$A$2:$A$1001,Customers!$C$2:$C$1001)</f>
        <v>0</v>
      </c>
      <c r="H563" t="str">
        <f>_xlfn.XLOOKUP(C563,Customers!$A$2:$A$1001,Customers!$G$2:$G$1001)</f>
        <v>Ireland</v>
      </c>
      <c r="I563" t="str" cm="1">
        <f t="array" ref="I563:L563">_xlfn.XLOOKUP(D563,products!$A$2:$A$49,products!$B$2:$E$49)</f>
        <v>Ara</v>
      </c>
      <c r="J563" t="str">
        <v>D</v>
      </c>
      <c r="K563" s="8">
        <v>0.2</v>
      </c>
      <c r="L563" s="6">
        <v>2.9849999999999999</v>
      </c>
      <c r="M563" s="7">
        <f t="shared" si="24"/>
        <v>17.91</v>
      </c>
      <c r="N563" t="str">
        <f t="shared" si="25"/>
        <v>Arasbica</v>
      </c>
      <c r="O563" t="str">
        <f t="shared" si="26"/>
        <v>Dark</v>
      </c>
      <c r="P563" t="str">
        <f>_xlfn.XLOOKUP(Orders!C563,Customers!$A$2:$A$1001,Customers!$I$2:$I$1001)</f>
        <v>Yes</v>
      </c>
    </row>
    <row r="564" spans="1:16" x14ac:dyDescent="0.3">
      <c r="A564" t="s">
        <v>1107</v>
      </c>
      <c r="B564" s="11">
        <v>43669</v>
      </c>
      <c r="C564" t="s">
        <v>1108</v>
      </c>
      <c r="D564" t="s">
        <v>24</v>
      </c>
      <c r="E564">
        <v>6</v>
      </c>
      <c r="F564" t="str">
        <f>_xlfn.XLOOKUP(C564,Customers!$A$2:$A$1001,Customers!$B$2:$B$1001)</f>
        <v>Brendan Grece</v>
      </c>
      <c r="G564" t="str">
        <f>_xlfn.XLOOKUP(C564,Customers!$A$2:$A$1001,Customers!$C$2:$C$1001)</f>
        <v>bgrecefm@naver.com</v>
      </c>
      <c r="H564" t="str">
        <f>_xlfn.XLOOKUP(C564,Customers!$A$2:$A$1001,Customers!$G$2:$G$1001)</f>
        <v>United Kingdom</v>
      </c>
      <c r="I564" t="str" cm="1">
        <f t="array" ref="I564:L564">_xlfn.XLOOKUP(D564,products!$A$2:$A$49,products!$B$2:$E$49)</f>
        <v>Lib</v>
      </c>
      <c r="J564" t="str">
        <v>L</v>
      </c>
      <c r="K564" s="8">
        <v>0.2</v>
      </c>
      <c r="L564" s="6">
        <v>4.7549999999999999</v>
      </c>
      <c r="M564" s="7">
        <f t="shared" si="24"/>
        <v>28.53</v>
      </c>
      <c r="N564" t="str">
        <f t="shared" si="25"/>
        <v>Liberica</v>
      </c>
      <c r="O564" t="str">
        <f t="shared" si="26"/>
        <v>Lite</v>
      </c>
      <c r="P564" t="str">
        <f>_xlfn.XLOOKUP(Orders!C564,Customers!$A$2:$A$1001,Customers!$I$2:$I$1001)</f>
        <v>No</v>
      </c>
    </row>
    <row r="565" spans="1:16" x14ac:dyDescent="0.3">
      <c r="A565" t="s">
        <v>1109</v>
      </c>
      <c r="B565" s="11">
        <v>43991</v>
      </c>
      <c r="C565" t="s">
        <v>1110</v>
      </c>
      <c r="D565" t="s">
        <v>14</v>
      </c>
      <c r="E565">
        <v>6</v>
      </c>
      <c r="F565" t="str">
        <f>_xlfn.XLOOKUP(C565,Customers!$A$2:$A$1001,Customers!$B$2:$B$1001)</f>
        <v>Don Flintiff</v>
      </c>
      <c r="G565" t="str">
        <f>_xlfn.XLOOKUP(C565,Customers!$A$2:$A$1001,Customers!$C$2:$C$1001)</f>
        <v>dflintiffg1@e-recht24.de</v>
      </c>
      <c r="H565" t="str">
        <f>_xlfn.XLOOKUP(C565,Customers!$A$2:$A$1001,Customers!$G$2:$G$1001)</f>
        <v>United Kingdom</v>
      </c>
      <c r="I565" t="str" cm="1">
        <f t="array" ref="I565:L565">_xlfn.XLOOKUP(D565,products!$A$2:$A$49,products!$B$2:$E$49)</f>
        <v>Exc</v>
      </c>
      <c r="J565" t="str">
        <v>M</v>
      </c>
      <c r="K565" s="8">
        <v>1</v>
      </c>
      <c r="L565" s="6">
        <v>13.75</v>
      </c>
      <c r="M565" s="7">
        <f t="shared" si="24"/>
        <v>82.5</v>
      </c>
      <c r="N565" t="str">
        <f t="shared" si="25"/>
        <v>Excelsa</v>
      </c>
      <c r="O565" t="str">
        <f t="shared" si="26"/>
        <v>Medium</v>
      </c>
      <c r="P565" t="str">
        <f>_xlfn.XLOOKUP(Orders!C565,Customers!$A$2:$A$1001,Customers!$I$2:$I$1001)</f>
        <v>No</v>
      </c>
    </row>
    <row r="566" spans="1:16" x14ac:dyDescent="0.3">
      <c r="A566" t="s">
        <v>1111</v>
      </c>
      <c r="B566" s="11">
        <v>43883</v>
      </c>
      <c r="C566" t="s">
        <v>1112</v>
      </c>
      <c r="D566" t="s">
        <v>162</v>
      </c>
      <c r="E566">
        <v>2</v>
      </c>
      <c r="F566" t="str">
        <f>_xlfn.XLOOKUP(C566,Customers!$A$2:$A$1001,Customers!$B$2:$B$1001)</f>
        <v>Abbe Thys</v>
      </c>
      <c r="G566" t="str">
        <f>_xlfn.XLOOKUP(C566,Customers!$A$2:$A$1001,Customers!$C$2:$C$1001)</f>
        <v>athysfo@cdc.gov</v>
      </c>
      <c r="H566" t="str">
        <f>_xlfn.XLOOKUP(C566,Customers!$A$2:$A$1001,Customers!$G$2:$G$1001)</f>
        <v>United States</v>
      </c>
      <c r="I566" t="str" cm="1">
        <f t="array" ref="I566:L566">_xlfn.XLOOKUP(D566,products!$A$2:$A$49,products!$B$2:$E$49)</f>
        <v>Rob</v>
      </c>
      <c r="J566" t="str">
        <v>L</v>
      </c>
      <c r="K566" s="8">
        <v>0.5</v>
      </c>
      <c r="L566" s="6">
        <v>7.169999999999999</v>
      </c>
      <c r="M566" s="7">
        <f t="shared" si="24"/>
        <v>14.339999999999998</v>
      </c>
      <c r="N566" t="str">
        <f t="shared" si="25"/>
        <v>Robusta</v>
      </c>
      <c r="O566" t="str">
        <f t="shared" si="26"/>
        <v>Lite</v>
      </c>
      <c r="P566" t="str">
        <f>_xlfn.XLOOKUP(Orders!C566,Customers!$A$2:$A$1001,Customers!$I$2:$I$1001)</f>
        <v>No</v>
      </c>
    </row>
    <row r="567" spans="1:16" x14ac:dyDescent="0.3">
      <c r="A567" t="s">
        <v>1113</v>
      </c>
      <c r="B567" s="11">
        <v>44031</v>
      </c>
      <c r="C567" t="s">
        <v>1114</v>
      </c>
      <c r="D567" t="s">
        <v>40</v>
      </c>
      <c r="E567">
        <v>4</v>
      </c>
      <c r="F567" t="str">
        <f>_xlfn.XLOOKUP(C567,Customers!$A$2:$A$1001,Customers!$B$2:$B$1001)</f>
        <v>Jackquelin Chugg</v>
      </c>
      <c r="G567" t="str">
        <f>_xlfn.XLOOKUP(C567,Customers!$A$2:$A$1001,Customers!$C$2:$C$1001)</f>
        <v>jchuggfp@about.me</v>
      </c>
      <c r="H567" t="str">
        <f>_xlfn.XLOOKUP(C567,Customers!$A$2:$A$1001,Customers!$G$2:$G$1001)</f>
        <v>United States</v>
      </c>
      <c r="I567" t="str" cm="1">
        <f t="array" ref="I567:L567">_xlfn.XLOOKUP(D567,products!$A$2:$A$49,products!$B$2:$E$49)</f>
        <v>Rob</v>
      </c>
      <c r="J567" t="str">
        <v>D</v>
      </c>
      <c r="K567" s="8">
        <v>2.5</v>
      </c>
      <c r="L567" s="6">
        <v>20.584999999999997</v>
      </c>
      <c r="M567" s="7">
        <f t="shared" si="24"/>
        <v>82.339999999999989</v>
      </c>
      <c r="N567" t="str">
        <f t="shared" si="25"/>
        <v>Robusta</v>
      </c>
      <c r="O567" t="str">
        <f t="shared" si="26"/>
        <v>Dark</v>
      </c>
      <c r="P567" t="str">
        <f>_xlfn.XLOOKUP(Orders!C567,Customers!$A$2:$A$1001,Customers!$I$2:$I$1001)</f>
        <v>No</v>
      </c>
    </row>
    <row r="568" spans="1:16" x14ac:dyDescent="0.3">
      <c r="A568" t="s">
        <v>1115</v>
      </c>
      <c r="B568" s="11">
        <v>44459</v>
      </c>
      <c r="C568" t="s">
        <v>1116</v>
      </c>
      <c r="D568" t="s">
        <v>49</v>
      </c>
      <c r="E568">
        <v>6</v>
      </c>
      <c r="F568" t="str">
        <f>_xlfn.XLOOKUP(C568,Customers!$A$2:$A$1001,Customers!$B$2:$B$1001)</f>
        <v>Audra Kelston</v>
      </c>
      <c r="G568" t="str">
        <f>_xlfn.XLOOKUP(C568,Customers!$A$2:$A$1001,Customers!$C$2:$C$1001)</f>
        <v>akelstonfq@sakura.ne.jp</v>
      </c>
      <c r="H568" t="str">
        <f>_xlfn.XLOOKUP(C568,Customers!$A$2:$A$1001,Customers!$G$2:$G$1001)</f>
        <v>United States</v>
      </c>
      <c r="I568" t="str" cm="1">
        <f t="array" ref="I568:L568">_xlfn.XLOOKUP(D568,products!$A$2:$A$49,products!$B$2:$E$49)</f>
        <v>Ara</v>
      </c>
      <c r="J568" t="str">
        <v>M</v>
      </c>
      <c r="K568" s="8">
        <v>0.2</v>
      </c>
      <c r="L568" s="6">
        <v>3.375</v>
      </c>
      <c r="M568" s="7">
        <f t="shared" si="24"/>
        <v>20.25</v>
      </c>
      <c r="N568" t="str">
        <f t="shared" si="25"/>
        <v>Arasbica</v>
      </c>
      <c r="O568" t="str">
        <f t="shared" si="26"/>
        <v>Medium</v>
      </c>
      <c r="P568" t="str">
        <f>_xlfn.XLOOKUP(Orders!C568,Customers!$A$2:$A$1001,Customers!$I$2:$I$1001)</f>
        <v>Yes</v>
      </c>
    </row>
    <row r="569" spans="1:16" x14ac:dyDescent="0.3">
      <c r="A569" t="s">
        <v>1117</v>
      </c>
      <c r="B569" s="11">
        <v>44318</v>
      </c>
      <c r="C569" t="s">
        <v>1118</v>
      </c>
      <c r="D569" t="s">
        <v>15</v>
      </c>
      <c r="E569">
        <v>6</v>
      </c>
      <c r="F569" t="str">
        <f>_xlfn.XLOOKUP(C569,Customers!$A$2:$A$1001,Customers!$B$2:$B$1001)</f>
        <v>Elvina Angel</v>
      </c>
      <c r="G569">
        <f>_xlfn.XLOOKUP(C569,Customers!$A$2:$A$1001,Customers!$C$2:$C$1001)</f>
        <v>0</v>
      </c>
      <c r="H569" t="str">
        <f>_xlfn.XLOOKUP(C569,Customers!$A$2:$A$1001,Customers!$G$2:$G$1001)</f>
        <v>Ireland</v>
      </c>
      <c r="I569" t="str" cm="1">
        <f t="array" ref="I569:L569">_xlfn.XLOOKUP(D569,products!$A$2:$A$49,products!$B$2:$E$49)</f>
        <v>Rob</v>
      </c>
      <c r="J569" t="str">
        <v>L</v>
      </c>
      <c r="K569" s="8">
        <v>2.5</v>
      </c>
      <c r="L569" s="6">
        <v>27.484999999999996</v>
      </c>
      <c r="M569" s="7">
        <f t="shared" si="24"/>
        <v>164.90999999999997</v>
      </c>
      <c r="N569" t="str">
        <f t="shared" si="25"/>
        <v>Robusta</v>
      </c>
      <c r="O569" t="str">
        <f t="shared" si="26"/>
        <v>Lite</v>
      </c>
      <c r="P569" t="str">
        <f>_xlfn.XLOOKUP(Orders!C569,Customers!$A$2:$A$1001,Customers!$I$2:$I$1001)</f>
        <v>No</v>
      </c>
    </row>
    <row r="570" spans="1:16" x14ac:dyDescent="0.3">
      <c r="A570" t="s">
        <v>1119</v>
      </c>
      <c r="B570" s="11">
        <v>44526</v>
      </c>
      <c r="C570" t="s">
        <v>1120</v>
      </c>
      <c r="D570" t="s">
        <v>24</v>
      </c>
      <c r="E570">
        <v>4</v>
      </c>
      <c r="F570" t="str">
        <f>_xlfn.XLOOKUP(C570,Customers!$A$2:$A$1001,Customers!$B$2:$B$1001)</f>
        <v>Claiborne Mottram</v>
      </c>
      <c r="G570" t="str">
        <f>_xlfn.XLOOKUP(C570,Customers!$A$2:$A$1001,Customers!$C$2:$C$1001)</f>
        <v>cmottramfs@harvard.edu</v>
      </c>
      <c r="H570" t="str">
        <f>_xlfn.XLOOKUP(C570,Customers!$A$2:$A$1001,Customers!$G$2:$G$1001)</f>
        <v>United States</v>
      </c>
      <c r="I570" t="str" cm="1">
        <f t="array" ref="I570:L570">_xlfn.XLOOKUP(D570,products!$A$2:$A$49,products!$B$2:$E$49)</f>
        <v>Lib</v>
      </c>
      <c r="J570" t="str">
        <v>L</v>
      </c>
      <c r="K570" s="8">
        <v>0.2</v>
      </c>
      <c r="L570" s="6">
        <v>4.7549999999999999</v>
      </c>
      <c r="M570" s="7">
        <f t="shared" si="24"/>
        <v>19.02</v>
      </c>
      <c r="N570" t="str">
        <f t="shared" si="25"/>
        <v>Liberica</v>
      </c>
      <c r="O570" t="str">
        <f t="shared" si="26"/>
        <v>Lite</v>
      </c>
      <c r="P570" t="str">
        <f>_xlfn.XLOOKUP(Orders!C570,Customers!$A$2:$A$1001,Customers!$I$2:$I$1001)</f>
        <v>Yes</v>
      </c>
    </row>
    <row r="571" spans="1:16" x14ac:dyDescent="0.3">
      <c r="A571" t="s">
        <v>1121</v>
      </c>
      <c r="B571" s="11">
        <v>43879</v>
      </c>
      <c r="C571" t="s">
        <v>1110</v>
      </c>
      <c r="D571" t="s">
        <v>123</v>
      </c>
      <c r="E571">
        <v>6</v>
      </c>
      <c r="F571" t="str">
        <f>_xlfn.XLOOKUP(C571,Customers!$A$2:$A$1001,Customers!$B$2:$B$1001)</f>
        <v>Don Flintiff</v>
      </c>
      <c r="G571" t="str">
        <f>_xlfn.XLOOKUP(C571,Customers!$A$2:$A$1001,Customers!$C$2:$C$1001)</f>
        <v>dflintiffg1@e-recht24.de</v>
      </c>
      <c r="H571" t="str">
        <f>_xlfn.XLOOKUP(C571,Customers!$A$2:$A$1001,Customers!$G$2:$G$1001)</f>
        <v>United Kingdom</v>
      </c>
      <c r="I571" t="str" cm="1">
        <f t="array" ref="I571:L571">_xlfn.XLOOKUP(D571,products!$A$2:$A$49,products!$B$2:$E$49)</f>
        <v>Ara</v>
      </c>
      <c r="J571" t="str">
        <v>D</v>
      </c>
      <c r="K571" s="8">
        <v>2.5</v>
      </c>
      <c r="L571" s="6">
        <v>22.884999999999998</v>
      </c>
      <c r="M571" s="7">
        <f t="shared" si="24"/>
        <v>137.31</v>
      </c>
      <c r="N571" t="str">
        <f t="shared" si="25"/>
        <v>Arasbica</v>
      </c>
      <c r="O571" t="str">
        <f t="shared" si="26"/>
        <v>Dark</v>
      </c>
      <c r="P571" t="str">
        <f>_xlfn.XLOOKUP(Orders!C571,Customers!$A$2:$A$1001,Customers!$I$2:$I$1001)</f>
        <v>No</v>
      </c>
    </row>
    <row r="572" spans="1:16" x14ac:dyDescent="0.3">
      <c r="A572" t="s">
        <v>1122</v>
      </c>
      <c r="B572" s="11">
        <v>43928</v>
      </c>
      <c r="C572" t="s">
        <v>1123</v>
      </c>
      <c r="D572" t="s">
        <v>72</v>
      </c>
      <c r="E572">
        <v>4</v>
      </c>
      <c r="F572" t="str">
        <f>_xlfn.XLOOKUP(C572,Customers!$A$2:$A$1001,Customers!$B$2:$B$1001)</f>
        <v>Donalt Sangwin</v>
      </c>
      <c r="G572" t="str">
        <f>_xlfn.XLOOKUP(C572,Customers!$A$2:$A$1001,Customers!$C$2:$C$1001)</f>
        <v>dsangwinfu@weebly.com</v>
      </c>
      <c r="H572" t="str">
        <f>_xlfn.XLOOKUP(C572,Customers!$A$2:$A$1001,Customers!$G$2:$G$1001)</f>
        <v>United States</v>
      </c>
      <c r="I572" t="str" cm="1">
        <f t="array" ref="I572:L572">_xlfn.XLOOKUP(D572,products!$A$2:$A$49,products!$B$2:$E$49)</f>
        <v>Ara</v>
      </c>
      <c r="J572" t="str">
        <v>M</v>
      </c>
      <c r="K572" s="8">
        <v>0.5</v>
      </c>
      <c r="L572" s="6">
        <v>6.75</v>
      </c>
      <c r="M572" s="7">
        <f t="shared" si="24"/>
        <v>27</v>
      </c>
      <c r="N572" t="str">
        <f t="shared" si="25"/>
        <v>Arasbica</v>
      </c>
      <c r="O572" t="str">
        <f t="shared" si="26"/>
        <v>Medium</v>
      </c>
      <c r="P572" t="str">
        <f>_xlfn.XLOOKUP(Orders!C572,Customers!$A$2:$A$1001,Customers!$I$2:$I$1001)</f>
        <v>No</v>
      </c>
    </row>
    <row r="573" spans="1:16" x14ac:dyDescent="0.3">
      <c r="A573" t="s">
        <v>1124</v>
      </c>
      <c r="B573" s="11">
        <v>44592</v>
      </c>
      <c r="C573" t="s">
        <v>1125</v>
      </c>
      <c r="D573" t="s">
        <v>181</v>
      </c>
      <c r="E573">
        <v>4</v>
      </c>
      <c r="F573" t="str">
        <f>_xlfn.XLOOKUP(C573,Customers!$A$2:$A$1001,Customers!$B$2:$B$1001)</f>
        <v>Elizabet Aizikowitz</v>
      </c>
      <c r="G573" t="str">
        <f>_xlfn.XLOOKUP(C573,Customers!$A$2:$A$1001,Customers!$C$2:$C$1001)</f>
        <v>eaizikowitzfv@virginia.edu</v>
      </c>
      <c r="H573" t="str">
        <f>_xlfn.XLOOKUP(C573,Customers!$A$2:$A$1001,Customers!$G$2:$G$1001)</f>
        <v>United Kingdom</v>
      </c>
      <c r="I573" t="str" cm="1">
        <f t="array" ref="I573:L573">_xlfn.XLOOKUP(D573,products!$A$2:$A$49,products!$B$2:$E$49)</f>
        <v>Exc</v>
      </c>
      <c r="J573" t="str">
        <v>L</v>
      </c>
      <c r="K573" s="8">
        <v>0.5</v>
      </c>
      <c r="L573" s="6">
        <v>8.91</v>
      </c>
      <c r="M573" s="7">
        <f t="shared" si="24"/>
        <v>35.64</v>
      </c>
      <c r="N573" t="str">
        <f t="shared" si="25"/>
        <v>Excelsa</v>
      </c>
      <c r="O573" t="str">
        <f t="shared" si="26"/>
        <v>Lite</v>
      </c>
      <c r="P573" t="str">
        <f>_xlfn.XLOOKUP(Orders!C573,Customers!$A$2:$A$1001,Customers!$I$2:$I$1001)</f>
        <v>No</v>
      </c>
    </row>
    <row r="574" spans="1:16" x14ac:dyDescent="0.3">
      <c r="A574" t="s">
        <v>1126</v>
      </c>
      <c r="B574" s="11">
        <v>43515</v>
      </c>
      <c r="C574" t="s">
        <v>1127</v>
      </c>
      <c r="D574" t="s">
        <v>59</v>
      </c>
      <c r="E574">
        <v>2</v>
      </c>
      <c r="F574" t="str">
        <f>_xlfn.XLOOKUP(C574,Customers!$A$2:$A$1001,Customers!$B$2:$B$1001)</f>
        <v>Herbie Peppard</v>
      </c>
      <c r="G574">
        <f>_xlfn.XLOOKUP(C574,Customers!$A$2:$A$1001,Customers!$C$2:$C$1001)</f>
        <v>0</v>
      </c>
      <c r="H574" t="str">
        <f>_xlfn.XLOOKUP(C574,Customers!$A$2:$A$1001,Customers!$G$2:$G$1001)</f>
        <v>United States</v>
      </c>
      <c r="I574" t="str" cm="1">
        <f t="array" ref="I574:L574">_xlfn.XLOOKUP(D574,products!$A$2:$A$49,products!$B$2:$E$49)</f>
        <v>Ara</v>
      </c>
      <c r="J574" t="str">
        <v>D</v>
      </c>
      <c r="K574" s="8">
        <v>0.2</v>
      </c>
      <c r="L574" s="6">
        <v>2.9849999999999999</v>
      </c>
      <c r="M574" s="7">
        <f t="shared" si="24"/>
        <v>5.97</v>
      </c>
      <c r="N574" t="str">
        <f t="shared" si="25"/>
        <v>Arasbica</v>
      </c>
      <c r="O574" t="str">
        <f t="shared" si="26"/>
        <v>Dark</v>
      </c>
      <c r="P574" t="str">
        <f>_xlfn.XLOOKUP(Orders!C574,Customers!$A$2:$A$1001,Customers!$I$2:$I$1001)</f>
        <v>Yes</v>
      </c>
    </row>
    <row r="575" spans="1:16" x14ac:dyDescent="0.3">
      <c r="A575" t="s">
        <v>1128</v>
      </c>
      <c r="B575" s="11">
        <v>43781</v>
      </c>
      <c r="C575" t="s">
        <v>1129</v>
      </c>
      <c r="D575" t="s">
        <v>66</v>
      </c>
      <c r="E575">
        <v>6</v>
      </c>
      <c r="F575" t="str">
        <f>_xlfn.XLOOKUP(C575,Customers!$A$2:$A$1001,Customers!$B$2:$B$1001)</f>
        <v>Cornie Venour</v>
      </c>
      <c r="G575" t="str">
        <f>_xlfn.XLOOKUP(C575,Customers!$A$2:$A$1001,Customers!$C$2:$C$1001)</f>
        <v>cvenourfx@ask.com</v>
      </c>
      <c r="H575" t="str">
        <f>_xlfn.XLOOKUP(C575,Customers!$A$2:$A$1001,Customers!$G$2:$G$1001)</f>
        <v>United States</v>
      </c>
      <c r="I575" t="str" cm="1">
        <f t="array" ref="I575:L575">_xlfn.XLOOKUP(D575,products!$A$2:$A$49,products!$B$2:$E$49)</f>
        <v>Ara</v>
      </c>
      <c r="J575" t="str">
        <v>M</v>
      </c>
      <c r="K575" s="8">
        <v>1</v>
      </c>
      <c r="L575" s="6">
        <v>11.25</v>
      </c>
      <c r="M575" s="7">
        <f t="shared" si="24"/>
        <v>67.5</v>
      </c>
      <c r="N575" t="str">
        <f t="shared" si="25"/>
        <v>Arasbica</v>
      </c>
      <c r="O575" t="str">
        <f t="shared" si="26"/>
        <v>Medium</v>
      </c>
      <c r="P575" t="str">
        <f>_xlfn.XLOOKUP(Orders!C575,Customers!$A$2:$A$1001,Customers!$I$2:$I$1001)</f>
        <v>No</v>
      </c>
    </row>
    <row r="576" spans="1:16" x14ac:dyDescent="0.3">
      <c r="A576" t="s">
        <v>1130</v>
      </c>
      <c r="B576" s="11">
        <v>44697</v>
      </c>
      <c r="C576" t="s">
        <v>1131</v>
      </c>
      <c r="D576" t="s">
        <v>187</v>
      </c>
      <c r="E576">
        <v>6</v>
      </c>
      <c r="F576" t="str">
        <f>_xlfn.XLOOKUP(C576,Customers!$A$2:$A$1001,Customers!$B$2:$B$1001)</f>
        <v>Maggy Harby</v>
      </c>
      <c r="G576" t="str">
        <f>_xlfn.XLOOKUP(C576,Customers!$A$2:$A$1001,Customers!$C$2:$C$1001)</f>
        <v>mharbyfy@163.com</v>
      </c>
      <c r="H576" t="str">
        <f>_xlfn.XLOOKUP(C576,Customers!$A$2:$A$1001,Customers!$G$2:$G$1001)</f>
        <v>United States</v>
      </c>
      <c r="I576" t="str" cm="1">
        <f t="array" ref="I576:L576">_xlfn.XLOOKUP(D576,products!$A$2:$A$49,products!$B$2:$E$49)</f>
        <v>Rob</v>
      </c>
      <c r="J576" t="str">
        <v>L</v>
      </c>
      <c r="K576" s="8">
        <v>0.2</v>
      </c>
      <c r="L576" s="6">
        <v>3.5849999999999995</v>
      </c>
      <c r="M576" s="7">
        <f t="shared" si="24"/>
        <v>21.509999999999998</v>
      </c>
      <c r="N576" t="str">
        <f t="shared" si="25"/>
        <v>Robusta</v>
      </c>
      <c r="O576" t="str">
        <f t="shared" si="26"/>
        <v>Lite</v>
      </c>
      <c r="P576" t="str">
        <f>_xlfn.XLOOKUP(Orders!C576,Customers!$A$2:$A$1001,Customers!$I$2:$I$1001)</f>
        <v>Yes</v>
      </c>
    </row>
    <row r="577" spans="1:16" x14ac:dyDescent="0.3">
      <c r="A577" t="s">
        <v>1132</v>
      </c>
      <c r="B577" s="11">
        <v>44239</v>
      </c>
      <c r="C577" t="s">
        <v>1133</v>
      </c>
      <c r="D577" t="s">
        <v>202</v>
      </c>
      <c r="E577">
        <v>2</v>
      </c>
      <c r="F577" t="str">
        <f>_xlfn.XLOOKUP(C577,Customers!$A$2:$A$1001,Customers!$B$2:$B$1001)</f>
        <v>Reggie Thickpenny</v>
      </c>
      <c r="G577" t="str">
        <f>_xlfn.XLOOKUP(C577,Customers!$A$2:$A$1001,Customers!$C$2:$C$1001)</f>
        <v>rthickpennyfz@cafepress.com</v>
      </c>
      <c r="H577" t="str">
        <f>_xlfn.XLOOKUP(C577,Customers!$A$2:$A$1001,Customers!$G$2:$G$1001)</f>
        <v>United States</v>
      </c>
      <c r="I577" t="str" cm="1">
        <f t="array" ref="I577:L577">_xlfn.XLOOKUP(D577,products!$A$2:$A$49,products!$B$2:$E$49)</f>
        <v>Lib</v>
      </c>
      <c r="J577" t="str">
        <v>M</v>
      </c>
      <c r="K577" s="8">
        <v>2.5</v>
      </c>
      <c r="L577" s="6">
        <v>33.464999999999996</v>
      </c>
      <c r="M577" s="7">
        <f t="shared" si="24"/>
        <v>66.929999999999993</v>
      </c>
      <c r="N577" t="str">
        <f t="shared" si="25"/>
        <v>Liberica</v>
      </c>
      <c r="O577" t="str">
        <f t="shared" si="26"/>
        <v>Medium</v>
      </c>
      <c r="P577" t="str">
        <f>_xlfn.XLOOKUP(Orders!C577,Customers!$A$2:$A$1001,Customers!$I$2:$I$1001)</f>
        <v>No</v>
      </c>
    </row>
    <row r="578" spans="1:16" x14ac:dyDescent="0.3">
      <c r="A578" t="s">
        <v>1134</v>
      </c>
      <c r="B578" s="11">
        <v>44290</v>
      </c>
      <c r="C578" t="s">
        <v>1135</v>
      </c>
      <c r="D578" t="s">
        <v>59</v>
      </c>
      <c r="E578">
        <v>6</v>
      </c>
      <c r="F578" t="str">
        <f>_xlfn.XLOOKUP(C578,Customers!$A$2:$A$1001,Customers!$B$2:$B$1001)</f>
        <v>Phyllys Ormerod</v>
      </c>
      <c r="G578" t="str">
        <f>_xlfn.XLOOKUP(C578,Customers!$A$2:$A$1001,Customers!$C$2:$C$1001)</f>
        <v>pormerodg0@redcross.org</v>
      </c>
      <c r="H578" t="str">
        <f>_xlfn.XLOOKUP(C578,Customers!$A$2:$A$1001,Customers!$G$2:$G$1001)</f>
        <v>United States</v>
      </c>
      <c r="I578" t="str" cm="1">
        <f t="array" ref="I578:L578">_xlfn.XLOOKUP(D578,products!$A$2:$A$49,products!$B$2:$E$49)</f>
        <v>Ara</v>
      </c>
      <c r="J578" t="str">
        <v>D</v>
      </c>
      <c r="K578" s="8">
        <v>0.2</v>
      </c>
      <c r="L578" s="6">
        <v>2.9849999999999999</v>
      </c>
      <c r="M578" s="7">
        <f t="shared" si="24"/>
        <v>17.91</v>
      </c>
      <c r="N578" t="str">
        <f t="shared" si="25"/>
        <v>Arasbica</v>
      </c>
      <c r="O578" t="str">
        <f t="shared" si="26"/>
        <v>Dark</v>
      </c>
      <c r="P578" t="str">
        <f>_xlfn.XLOOKUP(Orders!C578,Customers!$A$2:$A$1001,Customers!$I$2:$I$1001)</f>
        <v>No</v>
      </c>
    </row>
    <row r="579" spans="1:16" x14ac:dyDescent="0.3">
      <c r="A579" t="s">
        <v>1136</v>
      </c>
      <c r="B579" s="11">
        <v>44410</v>
      </c>
      <c r="C579" t="s">
        <v>1110</v>
      </c>
      <c r="D579" t="s">
        <v>101</v>
      </c>
      <c r="E579">
        <v>4</v>
      </c>
      <c r="F579" t="str">
        <f>_xlfn.XLOOKUP(C579,Customers!$A$2:$A$1001,Customers!$B$2:$B$1001)</f>
        <v>Don Flintiff</v>
      </c>
      <c r="G579" t="str">
        <f>_xlfn.XLOOKUP(C579,Customers!$A$2:$A$1001,Customers!$C$2:$C$1001)</f>
        <v>dflintiffg1@e-recht24.de</v>
      </c>
      <c r="H579" t="str">
        <f>_xlfn.XLOOKUP(C579,Customers!$A$2:$A$1001,Customers!$G$2:$G$1001)</f>
        <v>United Kingdom</v>
      </c>
      <c r="I579" t="str" cm="1">
        <f t="array" ref="I579:L579">_xlfn.XLOOKUP(D579,products!$A$2:$A$49,products!$B$2:$E$49)</f>
        <v>Lib</v>
      </c>
      <c r="J579" t="str">
        <v>M</v>
      </c>
      <c r="K579" s="8">
        <v>1</v>
      </c>
      <c r="L579" s="6">
        <v>14.55</v>
      </c>
      <c r="M579" s="7">
        <f t="shared" ref="M579:M642" si="27">E579*L579</f>
        <v>58.2</v>
      </c>
      <c r="N579" t="str">
        <f t="shared" ref="N579:N642" si="28">IF(I579="rob","Robusta",IF(I579="Exc","Excelsa",IF(I579="Ara","Arasbica",IF(I579="Lib","Liberica"))))</f>
        <v>Liberica</v>
      </c>
      <c r="O579" t="str">
        <f t="shared" ref="O579:O642" si="29">IF(J579="M","Medium",IF(J579="L","Lite",IF(J579="D","Dark")))</f>
        <v>Medium</v>
      </c>
      <c r="P579" t="str">
        <f>_xlfn.XLOOKUP(Orders!C579,Customers!$A$2:$A$1001,Customers!$I$2:$I$1001)</f>
        <v>No</v>
      </c>
    </row>
    <row r="580" spans="1:16" x14ac:dyDescent="0.3">
      <c r="A580" t="s">
        <v>1137</v>
      </c>
      <c r="B580" s="11">
        <v>44720</v>
      </c>
      <c r="C580" t="s">
        <v>1138</v>
      </c>
      <c r="D580" t="s">
        <v>259</v>
      </c>
      <c r="E580">
        <v>3</v>
      </c>
      <c r="F580" t="str">
        <f>_xlfn.XLOOKUP(C580,Customers!$A$2:$A$1001,Customers!$B$2:$B$1001)</f>
        <v>Tymon Zanetti</v>
      </c>
      <c r="G580" t="str">
        <f>_xlfn.XLOOKUP(C580,Customers!$A$2:$A$1001,Customers!$C$2:$C$1001)</f>
        <v>tzanettig2@gravatar.com</v>
      </c>
      <c r="H580" t="str">
        <f>_xlfn.XLOOKUP(C580,Customers!$A$2:$A$1001,Customers!$G$2:$G$1001)</f>
        <v>Ireland</v>
      </c>
      <c r="I580" t="str" cm="1">
        <f t="array" ref="I580:L580">_xlfn.XLOOKUP(D580,products!$A$2:$A$49,products!$B$2:$E$49)</f>
        <v>Exc</v>
      </c>
      <c r="J580" t="str">
        <v>L</v>
      </c>
      <c r="K580" s="8">
        <v>0.2</v>
      </c>
      <c r="L580" s="6">
        <v>4.4550000000000001</v>
      </c>
      <c r="M580" s="7">
        <f t="shared" si="27"/>
        <v>13.365</v>
      </c>
      <c r="N580" t="str">
        <f t="shared" si="28"/>
        <v>Excelsa</v>
      </c>
      <c r="O580" t="str">
        <f t="shared" si="29"/>
        <v>Lite</v>
      </c>
      <c r="P580" t="str">
        <f>_xlfn.XLOOKUP(Orders!C580,Customers!$A$2:$A$1001,Customers!$I$2:$I$1001)</f>
        <v>No</v>
      </c>
    </row>
    <row r="581" spans="1:16" x14ac:dyDescent="0.3">
      <c r="A581" t="s">
        <v>1137</v>
      </c>
      <c r="B581" s="11">
        <v>44720</v>
      </c>
      <c r="C581" t="s">
        <v>1138</v>
      </c>
      <c r="D581" t="s">
        <v>72</v>
      </c>
      <c r="E581">
        <v>5</v>
      </c>
      <c r="F581" t="str">
        <f>_xlfn.XLOOKUP(C581,Customers!$A$2:$A$1001,Customers!$B$2:$B$1001)</f>
        <v>Tymon Zanetti</v>
      </c>
      <c r="G581" t="str">
        <f>_xlfn.XLOOKUP(C581,Customers!$A$2:$A$1001,Customers!$C$2:$C$1001)</f>
        <v>tzanettig2@gravatar.com</v>
      </c>
      <c r="H581" t="str">
        <f>_xlfn.XLOOKUP(C581,Customers!$A$2:$A$1001,Customers!$G$2:$G$1001)</f>
        <v>Ireland</v>
      </c>
      <c r="I581" t="str" cm="1">
        <f t="array" ref="I581:L581">_xlfn.XLOOKUP(D581,products!$A$2:$A$49,products!$B$2:$E$49)</f>
        <v>Ara</v>
      </c>
      <c r="J581" t="str">
        <v>M</v>
      </c>
      <c r="K581" s="8">
        <v>0.5</v>
      </c>
      <c r="L581" s="6">
        <v>6.75</v>
      </c>
      <c r="M581" s="7">
        <f t="shared" si="27"/>
        <v>33.75</v>
      </c>
      <c r="N581" t="str">
        <f t="shared" si="28"/>
        <v>Arasbica</v>
      </c>
      <c r="O581" t="str">
        <f t="shared" si="29"/>
        <v>Medium</v>
      </c>
      <c r="P581" t="str">
        <f>_xlfn.XLOOKUP(Orders!C581,Customers!$A$2:$A$1001,Customers!$I$2:$I$1001)</f>
        <v>No</v>
      </c>
    </row>
    <row r="582" spans="1:16" x14ac:dyDescent="0.3">
      <c r="A582" t="s">
        <v>1139</v>
      </c>
      <c r="B582" s="11">
        <v>43965</v>
      </c>
      <c r="C582" t="s">
        <v>1140</v>
      </c>
      <c r="D582" t="s">
        <v>142</v>
      </c>
      <c r="E582">
        <v>3</v>
      </c>
      <c r="F582" t="str">
        <f>_xlfn.XLOOKUP(C582,Customers!$A$2:$A$1001,Customers!$B$2:$B$1001)</f>
        <v>Reinaldos Kirtley</v>
      </c>
      <c r="G582" t="str">
        <f>_xlfn.XLOOKUP(C582,Customers!$A$2:$A$1001,Customers!$C$2:$C$1001)</f>
        <v>rkirtleyg4@hatena.ne.jp</v>
      </c>
      <c r="H582" t="str">
        <f>_xlfn.XLOOKUP(C582,Customers!$A$2:$A$1001,Customers!$G$2:$G$1001)</f>
        <v>United States</v>
      </c>
      <c r="I582" t="str" cm="1">
        <f t="array" ref="I582:L582">_xlfn.XLOOKUP(D582,products!$A$2:$A$49,products!$B$2:$E$49)</f>
        <v>Exc</v>
      </c>
      <c r="J582" t="str">
        <v>L</v>
      </c>
      <c r="K582" s="8">
        <v>1</v>
      </c>
      <c r="L582" s="6">
        <v>14.85</v>
      </c>
      <c r="M582" s="7">
        <f t="shared" si="27"/>
        <v>44.55</v>
      </c>
      <c r="N582" t="str">
        <f t="shared" si="28"/>
        <v>Excelsa</v>
      </c>
      <c r="O582" t="str">
        <f t="shared" si="29"/>
        <v>Lite</v>
      </c>
      <c r="P582" t="str">
        <f>_xlfn.XLOOKUP(Orders!C582,Customers!$A$2:$A$1001,Customers!$I$2:$I$1001)</f>
        <v>Yes</v>
      </c>
    </row>
    <row r="583" spans="1:16" x14ac:dyDescent="0.3">
      <c r="A583" t="s">
        <v>1141</v>
      </c>
      <c r="B583" s="11">
        <v>44190</v>
      </c>
      <c r="C583" t="s">
        <v>1142</v>
      </c>
      <c r="D583" t="s">
        <v>181</v>
      </c>
      <c r="E583">
        <v>5</v>
      </c>
      <c r="F583" t="str">
        <f>_xlfn.XLOOKUP(C583,Customers!$A$2:$A$1001,Customers!$B$2:$B$1001)</f>
        <v>Carney Clemencet</v>
      </c>
      <c r="G583" t="str">
        <f>_xlfn.XLOOKUP(C583,Customers!$A$2:$A$1001,Customers!$C$2:$C$1001)</f>
        <v>cclemencetg5@weather.com</v>
      </c>
      <c r="H583" t="str">
        <f>_xlfn.XLOOKUP(C583,Customers!$A$2:$A$1001,Customers!$G$2:$G$1001)</f>
        <v>United Kingdom</v>
      </c>
      <c r="I583" t="str" cm="1">
        <f t="array" ref="I583:L583">_xlfn.XLOOKUP(D583,products!$A$2:$A$49,products!$B$2:$E$49)</f>
        <v>Exc</v>
      </c>
      <c r="J583" t="str">
        <v>L</v>
      </c>
      <c r="K583" s="8">
        <v>0.5</v>
      </c>
      <c r="L583" s="6">
        <v>8.91</v>
      </c>
      <c r="M583" s="7">
        <f t="shared" si="27"/>
        <v>44.55</v>
      </c>
      <c r="N583" t="str">
        <f t="shared" si="28"/>
        <v>Excelsa</v>
      </c>
      <c r="O583" t="str">
        <f t="shared" si="29"/>
        <v>Lite</v>
      </c>
      <c r="P583" t="str">
        <f>_xlfn.XLOOKUP(Orders!C583,Customers!$A$2:$A$1001,Customers!$I$2:$I$1001)</f>
        <v>Yes</v>
      </c>
    </row>
    <row r="584" spans="1:16" x14ac:dyDescent="0.3">
      <c r="A584" t="s">
        <v>1143</v>
      </c>
      <c r="B584" s="11">
        <v>44382</v>
      </c>
      <c r="C584" t="s">
        <v>1144</v>
      </c>
      <c r="D584" t="s">
        <v>250</v>
      </c>
      <c r="E584">
        <v>5</v>
      </c>
      <c r="F584" t="str">
        <f>_xlfn.XLOOKUP(C584,Customers!$A$2:$A$1001,Customers!$B$2:$B$1001)</f>
        <v>Russell Donet</v>
      </c>
      <c r="G584" t="str">
        <f>_xlfn.XLOOKUP(C584,Customers!$A$2:$A$1001,Customers!$C$2:$C$1001)</f>
        <v>rdonetg6@oakley.com</v>
      </c>
      <c r="H584" t="str">
        <f>_xlfn.XLOOKUP(C584,Customers!$A$2:$A$1001,Customers!$G$2:$G$1001)</f>
        <v>United States</v>
      </c>
      <c r="I584" t="str" cm="1">
        <f t="array" ref="I584:L584">_xlfn.XLOOKUP(D584,products!$A$2:$A$49,products!$B$2:$E$49)</f>
        <v>Exc</v>
      </c>
      <c r="J584" t="str">
        <v>D</v>
      </c>
      <c r="K584" s="8">
        <v>1</v>
      </c>
      <c r="L584" s="6">
        <v>12.15</v>
      </c>
      <c r="M584" s="7">
        <f t="shared" si="27"/>
        <v>60.75</v>
      </c>
      <c r="N584" t="str">
        <f t="shared" si="28"/>
        <v>Excelsa</v>
      </c>
      <c r="O584" t="str">
        <f t="shared" si="29"/>
        <v>Dark</v>
      </c>
      <c r="P584" t="str">
        <f>_xlfn.XLOOKUP(Orders!C584,Customers!$A$2:$A$1001,Customers!$I$2:$I$1001)</f>
        <v>No</v>
      </c>
    </row>
    <row r="585" spans="1:16" x14ac:dyDescent="0.3">
      <c r="A585" t="s">
        <v>1145</v>
      </c>
      <c r="B585" s="11">
        <v>43538</v>
      </c>
      <c r="C585" t="s">
        <v>1146</v>
      </c>
      <c r="D585" t="s">
        <v>187</v>
      </c>
      <c r="E585">
        <v>1</v>
      </c>
      <c r="F585" t="str">
        <f>_xlfn.XLOOKUP(C585,Customers!$A$2:$A$1001,Customers!$B$2:$B$1001)</f>
        <v>Sidney Gawen</v>
      </c>
      <c r="G585" t="str">
        <f>_xlfn.XLOOKUP(C585,Customers!$A$2:$A$1001,Customers!$C$2:$C$1001)</f>
        <v>sgaweng7@creativecommons.org</v>
      </c>
      <c r="H585" t="str">
        <f>_xlfn.XLOOKUP(C585,Customers!$A$2:$A$1001,Customers!$G$2:$G$1001)</f>
        <v>United States</v>
      </c>
      <c r="I585" t="str" cm="1">
        <f t="array" ref="I585:L585">_xlfn.XLOOKUP(D585,products!$A$2:$A$49,products!$B$2:$E$49)</f>
        <v>Rob</v>
      </c>
      <c r="J585" t="str">
        <v>L</v>
      </c>
      <c r="K585" s="8">
        <v>0.2</v>
      </c>
      <c r="L585" s="6">
        <v>3.5849999999999995</v>
      </c>
      <c r="M585" s="7">
        <f t="shared" si="27"/>
        <v>3.5849999999999995</v>
      </c>
      <c r="N585" t="str">
        <f t="shared" si="28"/>
        <v>Robusta</v>
      </c>
      <c r="O585" t="str">
        <f t="shared" si="29"/>
        <v>Lite</v>
      </c>
      <c r="P585" t="str">
        <f>_xlfn.XLOOKUP(Orders!C585,Customers!$A$2:$A$1001,Customers!$I$2:$I$1001)</f>
        <v>Yes</v>
      </c>
    </row>
    <row r="586" spans="1:16" x14ac:dyDescent="0.3">
      <c r="A586" t="s">
        <v>1147</v>
      </c>
      <c r="B586" s="11">
        <v>44262</v>
      </c>
      <c r="C586" t="s">
        <v>1148</v>
      </c>
      <c r="D586" t="s">
        <v>187</v>
      </c>
      <c r="E586">
        <v>6</v>
      </c>
      <c r="F586" t="str">
        <f>_xlfn.XLOOKUP(C586,Customers!$A$2:$A$1001,Customers!$B$2:$B$1001)</f>
        <v>Rickey Readie</v>
      </c>
      <c r="G586" t="str">
        <f>_xlfn.XLOOKUP(C586,Customers!$A$2:$A$1001,Customers!$C$2:$C$1001)</f>
        <v>rreadieg8@guardian.co.uk</v>
      </c>
      <c r="H586" t="str">
        <f>_xlfn.XLOOKUP(C586,Customers!$A$2:$A$1001,Customers!$G$2:$G$1001)</f>
        <v>United States</v>
      </c>
      <c r="I586" t="str" cm="1">
        <f t="array" ref="I586:L586">_xlfn.XLOOKUP(D586,products!$A$2:$A$49,products!$B$2:$E$49)</f>
        <v>Rob</v>
      </c>
      <c r="J586" t="str">
        <v>L</v>
      </c>
      <c r="K586" s="8">
        <v>0.2</v>
      </c>
      <c r="L586" s="6">
        <v>3.5849999999999995</v>
      </c>
      <c r="M586" s="7">
        <f t="shared" si="27"/>
        <v>21.509999999999998</v>
      </c>
      <c r="N586" t="str">
        <f t="shared" si="28"/>
        <v>Robusta</v>
      </c>
      <c r="O586" t="str">
        <f t="shared" si="29"/>
        <v>Lite</v>
      </c>
      <c r="P586" t="str">
        <f>_xlfn.XLOOKUP(Orders!C586,Customers!$A$2:$A$1001,Customers!$I$2:$I$1001)</f>
        <v>No</v>
      </c>
    </row>
    <row r="587" spans="1:16" x14ac:dyDescent="0.3">
      <c r="A587" t="s">
        <v>1149</v>
      </c>
      <c r="B587" s="11">
        <v>44505</v>
      </c>
      <c r="C587" t="s">
        <v>1150</v>
      </c>
      <c r="D587" t="s">
        <v>8</v>
      </c>
      <c r="E587">
        <v>2</v>
      </c>
      <c r="F587" t="str">
        <f>_xlfn.XLOOKUP(C587,Customers!$A$2:$A$1001,Customers!$B$2:$B$1001)</f>
        <v>Cody Verissimo</v>
      </c>
      <c r="G587" t="str">
        <f>_xlfn.XLOOKUP(C587,Customers!$A$2:$A$1001,Customers!$C$2:$C$1001)</f>
        <v>cverissimogh@theglobeandmail.com</v>
      </c>
      <c r="H587" t="str">
        <f>_xlfn.XLOOKUP(C587,Customers!$A$2:$A$1001,Customers!$G$2:$G$1001)</f>
        <v>United Kingdom</v>
      </c>
      <c r="I587" t="str" cm="1">
        <f t="array" ref="I587:L587">_xlfn.XLOOKUP(D587,products!$A$2:$A$49,products!$B$2:$E$49)</f>
        <v>Exc</v>
      </c>
      <c r="J587" t="str">
        <v>M</v>
      </c>
      <c r="K587" s="8">
        <v>0.5</v>
      </c>
      <c r="L587" s="6">
        <v>8.25</v>
      </c>
      <c r="M587" s="7">
        <f t="shared" si="27"/>
        <v>16.5</v>
      </c>
      <c r="N587" t="str">
        <f t="shared" si="28"/>
        <v>Excelsa</v>
      </c>
      <c r="O587" t="str">
        <f t="shared" si="29"/>
        <v>Medium</v>
      </c>
      <c r="P587" t="str">
        <f>_xlfn.XLOOKUP(Orders!C587,Customers!$A$2:$A$1001,Customers!$I$2:$I$1001)</f>
        <v>Yes</v>
      </c>
    </row>
    <row r="588" spans="1:16" x14ac:dyDescent="0.3">
      <c r="A588" t="s">
        <v>1151</v>
      </c>
      <c r="B588" s="11">
        <v>43867</v>
      </c>
      <c r="C588" t="s">
        <v>1152</v>
      </c>
      <c r="D588" t="s">
        <v>15</v>
      </c>
      <c r="E588">
        <v>3</v>
      </c>
      <c r="F588" t="str">
        <f>_xlfn.XLOOKUP(C588,Customers!$A$2:$A$1001,Customers!$B$2:$B$1001)</f>
        <v>Zilvia Claisse</v>
      </c>
      <c r="G588">
        <f>_xlfn.XLOOKUP(C588,Customers!$A$2:$A$1001,Customers!$C$2:$C$1001)</f>
        <v>0</v>
      </c>
      <c r="H588" t="str">
        <f>_xlfn.XLOOKUP(C588,Customers!$A$2:$A$1001,Customers!$G$2:$G$1001)</f>
        <v>United States</v>
      </c>
      <c r="I588" t="str" cm="1">
        <f t="array" ref="I588:L588">_xlfn.XLOOKUP(D588,products!$A$2:$A$49,products!$B$2:$E$49)</f>
        <v>Rob</v>
      </c>
      <c r="J588" t="str">
        <v>L</v>
      </c>
      <c r="K588" s="8">
        <v>2.5</v>
      </c>
      <c r="L588" s="6">
        <v>27.484999999999996</v>
      </c>
      <c r="M588" s="7">
        <f t="shared" si="27"/>
        <v>82.454999999999984</v>
      </c>
      <c r="N588" t="str">
        <f t="shared" si="28"/>
        <v>Robusta</v>
      </c>
      <c r="O588" t="str">
        <f t="shared" si="29"/>
        <v>Lite</v>
      </c>
      <c r="P588" t="str">
        <f>_xlfn.XLOOKUP(Orders!C588,Customers!$A$2:$A$1001,Customers!$I$2:$I$1001)</f>
        <v>No</v>
      </c>
    </row>
    <row r="589" spans="1:16" x14ac:dyDescent="0.3">
      <c r="A589" t="s">
        <v>1153</v>
      </c>
      <c r="B589" s="11">
        <v>44267</v>
      </c>
      <c r="C589" t="s">
        <v>1154</v>
      </c>
      <c r="D589" t="s">
        <v>128</v>
      </c>
      <c r="E589">
        <v>1</v>
      </c>
      <c r="F589" t="str">
        <f>_xlfn.XLOOKUP(C589,Customers!$A$2:$A$1001,Customers!$B$2:$B$1001)</f>
        <v>Bar O' Mahony</v>
      </c>
      <c r="G589" t="str">
        <f>_xlfn.XLOOKUP(C589,Customers!$A$2:$A$1001,Customers!$C$2:$C$1001)</f>
        <v>bogb@elpais.com</v>
      </c>
      <c r="H589" t="str">
        <f>_xlfn.XLOOKUP(C589,Customers!$A$2:$A$1001,Customers!$G$2:$G$1001)</f>
        <v>United States</v>
      </c>
      <c r="I589" t="str" cm="1">
        <f t="array" ref="I589:L589">_xlfn.XLOOKUP(D589,products!$A$2:$A$49,products!$B$2:$E$49)</f>
        <v>Lib</v>
      </c>
      <c r="J589" t="str">
        <v>D</v>
      </c>
      <c r="K589" s="8">
        <v>0.5</v>
      </c>
      <c r="L589" s="6">
        <v>7.77</v>
      </c>
      <c r="M589" s="7">
        <f t="shared" si="27"/>
        <v>7.77</v>
      </c>
      <c r="N589" t="str">
        <f t="shared" si="28"/>
        <v>Liberica</v>
      </c>
      <c r="O589" t="str">
        <f t="shared" si="29"/>
        <v>Dark</v>
      </c>
      <c r="P589" t="str">
        <f>_xlfn.XLOOKUP(Orders!C589,Customers!$A$2:$A$1001,Customers!$I$2:$I$1001)</f>
        <v>Yes</v>
      </c>
    </row>
    <row r="590" spans="1:16" x14ac:dyDescent="0.3">
      <c r="A590" t="s">
        <v>1155</v>
      </c>
      <c r="B590" s="11">
        <v>44046</v>
      </c>
      <c r="C590" t="s">
        <v>1156</v>
      </c>
      <c r="D590" t="s">
        <v>27</v>
      </c>
      <c r="E590">
        <v>2</v>
      </c>
      <c r="F590" t="str">
        <f>_xlfn.XLOOKUP(C590,Customers!$A$2:$A$1001,Customers!$B$2:$B$1001)</f>
        <v>Valenka Stansbury</v>
      </c>
      <c r="G590" t="str">
        <f>_xlfn.XLOOKUP(C590,Customers!$A$2:$A$1001,Customers!$C$2:$C$1001)</f>
        <v>vstansburygc@unblog.fr</v>
      </c>
      <c r="H590" t="str">
        <f>_xlfn.XLOOKUP(C590,Customers!$A$2:$A$1001,Customers!$G$2:$G$1001)</f>
        <v>United States</v>
      </c>
      <c r="I590" t="str" cm="1">
        <f t="array" ref="I590:L590">_xlfn.XLOOKUP(D590,products!$A$2:$A$49,products!$B$2:$E$49)</f>
        <v>Rob</v>
      </c>
      <c r="J590" t="str">
        <v>M</v>
      </c>
      <c r="K590" s="8">
        <v>0.5</v>
      </c>
      <c r="L590" s="6">
        <v>5.97</v>
      </c>
      <c r="M590" s="7">
        <f t="shared" si="27"/>
        <v>11.94</v>
      </c>
      <c r="N590" t="str">
        <f t="shared" si="28"/>
        <v>Robusta</v>
      </c>
      <c r="O590" t="str">
        <f t="shared" si="29"/>
        <v>Medium</v>
      </c>
      <c r="P590" t="str">
        <f>_xlfn.XLOOKUP(Orders!C590,Customers!$A$2:$A$1001,Customers!$I$2:$I$1001)</f>
        <v>Yes</v>
      </c>
    </row>
    <row r="591" spans="1:16" x14ac:dyDescent="0.3">
      <c r="A591" t="s">
        <v>1157</v>
      </c>
      <c r="B591" s="11">
        <v>43671</v>
      </c>
      <c r="C591" t="s">
        <v>1158</v>
      </c>
      <c r="D591" t="s">
        <v>35</v>
      </c>
      <c r="E591">
        <v>6</v>
      </c>
      <c r="F591" t="str">
        <f>_xlfn.XLOOKUP(C591,Customers!$A$2:$A$1001,Customers!$B$2:$B$1001)</f>
        <v>Daniel Heinonen</v>
      </c>
      <c r="G591" t="str">
        <f>_xlfn.XLOOKUP(C591,Customers!$A$2:$A$1001,Customers!$C$2:$C$1001)</f>
        <v>dheinonengd@printfriendly.com</v>
      </c>
      <c r="H591" t="str">
        <f>_xlfn.XLOOKUP(C591,Customers!$A$2:$A$1001,Customers!$G$2:$G$1001)</f>
        <v>United States</v>
      </c>
      <c r="I591" t="str" cm="1">
        <f t="array" ref="I591:L591">_xlfn.XLOOKUP(D591,products!$A$2:$A$49,products!$B$2:$E$49)</f>
        <v>Exc</v>
      </c>
      <c r="J591" t="str">
        <v>L</v>
      </c>
      <c r="K591" s="8">
        <v>2.5</v>
      </c>
      <c r="L591" s="6">
        <v>34.154999999999994</v>
      </c>
      <c r="M591" s="7">
        <f t="shared" si="27"/>
        <v>204.92999999999995</v>
      </c>
      <c r="N591" t="str">
        <f t="shared" si="28"/>
        <v>Excelsa</v>
      </c>
      <c r="O591" t="str">
        <f t="shared" si="29"/>
        <v>Lite</v>
      </c>
      <c r="P591" t="str">
        <f>_xlfn.XLOOKUP(Orders!C591,Customers!$A$2:$A$1001,Customers!$I$2:$I$1001)</f>
        <v>No</v>
      </c>
    </row>
    <row r="592" spans="1:16" x14ac:dyDescent="0.3">
      <c r="A592" t="s">
        <v>1159</v>
      </c>
      <c r="B592" s="11">
        <v>43950</v>
      </c>
      <c r="C592" t="s">
        <v>1160</v>
      </c>
      <c r="D592" t="s">
        <v>117</v>
      </c>
      <c r="E592">
        <v>2</v>
      </c>
      <c r="F592" t="str">
        <f>_xlfn.XLOOKUP(C592,Customers!$A$2:$A$1001,Customers!$B$2:$B$1001)</f>
        <v>Jewelle Shenton</v>
      </c>
      <c r="G592" t="str">
        <f>_xlfn.XLOOKUP(C592,Customers!$A$2:$A$1001,Customers!$C$2:$C$1001)</f>
        <v>jshentonge@google.com.hk</v>
      </c>
      <c r="H592" t="str">
        <f>_xlfn.XLOOKUP(C592,Customers!$A$2:$A$1001,Customers!$G$2:$G$1001)</f>
        <v>United States</v>
      </c>
      <c r="I592" t="str" cm="1">
        <f t="array" ref="I592:L592">_xlfn.XLOOKUP(D592,products!$A$2:$A$49,products!$B$2:$E$49)</f>
        <v>Exc</v>
      </c>
      <c r="J592" t="str">
        <v>M</v>
      </c>
      <c r="K592" s="8">
        <v>2.5</v>
      </c>
      <c r="L592" s="6">
        <v>31.624999999999996</v>
      </c>
      <c r="M592" s="7">
        <f t="shared" si="27"/>
        <v>63.249999999999993</v>
      </c>
      <c r="N592" t="str">
        <f t="shared" si="28"/>
        <v>Excelsa</v>
      </c>
      <c r="O592" t="str">
        <f t="shared" si="29"/>
        <v>Medium</v>
      </c>
      <c r="P592" t="str">
        <f>_xlfn.XLOOKUP(Orders!C592,Customers!$A$2:$A$1001,Customers!$I$2:$I$1001)</f>
        <v>Yes</v>
      </c>
    </row>
    <row r="593" spans="1:16" x14ac:dyDescent="0.3">
      <c r="A593" t="s">
        <v>1161</v>
      </c>
      <c r="B593" s="11">
        <v>43587</v>
      </c>
      <c r="C593" t="s">
        <v>1162</v>
      </c>
      <c r="D593" t="s">
        <v>106</v>
      </c>
      <c r="E593">
        <v>3</v>
      </c>
      <c r="F593" t="str">
        <f>_xlfn.XLOOKUP(C593,Customers!$A$2:$A$1001,Customers!$B$2:$B$1001)</f>
        <v>Jennifer Wilkisson</v>
      </c>
      <c r="G593" t="str">
        <f>_xlfn.XLOOKUP(C593,Customers!$A$2:$A$1001,Customers!$C$2:$C$1001)</f>
        <v>jwilkissongf@nba.com</v>
      </c>
      <c r="H593" t="str">
        <f>_xlfn.XLOOKUP(C593,Customers!$A$2:$A$1001,Customers!$G$2:$G$1001)</f>
        <v>United States</v>
      </c>
      <c r="I593" t="str" cm="1">
        <f t="array" ref="I593:L593">_xlfn.XLOOKUP(D593,products!$A$2:$A$49,products!$B$2:$E$49)</f>
        <v>Rob</v>
      </c>
      <c r="J593" t="str">
        <v>D</v>
      </c>
      <c r="K593" s="8">
        <v>0.2</v>
      </c>
      <c r="L593" s="6">
        <v>2.6849999999999996</v>
      </c>
      <c r="M593" s="7">
        <f t="shared" si="27"/>
        <v>8.0549999999999997</v>
      </c>
      <c r="N593" t="str">
        <f t="shared" si="28"/>
        <v>Robusta</v>
      </c>
      <c r="O593" t="str">
        <f t="shared" si="29"/>
        <v>Dark</v>
      </c>
      <c r="P593" t="str">
        <f>_xlfn.XLOOKUP(Orders!C593,Customers!$A$2:$A$1001,Customers!$I$2:$I$1001)</f>
        <v>Yes</v>
      </c>
    </row>
    <row r="594" spans="1:16" x14ac:dyDescent="0.3">
      <c r="A594" t="s">
        <v>1163</v>
      </c>
      <c r="B594" s="11">
        <v>44437</v>
      </c>
      <c r="C594" t="s">
        <v>1164</v>
      </c>
      <c r="D594" t="s">
        <v>176</v>
      </c>
      <c r="E594">
        <v>2</v>
      </c>
      <c r="F594" t="str">
        <f>_xlfn.XLOOKUP(C594,Customers!$A$2:$A$1001,Customers!$B$2:$B$1001)</f>
        <v>Kylie Mowat</v>
      </c>
      <c r="G594">
        <f>_xlfn.XLOOKUP(C594,Customers!$A$2:$A$1001,Customers!$C$2:$C$1001)</f>
        <v>0</v>
      </c>
      <c r="H594" t="str">
        <f>_xlfn.XLOOKUP(C594,Customers!$A$2:$A$1001,Customers!$G$2:$G$1001)</f>
        <v>United States</v>
      </c>
      <c r="I594" t="str" cm="1">
        <f t="array" ref="I594:L594">_xlfn.XLOOKUP(D594,products!$A$2:$A$49,products!$B$2:$E$49)</f>
        <v>Ara</v>
      </c>
      <c r="J594" t="str">
        <v>M</v>
      </c>
      <c r="K594" s="8">
        <v>2.5</v>
      </c>
      <c r="L594" s="6">
        <v>25.874999999999996</v>
      </c>
      <c r="M594" s="7">
        <f t="shared" si="27"/>
        <v>51.749999999999993</v>
      </c>
      <c r="N594" t="str">
        <f t="shared" si="28"/>
        <v>Arasbica</v>
      </c>
      <c r="O594" t="str">
        <f t="shared" si="29"/>
        <v>Medium</v>
      </c>
      <c r="P594" t="str">
        <f>_xlfn.XLOOKUP(Orders!C594,Customers!$A$2:$A$1001,Customers!$I$2:$I$1001)</f>
        <v>No</v>
      </c>
    </row>
    <row r="595" spans="1:16" x14ac:dyDescent="0.3">
      <c r="A595" t="s">
        <v>1165</v>
      </c>
      <c r="B595" s="11">
        <v>43903</v>
      </c>
      <c r="C595" t="s">
        <v>1150</v>
      </c>
      <c r="D595" t="s">
        <v>535</v>
      </c>
      <c r="E595">
        <v>1</v>
      </c>
      <c r="F595" t="str">
        <f>_xlfn.XLOOKUP(C595,Customers!$A$2:$A$1001,Customers!$B$2:$B$1001)</f>
        <v>Cody Verissimo</v>
      </c>
      <c r="G595" t="str">
        <f>_xlfn.XLOOKUP(C595,Customers!$A$2:$A$1001,Customers!$C$2:$C$1001)</f>
        <v>cverissimogh@theglobeandmail.com</v>
      </c>
      <c r="H595" t="str">
        <f>_xlfn.XLOOKUP(C595,Customers!$A$2:$A$1001,Customers!$G$2:$G$1001)</f>
        <v>United Kingdom</v>
      </c>
      <c r="I595" t="str" cm="1">
        <f t="array" ref="I595:L595">_xlfn.XLOOKUP(D595,products!$A$2:$A$49,products!$B$2:$E$49)</f>
        <v>Exc</v>
      </c>
      <c r="J595" t="str">
        <v>D</v>
      </c>
      <c r="K595" s="8">
        <v>2.5</v>
      </c>
      <c r="L595" s="6">
        <v>27.945</v>
      </c>
      <c r="M595" s="7">
        <f t="shared" si="27"/>
        <v>27.945</v>
      </c>
      <c r="N595" t="str">
        <f t="shared" si="28"/>
        <v>Excelsa</v>
      </c>
      <c r="O595" t="str">
        <f t="shared" si="29"/>
        <v>Dark</v>
      </c>
      <c r="P595" t="str">
        <f>_xlfn.XLOOKUP(Orders!C595,Customers!$A$2:$A$1001,Customers!$I$2:$I$1001)</f>
        <v>Yes</v>
      </c>
    </row>
    <row r="596" spans="1:16" x14ac:dyDescent="0.3">
      <c r="A596" t="s">
        <v>1166</v>
      </c>
      <c r="B596" s="11">
        <v>43512</v>
      </c>
      <c r="C596" t="s">
        <v>1167</v>
      </c>
      <c r="D596" t="s">
        <v>209</v>
      </c>
      <c r="E596">
        <v>2</v>
      </c>
      <c r="F596" t="str">
        <f>_xlfn.XLOOKUP(C596,Customers!$A$2:$A$1001,Customers!$B$2:$B$1001)</f>
        <v>Gabriel Starcks</v>
      </c>
      <c r="G596" t="str">
        <f>_xlfn.XLOOKUP(C596,Customers!$A$2:$A$1001,Customers!$C$2:$C$1001)</f>
        <v>gstarcksgi@abc.net.au</v>
      </c>
      <c r="H596" t="str">
        <f>_xlfn.XLOOKUP(C596,Customers!$A$2:$A$1001,Customers!$G$2:$G$1001)</f>
        <v>United States</v>
      </c>
      <c r="I596" t="str" cm="1">
        <f t="array" ref="I596:L596">_xlfn.XLOOKUP(D596,products!$A$2:$A$49,products!$B$2:$E$49)</f>
        <v>Ara</v>
      </c>
      <c r="J596" t="str">
        <v>L</v>
      </c>
      <c r="K596" s="8">
        <v>2.5</v>
      </c>
      <c r="L596" s="6">
        <v>29.784999999999997</v>
      </c>
      <c r="M596" s="7">
        <f t="shared" si="27"/>
        <v>59.569999999999993</v>
      </c>
      <c r="N596" t="str">
        <f t="shared" si="28"/>
        <v>Arasbica</v>
      </c>
      <c r="O596" t="str">
        <f t="shared" si="29"/>
        <v>Lite</v>
      </c>
      <c r="P596" t="str">
        <f>_xlfn.XLOOKUP(Orders!C596,Customers!$A$2:$A$1001,Customers!$I$2:$I$1001)</f>
        <v>No</v>
      </c>
    </row>
    <row r="597" spans="1:16" x14ac:dyDescent="0.3">
      <c r="A597" t="s">
        <v>1168</v>
      </c>
      <c r="B597" s="11">
        <v>44527</v>
      </c>
      <c r="C597" t="s">
        <v>1169</v>
      </c>
      <c r="D597" t="s">
        <v>142</v>
      </c>
      <c r="E597">
        <v>1</v>
      </c>
      <c r="F597" t="str">
        <f>_xlfn.XLOOKUP(C597,Customers!$A$2:$A$1001,Customers!$B$2:$B$1001)</f>
        <v>Darby Dummer</v>
      </c>
      <c r="G597">
        <f>_xlfn.XLOOKUP(C597,Customers!$A$2:$A$1001,Customers!$C$2:$C$1001)</f>
        <v>0</v>
      </c>
      <c r="H597" t="str">
        <f>_xlfn.XLOOKUP(C597,Customers!$A$2:$A$1001,Customers!$G$2:$G$1001)</f>
        <v>United Kingdom</v>
      </c>
      <c r="I597" t="str" cm="1">
        <f t="array" ref="I597:L597">_xlfn.XLOOKUP(D597,products!$A$2:$A$49,products!$B$2:$E$49)</f>
        <v>Exc</v>
      </c>
      <c r="J597" t="str">
        <v>L</v>
      </c>
      <c r="K597" s="8">
        <v>1</v>
      </c>
      <c r="L597" s="6">
        <v>14.85</v>
      </c>
      <c r="M597" s="7">
        <f t="shared" si="27"/>
        <v>14.85</v>
      </c>
      <c r="N597" t="str">
        <f t="shared" si="28"/>
        <v>Excelsa</v>
      </c>
      <c r="O597" t="str">
        <f t="shared" si="29"/>
        <v>Lite</v>
      </c>
      <c r="P597" t="str">
        <f>_xlfn.XLOOKUP(Orders!C597,Customers!$A$2:$A$1001,Customers!$I$2:$I$1001)</f>
        <v>No</v>
      </c>
    </row>
    <row r="598" spans="1:16" x14ac:dyDescent="0.3">
      <c r="A598" t="s">
        <v>1170</v>
      </c>
      <c r="B598" s="11">
        <v>44523</v>
      </c>
      <c r="C598" t="s">
        <v>1171</v>
      </c>
      <c r="D598" t="s">
        <v>72</v>
      </c>
      <c r="E598">
        <v>5</v>
      </c>
      <c r="F598" t="str">
        <f>_xlfn.XLOOKUP(C598,Customers!$A$2:$A$1001,Customers!$B$2:$B$1001)</f>
        <v>Kienan Scholard</v>
      </c>
      <c r="G598" t="str">
        <f>_xlfn.XLOOKUP(C598,Customers!$A$2:$A$1001,Customers!$C$2:$C$1001)</f>
        <v>kscholardgk@sbwire.com</v>
      </c>
      <c r="H598" t="str">
        <f>_xlfn.XLOOKUP(C598,Customers!$A$2:$A$1001,Customers!$G$2:$G$1001)</f>
        <v>United States</v>
      </c>
      <c r="I598" t="str" cm="1">
        <f t="array" ref="I598:L598">_xlfn.XLOOKUP(D598,products!$A$2:$A$49,products!$B$2:$E$49)</f>
        <v>Ara</v>
      </c>
      <c r="J598" t="str">
        <v>M</v>
      </c>
      <c r="K598" s="8">
        <v>0.5</v>
      </c>
      <c r="L598" s="6">
        <v>6.75</v>
      </c>
      <c r="M598" s="7">
        <f t="shared" si="27"/>
        <v>33.75</v>
      </c>
      <c r="N598" t="str">
        <f t="shared" si="28"/>
        <v>Arasbica</v>
      </c>
      <c r="O598" t="str">
        <f t="shared" si="29"/>
        <v>Medium</v>
      </c>
      <c r="P598" t="str">
        <f>_xlfn.XLOOKUP(Orders!C598,Customers!$A$2:$A$1001,Customers!$I$2:$I$1001)</f>
        <v>No</v>
      </c>
    </row>
    <row r="599" spans="1:16" x14ac:dyDescent="0.3">
      <c r="A599" t="s">
        <v>1172</v>
      </c>
      <c r="B599" s="11">
        <v>44532</v>
      </c>
      <c r="C599" t="s">
        <v>1173</v>
      </c>
      <c r="D599" t="s">
        <v>109</v>
      </c>
      <c r="E599">
        <v>4</v>
      </c>
      <c r="F599" t="str">
        <f>_xlfn.XLOOKUP(C599,Customers!$A$2:$A$1001,Customers!$B$2:$B$1001)</f>
        <v>Bo Kindley</v>
      </c>
      <c r="G599" t="str">
        <f>_xlfn.XLOOKUP(C599,Customers!$A$2:$A$1001,Customers!$C$2:$C$1001)</f>
        <v>bkindleygl@wikimedia.org</v>
      </c>
      <c r="H599" t="str">
        <f>_xlfn.XLOOKUP(C599,Customers!$A$2:$A$1001,Customers!$G$2:$G$1001)</f>
        <v>United States</v>
      </c>
      <c r="I599" t="str" cm="1">
        <f t="array" ref="I599:L599">_xlfn.XLOOKUP(D599,products!$A$2:$A$49,products!$B$2:$E$49)</f>
        <v>Lib</v>
      </c>
      <c r="J599" t="str">
        <v>L</v>
      </c>
      <c r="K599" s="8">
        <v>2.5</v>
      </c>
      <c r="L599" s="6">
        <v>36.454999999999998</v>
      </c>
      <c r="M599" s="7">
        <f t="shared" si="27"/>
        <v>145.82</v>
      </c>
      <c r="N599" t="str">
        <f t="shared" si="28"/>
        <v>Liberica</v>
      </c>
      <c r="O599" t="str">
        <f t="shared" si="29"/>
        <v>Lite</v>
      </c>
      <c r="P599" t="str">
        <f>_xlfn.XLOOKUP(Orders!C599,Customers!$A$2:$A$1001,Customers!$I$2:$I$1001)</f>
        <v>Yes</v>
      </c>
    </row>
    <row r="600" spans="1:16" x14ac:dyDescent="0.3">
      <c r="A600" t="s">
        <v>1174</v>
      </c>
      <c r="B600" s="11">
        <v>43471</v>
      </c>
      <c r="C600" t="s">
        <v>1175</v>
      </c>
      <c r="D600" t="s">
        <v>167</v>
      </c>
      <c r="E600">
        <v>4</v>
      </c>
      <c r="F600" t="str">
        <f>_xlfn.XLOOKUP(C600,Customers!$A$2:$A$1001,Customers!$B$2:$B$1001)</f>
        <v>Krissie Hammett</v>
      </c>
      <c r="G600" t="str">
        <f>_xlfn.XLOOKUP(C600,Customers!$A$2:$A$1001,Customers!$C$2:$C$1001)</f>
        <v>khammettgm@dmoz.org</v>
      </c>
      <c r="H600" t="str">
        <f>_xlfn.XLOOKUP(C600,Customers!$A$2:$A$1001,Customers!$G$2:$G$1001)</f>
        <v>United States</v>
      </c>
      <c r="I600" t="str" cm="1">
        <f t="array" ref="I600:L600">_xlfn.XLOOKUP(D600,products!$A$2:$A$49,products!$B$2:$E$49)</f>
        <v>Rob</v>
      </c>
      <c r="J600" t="str">
        <v>M</v>
      </c>
      <c r="K600" s="8">
        <v>0.2</v>
      </c>
      <c r="L600" s="6">
        <v>2.9849999999999999</v>
      </c>
      <c r="M600" s="7">
        <f t="shared" si="27"/>
        <v>11.94</v>
      </c>
      <c r="N600" t="str">
        <f t="shared" si="28"/>
        <v>Robusta</v>
      </c>
      <c r="O600" t="str">
        <f t="shared" si="29"/>
        <v>Medium</v>
      </c>
      <c r="P600" t="str">
        <f>_xlfn.XLOOKUP(Orders!C600,Customers!$A$2:$A$1001,Customers!$I$2:$I$1001)</f>
        <v>Yes</v>
      </c>
    </row>
    <row r="601" spans="1:16" x14ac:dyDescent="0.3">
      <c r="A601" t="s">
        <v>1176</v>
      </c>
      <c r="B601" s="11">
        <v>44321</v>
      </c>
      <c r="C601" t="s">
        <v>1177</v>
      </c>
      <c r="D601" t="s">
        <v>59</v>
      </c>
      <c r="E601">
        <v>4</v>
      </c>
      <c r="F601" t="str">
        <f>_xlfn.XLOOKUP(C601,Customers!$A$2:$A$1001,Customers!$B$2:$B$1001)</f>
        <v>Alisha Hulburt</v>
      </c>
      <c r="G601" t="str">
        <f>_xlfn.XLOOKUP(C601,Customers!$A$2:$A$1001,Customers!$C$2:$C$1001)</f>
        <v>ahulburtgn@fda.gov</v>
      </c>
      <c r="H601" t="str">
        <f>_xlfn.XLOOKUP(C601,Customers!$A$2:$A$1001,Customers!$G$2:$G$1001)</f>
        <v>United States</v>
      </c>
      <c r="I601" t="str" cm="1">
        <f t="array" ref="I601:L601">_xlfn.XLOOKUP(D601,products!$A$2:$A$49,products!$B$2:$E$49)</f>
        <v>Ara</v>
      </c>
      <c r="J601" t="str">
        <v>D</v>
      </c>
      <c r="K601" s="8">
        <v>0.2</v>
      </c>
      <c r="L601" s="6">
        <v>2.9849999999999999</v>
      </c>
      <c r="M601" s="7">
        <f t="shared" si="27"/>
        <v>11.94</v>
      </c>
      <c r="N601" t="str">
        <f t="shared" si="28"/>
        <v>Arasbica</v>
      </c>
      <c r="O601" t="str">
        <f t="shared" si="29"/>
        <v>Dark</v>
      </c>
      <c r="P601" t="str">
        <f>_xlfn.XLOOKUP(Orders!C601,Customers!$A$2:$A$1001,Customers!$I$2:$I$1001)</f>
        <v>Yes</v>
      </c>
    </row>
    <row r="602" spans="1:16" x14ac:dyDescent="0.3">
      <c r="A602" t="s">
        <v>1178</v>
      </c>
      <c r="B602" s="11">
        <v>44492</v>
      </c>
      <c r="C602" t="s">
        <v>1179</v>
      </c>
      <c r="D602" t="s">
        <v>128</v>
      </c>
      <c r="E602">
        <v>1</v>
      </c>
      <c r="F602" t="str">
        <f>_xlfn.XLOOKUP(C602,Customers!$A$2:$A$1001,Customers!$B$2:$B$1001)</f>
        <v>Peyter Lauritzen</v>
      </c>
      <c r="G602" t="str">
        <f>_xlfn.XLOOKUP(C602,Customers!$A$2:$A$1001,Customers!$C$2:$C$1001)</f>
        <v>plauritzengo@photobucket.com</v>
      </c>
      <c r="H602" t="str">
        <f>_xlfn.XLOOKUP(C602,Customers!$A$2:$A$1001,Customers!$G$2:$G$1001)</f>
        <v>United States</v>
      </c>
      <c r="I602" t="str" cm="1">
        <f t="array" ref="I602:L602">_xlfn.XLOOKUP(D602,products!$A$2:$A$49,products!$B$2:$E$49)</f>
        <v>Lib</v>
      </c>
      <c r="J602" t="str">
        <v>D</v>
      </c>
      <c r="K602" s="8">
        <v>0.5</v>
      </c>
      <c r="L602" s="6">
        <v>7.77</v>
      </c>
      <c r="M602" s="7">
        <f t="shared" si="27"/>
        <v>7.77</v>
      </c>
      <c r="N602" t="str">
        <f t="shared" si="28"/>
        <v>Liberica</v>
      </c>
      <c r="O602" t="str">
        <f t="shared" si="29"/>
        <v>Dark</v>
      </c>
      <c r="P602" t="str">
        <f>_xlfn.XLOOKUP(Orders!C602,Customers!$A$2:$A$1001,Customers!$I$2:$I$1001)</f>
        <v>No</v>
      </c>
    </row>
    <row r="603" spans="1:16" x14ac:dyDescent="0.3">
      <c r="A603" t="s">
        <v>1180</v>
      </c>
      <c r="B603" s="11">
        <v>43815</v>
      </c>
      <c r="C603" t="s">
        <v>1181</v>
      </c>
      <c r="D603" t="s">
        <v>15</v>
      </c>
      <c r="E603">
        <v>4</v>
      </c>
      <c r="F603" t="str">
        <f>_xlfn.XLOOKUP(C603,Customers!$A$2:$A$1001,Customers!$B$2:$B$1001)</f>
        <v>Aurelia Burgwin</v>
      </c>
      <c r="G603" t="str">
        <f>_xlfn.XLOOKUP(C603,Customers!$A$2:$A$1001,Customers!$C$2:$C$1001)</f>
        <v>aburgwingp@redcross.org</v>
      </c>
      <c r="H603" t="str">
        <f>_xlfn.XLOOKUP(C603,Customers!$A$2:$A$1001,Customers!$G$2:$G$1001)</f>
        <v>United States</v>
      </c>
      <c r="I603" t="str" cm="1">
        <f t="array" ref="I603:L603">_xlfn.XLOOKUP(D603,products!$A$2:$A$49,products!$B$2:$E$49)</f>
        <v>Rob</v>
      </c>
      <c r="J603" t="str">
        <v>L</v>
      </c>
      <c r="K603" s="8">
        <v>2.5</v>
      </c>
      <c r="L603" s="6">
        <v>27.484999999999996</v>
      </c>
      <c r="M603" s="7">
        <f t="shared" si="27"/>
        <v>109.93999999999998</v>
      </c>
      <c r="N603" t="str">
        <f t="shared" si="28"/>
        <v>Robusta</v>
      </c>
      <c r="O603" t="str">
        <f t="shared" si="29"/>
        <v>Lite</v>
      </c>
      <c r="P603" t="str">
        <f>_xlfn.XLOOKUP(Orders!C603,Customers!$A$2:$A$1001,Customers!$I$2:$I$1001)</f>
        <v>Yes</v>
      </c>
    </row>
    <row r="604" spans="1:16" x14ac:dyDescent="0.3">
      <c r="A604" t="s">
        <v>1182</v>
      </c>
      <c r="B604" s="11">
        <v>43603</v>
      </c>
      <c r="C604" t="s">
        <v>1183</v>
      </c>
      <c r="D604" t="s">
        <v>259</v>
      </c>
      <c r="E604">
        <v>5</v>
      </c>
      <c r="F604" t="str">
        <f>_xlfn.XLOOKUP(C604,Customers!$A$2:$A$1001,Customers!$B$2:$B$1001)</f>
        <v>Emalee Rolin</v>
      </c>
      <c r="G604" t="str">
        <f>_xlfn.XLOOKUP(C604,Customers!$A$2:$A$1001,Customers!$C$2:$C$1001)</f>
        <v>erolingq@google.fr</v>
      </c>
      <c r="H604" t="str">
        <f>_xlfn.XLOOKUP(C604,Customers!$A$2:$A$1001,Customers!$G$2:$G$1001)</f>
        <v>United States</v>
      </c>
      <c r="I604" t="str" cm="1">
        <f t="array" ref="I604:L604">_xlfn.XLOOKUP(D604,products!$A$2:$A$49,products!$B$2:$E$49)</f>
        <v>Exc</v>
      </c>
      <c r="J604" t="str">
        <v>L</v>
      </c>
      <c r="K604" s="8">
        <v>0.2</v>
      </c>
      <c r="L604" s="6">
        <v>4.4550000000000001</v>
      </c>
      <c r="M604" s="7">
        <f t="shared" si="27"/>
        <v>22.274999999999999</v>
      </c>
      <c r="N604" t="str">
        <f t="shared" si="28"/>
        <v>Excelsa</v>
      </c>
      <c r="O604" t="str">
        <f t="shared" si="29"/>
        <v>Lite</v>
      </c>
      <c r="P604" t="str">
        <f>_xlfn.XLOOKUP(Orders!C604,Customers!$A$2:$A$1001,Customers!$I$2:$I$1001)</f>
        <v>Yes</v>
      </c>
    </row>
    <row r="605" spans="1:16" x14ac:dyDescent="0.3">
      <c r="A605" t="s">
        <v>1184</v>
      </c>
      <c r="B605" s="11">
        <v>43660</v>
      </c>
      <c r="C605" t="s">
        <v>1185</v>
      </c>
      <c r="D605" t="s">
        <v>167</v>
      </c>
      <c r="E605">
        <v>3</v>
      </c>
      <c r="F605" t="str">
        <f>_xlfn.XLOOKUP(C605,Customers!$A$2:$A$1001,Customers!$B$2:$B$1001)</f>
        <v>Donavon Fowle</v>
      </c>
      <c r="G605" t="str">
        <f>_xlfn.XLOOKUP(C605,Customers!$A$2:$A$1001,Customers!$C$2:$C$1001)</f>
        <v>dfowlegr@epa.gov</v>
      </c>
      <c r="H605" t="str">
        <f>_xlfn.XLOOKUP(C605,Customers!$A$2:$A$1001,Customers!$G$2:$G$1001)</f>
        <v>United States</v>
      </c>
      <c r="I605" t="str" cm="1">
        <f t="array" ref="I605:L605">_xlfn.XLOOKUP(D605,products!$A$2:$A$49,products!$B$2:$E$49)</f>
        <v>Rob</v>
      </c>
      <c r="J605" t="str">
        <v>M</v>
      </c>
      <c r="K605" s="8">
        <v>0.2</v>
      </c>
      <c r="L605" s="6">
        <v>2.9849999999999999</v>
      </c>
      <c r="M605" s="7">
        <f t="shared" si="27"/>
        <v>8.9550000000000001</v>
      </c>
      <c r="N605" t="str">
        <f t="shared" si="28"/>
        <v>Robusta</v>
      </c>
      <c r="O605" t="str">
        <f t="shared" si="29"/>
        <v>Medium</v>
      </c>
      <c r="P605" t="str">
        <f>_xlfn.XLOOKUP(Orders!C605,Customers!$A$2:$A$1001,Customers!$I$2:$I$1001)</f>
        <v>No</v>
      </c>
    </row>
    <row r="606" spans="1:16" x14ac:dyDescent="0.3">
      <c r="A606" t="s">
        <v>1186</v>
      </c>
      <c r="B606" s="11">
        <v>44148</v>
      </c>
      <c r="C606" t="s">
        <v>1187</v>
      </c>
      <c r="D606" t="s">
        <v>114</v>
      </c>
      <c r="E606">
        <v>4</v>
      </c>
      <c r="F606" t="str">
        <f>_xlfn.XLOOKUP(C606,Customers!$A$2:$A$1001,Customers!$B$2:$B$1001)</f>
        <v>Jorge Bettison</v>
      </c>
      <c r="G606">
        <f>_xlfn.XLOOKUP(C606,Customers!$A$2:$A$1001,Customers!$C$2:$C$1001)</f>
        <v>0</v>
      </c>
      <c r="H606" t="str">
        <f>_xlfn.XLOOKUP(C606,Customers!$A$2:$A$1001,Customers!$G$2:$G$1001)</f>
        <v>Ireland</v>
      </c>
      <c r="I606" t="str" cm="1">
        <f t="array" ref="I606:L606">_xlfn.XLOOKUP(D606,products!$A$2:$A$49,products!$B$2:$E$49)</f>
        <v>Lib</v>
      </c>
      <c r="J606" t="str">
        <v>D</v>
      </c>
      <c r="K606" s="8">
        <v>2.5</v>
      </c>
      <c r="L606" s="6">
        <v>29.784999999999997</v>
      </c>
      <c r="M606" s="7">
        <f t="shared" si="27"/>
        <v>119.13999999999999</v>
      </c>
      <c r="N606" t="str">
        <f t="shared" si="28"/>
        <v>Liberica</v>
      </c>
      <c r="O606" t="str">
        <f t="shared" si="29"/>
        <v>Dark</v>
      </c>
      <c r="P606" t="str">
        <f>_xlfn.XLOOKUP(Orders!C606,Customers!$A$2:$A$1001,Customers!$I$2:$I$1001)</f>
        <v>No</v>
      </c>
    </row>
    <row r="607" spans="1:16" x14ac:dyDescent="0.3">
      <c r="A607" t="s">
        <v>1188</v>
      </c>
      <c r="B607" s="11">
        <v>44028</v>
      </c>
      <c r="C607" t="s">
        <v>1189</v>
      </c>
      <c r="D607" t="s">
        <v>209</v>
      </c>
      <c r="E607">
        <v>5</v>
      </c>
      <c r="F607" t="str">
        <f>_xlfn.XLOOKUP(C607,Customers!$A$2:$A$1001,Customers!$B$2:$B$1001)</f>
        <v>Wang Powlesland</v>
      </c>
      <c r="G607" t="str">
        <f>_xlfn.XLOOKUP(C607,Customers!$A$2:$A$1001,Customers!$C$2:$C$1001)</f>
        <v>wpowleslandgt@soundcloud.com</v>
      </c>
      <c r="H607" t="str">
        <f>_xlfn.XLOOKUP(C607,Customers!$A$2:$A$1001,Customers!$G$2:$G$1001)</f>
        <v>United States</v>
      </c>
      <c r="I607" t="str" cm="1">
        <f t="array" ref="I607:L607">_xlfn.XLOOKUP(D607,products!$A$2:$A$49,products!$B$2:$E$49)</f>
        <v>Ara</v>
      </c>
      <c r="J607" t="str">
        <v>L</v>
      </c>
      <c r="K607" s="8">
        <v>2.5</v>
      </c>
      <c r="L607" s="6">
        <v>29.784999999999997</v>
      </c>
      <c r="M607" s="7">
        <f t="shared" si="27"/>
        <v>148.92499999999998</v>
      </c>
      <c r="N607" t="str">
        <f t="shared" si="28"/>
        <v>Arasbica</v>
      </c>
      <c r="O607" t="str">
        <f t="shared" si="29"/>
        <v>Lite</v>
      </c>
      <c r="P607" t="str">
        <f>_xlfn.XLOOKUP(Orders!C607,Customers!$A$2:$A$1001,Customers!$I$2:$I$1001)</f>
        <v>Yes</v>
      </c>
    </row>
    <row r="608" spans="1:16" x14ac:dyDescent="0.3">
      <c r="A608" t="s">
        <v>1190</v>
      </c>
      <c r="B608" s="11">
        <v>44138</v>
      </c>
      <c r="C608" t="s">
        <v>1150</v>
      </c>
      <c r="D608" t="s">
        <v>109</v>
      </c>
      <c r="E608">
        <v>3</v>
      </c>
      <c r="F608" t="str">
        <f>_xlfn.XLOOKUP(C608,Customers!$A$2:$A$1001,Customers!$B$2:$B$1001)</f>
        <v>Cody Verissimo</v>
      </c>
      <c r="G608" t="str">
        <f>_xlfn.XLOOKUP(C608,Customers!$A$2:$A$1001,Customers!$C$2:$C$1001)</f>
        <v>cverissimogh@theglobeandmail.com</v>
      </c>
      <c r="H608" t="str">
        <f>_xlfn.XLOOKUP(C608,Customers!$A$2:$A$1001,Customers!$G$2:$G$1001)</f>
        <v>United Kingdom</v>
      </c>
      <c r="I608" t="str" cm="1">
        <f t="array" ref="I608:L608">_xlfn.XLOOKUP(D608,products!$A$2:$A$49,products!$B$2:$E$49)</f>
        <v>Lib</v>
      </c>
      <c r="J608" t="str">
        <v>L</v>
      </c>
      <c r="K608" s="8">
        <v>2.5</v>
      </c>
      <c r="L608" s="6">
        <v>36.454999999999998</v>
      </c>
      <c r="M608" s="7">
        <f t="shared" si="27"/>
        <v>109.36499999999999</v>
      </c>
      <c r="N608" t="str">
        <f t="shared" si="28"/>
        <v>Liberica</v>
      </c>
      <c r="O608" t="str">
        <f t="shared" si="29"/>
        <v>Lite</v>
      </c>
      <c r="P608" t="str">
        <f>_xlfn.XLOOKUP(Orders!C608,Customers!$A$2:$A$1001,Customers!$I$2:$I$1001)</f>
        <v>Yes</v>
      </c>
    </row>
    <row r="609" spans="1:16" x14ac:dyDescent="0.3">
      <c r="A609" t="s">
        <v>1191</v>
      </c>
      <c r="B609" s="11">
        <v>44640</v>
      </c>
      <c r="C609" t="s">
        <v>1192</v>
      </c>
      <c r="D609" t="s">
        <v>56</v>
      </c>
      <c r="E609">
        <v>1</v>
      </c>
      <c r="F609" t="str">
        <f>_xlfn.XLOOKUP(C609,Customers!$A$2:$A$1001,Customers!$B$2:$B$1001)</f>
        <v>Laurence Ellingham</v>
      </c>
      <c r="G609" t="str">
        <f>_xlfn.XLOOKUP(C609,Customers!$A$2:$A$1001,Customers!$C$2:$C$1001)</f>
        <v>lellinghamgv@sciencedaily.com</v>
      </c>
      <c r="H609" t="str">
        <f>_xlfn.XLOOKUP(C609,Customers!$A$2:$A$1001,Customers!$G$2:$G$1001)</f>
        <v>United States</v>
      </c>
      <c r="I609" t="str" cm="1">
        <f t="array" ref="I609:L609">_xlfn.XLOOKUP(D609,products!$A$2:$A$49,products!$B$2:$E$49)</f>
        <v>Exc</v>
      </c>
      <c r="J609" t="str">
        <v>D</v>
      </c>
      <c r="K609" s="8">
        <v>0.2</v>
      </c>
      <c r="L609" s="6">
        <v>3.645</v>
      </c>
      <c r="M609" s="7">
        <f t="shared" si="27"/>
        <v>3.645</v>
      </c>
      <c r="N609" t="str">
        <f t="shared" si="28"/>
        <v>Excelsa</v>
      </c>
      <c r="O609" t="str">
        <f t="shared" si="29"/>
        <v>Dark</v>
      </c>
      <c r="P609" t="str">
        <f>_xlfn.XLOOKUP(Orders!C609,Customers!$A$2:$A$1001,Customers!$I$2:$I$1001)</f>
        <v>Yes</v>
      </c>
    </row>
    <row r="610" spans="1:16" x14ac:dyDescent="0.3">
      <c r="A610" t="s">
        <v>1193</v>
      </c>
      <c r="B610" s="11">
        <v>44608</v>
      </c>
      <c r="C610" t="s">
        <v>1194</v>
      </c>
      <c r="D610" t="s">
        <v>535</v>
      </c>
      <c r="E610">
        <v>2</v>
      </c>
      <c r="F610" t="str">
        <f>_xlfn.XLOOKUP(C610,Customers!$A$2:$A$1001,Customers!$B$2:$B$1001)</f>
        <v>Billy Neiland</v>
      </c>
      <c r="G610">
        <f>_xlfn.XLOOKUP(C610,Customers!$A$2:$A$1001,Customers!$C$2:$C$1001)</f>
        <v>0</v>
      </c>
      <c r="H610" t="str">
        <f>_xlfn.XLOOKUP(C610,Customers!$A$2:$A$1001,Customers!$G$2:$G$1001)</f>
        <v>United States</v>
      </c>
      <c r="I610" t="str" cm="1">
        <f t="array" ref="I610:L610">_xlfn.XLOOKUP(D610,products!$A$2:$A$49,products!$B$2:$E$49)</f>
        <v>Exc</v>
      </c>
      <c r="J610" t="str">
        <v>D</v>
      </c>
      <c r="K610" s="8">
        <v>2.5</v>
      </c>
      <c r="L610" s="6">
        <v>27.945</v>
      </c>
      <c r="M610" s="7">
        <f t="shared" si="27"/>
        <v>55.89</v>
      </c>
      <c r="N610" t="str">
        <f t="shared" si="28"/>
        <v>Excelsa</v>
      </c>
      <c r="O610" t="str">
        <f t="shared" si="29"/>
        <v>Dark</v>
      </c>
      <c r="P610" t="str">
        <f>_xlfn.XLOOKUP(Orders!C610,Customers!$A$2:$A$1001,Customers!$I$2:$I$1001)</f>
        <v>No</v>
      </c>
    </row>
    <row r="611" spans="1:16" x14ac:dyDescent="0.3">
      <c r="A611" t="s">
        <v>1195</v>
      </c>
      <c r="B611" s="11">
        <v>44147</v>
      </c>
      <c r="C611" t="s">
        <v>1196</v>
      </c>
      <c r="D611" t="s">
        <v>82</v>
      </c>
      <c r="E611">
        <v>6</v>
      </c>
      <c r="F611" t="str">
        <f>_xlfn.XLOOKUP(C611,Customers!$A$2:$A$1001,Customers!$B$2:$B$1001)</f>
        <v>Ancell Fendt</v>
      </c>
      <c r="G611" t="str">
        <f>_xlfn.XLOOKUP(C611,Customers!$A$2:$A$1001,Customers!$C$2:$C$1001)</f>
        <v>afendtgx@forbes.com</v>
      </c>
      <c r="H611" t="str">
        <f>_xlfn.XLOOKUP(C611,Customers!$A$2:$A$1001,Customers!$G$2:$G$1001)</f>
        <v>United States</v>
      </c>
      <c r="I611" t="str" cm="1">
        <f t="array" ref="I611:L611">_xlfn.XLOOKUP(D611,products!$A$2:$A$49,products!$B$2:$E$49)</f>
        <v>Lib</v>
      </c>
      <c r="J611" t="str">
        <v>M</v>
      </c>
      <c r="K611" s="8">
        <v>0.2</v>
      </c>
      <c r="L611" s="6">
        <v>4.3650000000000002</v>
      </c>
      <c r="M611" s="7">
        <f t="shared" si="27"/>
        <v>26.19</v>
      </c>
      <c r="N611" t="str">
        <f t="shared" si="28"/>
        <v>Liberica</v>
      </c>
      <c r="O611" t="str">
        <f t="shared" si="29"/>
        <v>Medium</v>
      </c>
      <c r="P611" t="str">
        <f>_xlfn.XLOOKUP(Orders!C611,Customers!$A$2:$A$1001,Customers!$I$2:$I$1001)</f>
        <v>Yes</v>
      </c>
    </row>
    <row r="612" spans="1:16" x14ac:dyDescent="0.3">
      <c r="A612" t="s">
        <v>1197</v>
      </c>
      <c r="B612" s="11">
        <v>43743</v>
      </c>
      <c r="C612" t="s">
        <v>1198</v>
      </c>
      <c r="D612" t="s">
        <v>7</v>
      </c>
      <c r="E612">
        <v>4</v>
      </c>
      <c r="F612" t="str">
        <f>_xlfn.XLOOKUP(C612,Customers!$A$2:$A$1001,Customers!$B$2:$B$1001)</f>
        <v>Angelia Cleyburn</v>
      </c>
      <c r="G612" t="str">
        <f>_xlfn.XLOOKUP(C612,Customers!$A$2:$A$1001,Customers!$C$2:$C$1001)</f>
        <v>acleyburngy@lycos.com</v>
      </c>
      <c r="H612" t="str">
        <f>_xlfn.XLOOKUP(C612,Customers!$A$2:$A$1001,Customers!$G$2:$G$1001)</f>
        <v>United States</v>
      </c>
      <c r="I612" t="str" cm="1">
        <f t="array" ref="I612:L612">_xlfn.XLOOKUP(D612,products!$A$2:$A$49,products!$B$2:$E$49)</f>
        <v>Rob</v>
      </c>
      <c r="J612" t="str">
        <v>M</v>
      </c>
      <c r="K612" s="8">
        <v>1</v>
      </c>
      <c r="L612" s="6">
        <v>9.9499999999999993</v>
      </c>
      <c r="M612" s="7">
        <f t="shared" si="27"/>
        <v>39.799999999999997</v>
      </c>
      <c r="N612" t="str">
        <f t="shared" si="28"/>
        <v>Robusta</v>
      </c>
      <c r="O612" t="str">
        <f t="shared" si="29"/>
        <v>Medium</v>
      </c>
      <c r="P612" t="str">
        <f>_xlfn.XLOOKUP(Orders!C612,Customers!$A$2:$A$1001,Customers!$I$2:$I$1001)</f>
        <v>No</v>
      </c>
    </row>
    <row r="613" spans="1:16" x14ac:dyDescent="0.3">
      <c r="A613" t="s">
        <v>1199</v>
      </c>
      <c r="B613" s="11">
        <v>43739</v>
      </c>
      <c r="C613" t="s">
        <v>1200</v>
      </c>
      <c r="D613" t="s">
        <v>35</v>
      </c>
      <c r="E613">
        <v>2</v>
      </c>
      <c r="F613" t="str">
        <f>_xlfn.XLOOKUP(C613,Customers!$A$2:$A$1001,Customers!$B$2:$B$1001)</f>
        <v>Temple Castiglione</v>
      </c>
      <c r="G613" t="str">
        <f>_xlfn.XLOOKUP(C613,Customers!$A$2:$A$1001,Customers!$C$2:$C$1001)</f>
        <v>tcastiglionegz@xing.com</v>
      </c>
      <c r="H613" t="str">
        <f>_xlfn.XLOOKUP(C613,Customers!$A$2:$A$1001,Customers!$G$2:$G$1001)</f>
        <v>United States</v>
      </c>
      <c r="I613" t="str" cm="1">
        <f t="array" ref="I613:L613">_xlfn.XLOOKUP(D613,products!$A$2:$A$49,products!$B$2:$E$49)</f>
        <v>Exc</v>
      </c>
      <c r="J613" t="str">
        <v>L</v>
      </c>
      <c r="K613" s="8">
        <v>2.5</v>
      </c>
      <c r="L613" s="6">
        <v>34.154999999999994</v>
      </c>
      <c r="M613" s="7">
        <f t="shared" si="27"/>
        <v>68.309999999999988</v>
      </c>
      <c r="N613" t="str">
        <f t="shared" si="28"/>
        <v>Excelsa</v>
      </c>
      <c r="O613" t="str">
        <f t="shared" si="29"/>
        <v>Lite</v>
      </c>
      <c r="P613" t="str">
        <f>_xlfn.XLOOKUP(Orders!C613,Customers!$A$2:$A$1001,Customers!$I$2:$I$1001)</f>
        <v>No</v>
      </c>
    </row>
    <row r="614" spans="1:16" x14ac:dyDescent="0.3">
      <c r="A614" t="s">
        <v>1201</v>
      </c>
      <c r="B614" s="11">
        <v>43896</v>
      </c>
      <c r="C614" t="s">
        <v>1202</v>
      </c>
      <c r="D614" t="s">
        <v>49</v>
      </c>
      <c r="E614">
        <v>4</v>
      </c>
      <c r="F614" t="str">
        <f>_xlfn.XLOOKUP(C614,Customers!$A$2:$A$1001,Customers!$B$2:$B$1001)</f>
        <v>Betti Lacasa</v>
      </c>
      <c r="G614">
        <f>_xlfn.XLOOKUP(C614,Customers!$A$2:$A$1001,Customers!$C$2:$C$1001)</f>
        <v>0</v>
      </c>
      <c r="H614" t="str">
        <f>_xlfn.XLOOKUP(C614,Customers!$A$2:$A$1001,Customers!$G$2:$G$1001)</f>
        <v>Ireland</v>
      </c>
      <c r="I614" t="str" cm="1">
        <f t="array" ref="I614:L614">_xlfn.XLOOKUP(D614,products!$A$2:$A$49,products!$B$2:$E$49)</f>
        <v>Ara</v>
      </c>
      <c r="J614" t="str">
        <v>M</v>
      </c>
      <c r="K614" s="8">
        <v>0.2</v>
      </c>
      <c r="L614" s="6">
        <v>3.375</v>
      </c>
      <c r="M614" s="7">
        <f t="shared" si="27"/>
        <v>13.5</v>
      </c>
      <c r="N614" t="str">
        <f t="shared" si="28"/>
        <v>Arasbica</v>
      </c>
      <c r="O614" t="str">
        <f t="shared" si="29"/>
        <v>Medium</v>
      </c>
      <c r="P614" t="str">
        <f>_xlfn.XLOOKUP(Orders!C614,Customers!$A$2:$A$1001,Customers!$I$2:$I$1001)</f>
        <v>No</v>
      </c>
    </row>
    <row r="615" spans="1:16" x14ac:dyDescent="0.3">
      <c r="A615" t="s">
        <v>1203</v>
      </c>
      <c r="B615" s="11">
        <v>43761</v>
      </c>
      <c r="C615" t="s">
        <v>1204</v>
      </c>
      <c r="D615" t="s">
        <v>27</v>
      </c>
      <c r="E615">
        <v>1</v>
      </c>
      <c r="F615" t="str">
        <f>_xlfn.XLOOKUP(C615,Customers!$A$2:$A$1001,Customers!$B$2:$B$1001)</f>
        <v>Gunilla Lynch</v>
      </c>
      <c r="G615">
        <f>_xlfn.XLOOKUP(C615,Customers!$A$2:$A$1001,Customers!$C$2:$C$1001)</f>
        <v>0</v>
      </c>
      <c r="H615" t="str">
        <f>_xlfn.XLOOKUP(C615,Customers!$A$2:$A$1001,Customers!$G$2:$G$1001)</f>
        <v>United States</v>
      </c>
      <c r="I615" t="str" cm="1">
        <f t="array" ref="I615:L615">_xlfn.XLOOKUP(D615,products!$A$2:$A$49,products!$B$2:$E$49)</f>
        <v>Rob</v>
      </c>
      <c r="J615" t="str">
        <v>M</v>
      </c>
      <c r="K615" s="8">
        <v>0.5</v>
      </c>
      <c r="L615" s="6">
        <v>5.97</v>
      </c>
      <c r="M615" s="7">
        <f t="shared" si="27"/>
        <v>5.97</v>
      </c>
      <c r="N615" t="str">
        <f t="shared" si="28"/>
        <v>Robusta</v>
      </c>
      <c r="O615" t="str">
        <f t="shared" si="29"/>
        <v>Medium</v>
      </c>
      <c r="P615" t="str">
        <f>_xlfn.XLOOKUP(Orders!C615,Customers!$A$2:$A$1001,Customers!$I$2:$I$1001)</f>
        <v>No</v>
      </c>
    </row>
    <row r="616" spans="1:16" x14ac:dyDescent="0.3">
      <c r="A616" t="s">
        <v>1205</v>
      </c>
      <c r="B616" s="11">
        <v>43944</v>
      </c>
      <c r="C616" t="s">
        <v>1150</v>
      </c>
      <c r="D616" t="s">
        <v>27</v>
      </c>
      <c r="E616">
        <v>5</v>
      </c>
      <c r="F616" t="str">
        <f>_xlfn.XLOOKUP(C616,Customers!$A$2:$A$1001,Customers!$B$2:$B$1001)</f>
        <v>Cody Verissimo</v>
      </c>
      <c r="G616" t="str">
        <f>_xlfn.XLOOKUP(C616,Customers!$A$2:$A$1001,Customers!$C$2:$C$1001)</f>
        <v>cverissimogh@theglobeandmail.com</v>
      </c>
      <c r="H616" t="str">
        <f>_xlfn.XLOOKUP(C616,Customers!$A$2:$A$1001,Customers!$G$2:$G$1001)</f>
        <v>United Kingdom</v>
      </c>
      <c r="I616" t="str" cm="1">
        <f t="array" ref="I616:L616">_xlfn.XLOOKUP(D616,products!$A$2:$A$49,products!$B$2:$E$49)</f>
        <v>Rob</v>
      </c>
      <c r="J616" t="str">
        <v>M</v>
      </c>
      <c r="K616" s="8">
        <v>0.5</v>
      </c>
      <c r="L616" s="6">
        <v>5.97</v>
      </c>
      <c r="M616" s="7">
        <f t="shared" si="27"/>
        <v>29.849999999999998</v>
      </c>
      <c r="N616" t="str">
        <f t="shared" si="28"/>
        <v>Robusta</v>
      </c>
      <c r="O616" t="str">
        <f t="shared" si="29"/>
        <v>Medium</v>
      </c>
      <c r="P616" t="str">
        <f>_xlfn.XLOOKUP(Orders!C616,Customers!$A$2:$A$1001,Customers!$I$2:$I$1001)</f>
        <v>Yes</v>
      </c>
    </row>
    <row r="617" spans="1:16" x14ac:dyDescent="0.3">
      <c r="A617" t="s">
        <v>1206</v>
      </c>
      <c r="B617" s="11">
        <v>44006</v>
      </c>
      <c r="C617" t="s">
        <v>1207</v>
      </c>
      <c r="D617" t="s">
        <v>109</v>
      </c>
      <c r="E617">
        <v>2</v>
      </c>
      <c r="F617" t="str">
        <f>_xlfn.XLOOKUP(C617,Customers!$A$2:$A$1001,Customers!$B$2:$B$1001)</f>
        <v>Shay Couronne</v>
      </c>
      <c r="G617" t="str">
        <f>_xlfn.XLOOKUP(C617,Customers!$A$2:$A$1001,Customers!$C$2:$C$1001)</f>
        <v>scouronneh3@mozilla.org</v>
      </c>
      <c r="H617" t="str">
        <f>_xlfn.XLOOKUP(C617,Customers!$A$2:$A$1001,Customers!$G$2:$G$1001)</f>
        <v>United States</v>
      </c>
      <c r="I617" t="str" cm="1">
        <f t="array" ref="I617:L617">_xlfn.XLOOKUP(D617,products!$A$2:$A$49,products!$B$2:$E$49)</f>
        <v>Lib</v>
      </c>
      <c r="J617" t="str">
        <v>L</v>
      </c>
      <c r="K617" s="8">
        <v>2.5</v>
      </c>
      <c r="L617" s="6">
        <v>36.454999999999998</v>
      </c>
      <c r="M617" s="7">
        <f t="shared" si="27"/>
        <v>72.91</v>
      </c>
      <c r="N617" t="str">
        <f t="shared" si="28"/>
        <v>Liberica</v>
      </c>
      <c r="O617" t="str">
        <f t="shared" si="29"/>
        <v>Lite</v>
      </c>
      <c r="P617" t="str">
        <f>_xlfn.XLOOKUP(Orders!C617,Customers!$A$2:$A$1001,Customers!$I$2:$I$1001)</f>
        <v>Yes</v>
      </c>
    </row>
    <row r="618" spans="1:16" x14ac:dyDescent="0.3">
      <c r="A618" t="s">
        <v>1208</v>
      </c>
      <c r="B618" s="11">
        <v>44271</v>
      </c>
      <c r="C618" t="s">
        <v>1209</v>
      </c>
      <c r="D618" t="s">
        <v>117</v>
      </c>
      <c r="E618">
        <v>4</v>
      </c>
      <c r="F618" t="str">
        <f>_xlfn.XLOOKUP(C618,Customers!$A$2:$A$1001,Customers!$B$2:$B$1001)</f>
        <v>Linus Flippelli</v>
      </c>
      <c r="G618" t="str">
        <f>_xlfn.XLOOKUP(C618,Customers!$A$2:$A$1001,Customers!$C$2:$C$1001)</f>
        <v>lflippellih4@github.io</v>
      </c>
      <c r="H618" t="str">
        <f>_xlfn.XLOOKUP(C618,Customers!$A$2:$A$1001,Customers!$G$2:$G$1001)</f>
        <v>United Kingdom</v>
      </c>
      <c r="I618" t="str" cm="1">
        <f t="array" ref="I618:L618">_xlfn.XLOOKUP(D618,products!$A$2:$A$49,products!$B$2:$E$49)</f>
        <v>Exc</v>
      </c>
      <c r="J618" t="str">
        <v>M</v>
      </c>
      <c r="K618" s="8">
        <v>2.5</v>
      </c>
      <c r="L618" s="6">
        <v>31.624999999999996</v>
      </c>
      <c r="M618" s="7">
        <f t="shared" si="27"/>
        <v>126.49999999999999</v>
      </c>
      <c r="N618" t="str">
        <f t="shared" si="28"/>
        <v>Excelsa</v>
      </c>
      <c r="O618" t="str">
        <f t="shared" si="29"/>
        <v>Medium</v>
      </c>
      <c r="P618" t="str">
        <f>_xlfn.XLOOKUP(Orders!C618,Customers!$A$2:$A$1001,Customers!$I$2:$I$1001)</f>
        <v>No</v>
      </c>
    </row>
    <row r="619" spans="1:16" x14ac:dyDescent="0.3">
      <c r="A619" t="s">
        <v>1210</v>
      </c>
      <c r="B619" s="11">
        <v>43928</v>
      </c>
      <c r="C619" t="s">
        <v>1211</v>
      </c>
      <c r="D619" t="s">
        <v>202</v>
      </c>
      <c r="E619">
        <v>1</v>
      </c>
      <c r="F619" t="str">
        <f>_xlfn.XLOOKUP(C619,Customers!$A$2:$A$1001,Customers!$B$2:$B$1001)</f>
        <v>Rachelle Elizabeth</v>
      </c>
      <c r="G619" t="str">
        <f>_xlfn.XLOOKUP(C619,Customers!$A$2:$A$1001,Customers!$C$2:$C$1001)</f>
        <v>relizabethh5@live.com</v>
      </c>
      <c r="H619" t="str">
        <f>_xlfn.XLOOKUP(C619,Customers!$A$2:$A$1001,Customers!$G$2:$G$1001)</f>
        <v>United States</v>
      </c>
      <c r="I619" t="str" cm="1">
        <f t="array" ref="I619:L619">_xlfn.XLOOKUP(D619,products!$A$2:$A$49,products!$B$2:$E$49)</f>
        <v>Lib</v>
      </c>
      <c r="J619" t="str">
        <v>M</v>
      </c>
      <c r="K619" s="8">
        <v>2.5</v>
      </c>
      <c r="L619" s="6">
        <v>33.464999999999996</v>
      </c>
      <c r="M619" s="7">
        <f t="shared" si="27"/>
        <v>33.464999999999996</v>
      </c>
      <c r="N619" t="str">
        <f t="shared" si="28"/>
        <v>Liberica</v>
      </c>
      <c r="O619" t="str">
        <f t="shared" si="29"/>
        <v>Medium</v>
      </c>
      <c r="P619" t="str">
        <f>_xlfn.XLOOKUP(Orders!C619,Customers!$A$2:$A$1001,Customers!$I$2:$I$1001)</f>
        <v>No</v>
      </c>
    </row>
    <row r="620" spans="1:16" x14ac:dyDescent="0.3">
      <c r="A620" t="s">
        <v>1212</v>
      </c>
      <c r="B620" s="11">
        <v>44469</v>
      </c>
      <c r="C620" t="s">
        <v>1213</v>
      </c>
      <c r="D620" t="s">
        <v>250</v>
      </c>
      <c r="E620">
        <v>6</v>
      </c>
      <c r="F620" t="str">
        <f>_xlfn.XLOOKUP(C620,Customers!$A$2:$A$1001,Customers!$B$2:$B$1001)</f>
        <v>Innis Renhard</v>
      </c>
      <c r="G620" t="str">
        <f>_xlfn.XLOOKUP(C620,Customers!$A$2:$A$1001,Customers!$C$2:$C$1001)</f>
        <v>irenhardh6@i2i.jp</v>
      </c>
      <c r="H620" t="str">
        <f>_xlfn.XLOOKUP(C620,Customers!$A$2:$A$1001,Customers!$G$2:$G$1001)</f>
        <v>United States</v>
      </c>
      <c r="I620" t="str" cm="1">
        <f t="array" ref="I620:L620">_xlfn.XLOOKUP(D620,products!$A$2:$A$49,products!$B$2:$E$49)</f>
        <v>Exc</v>
      </c>
      <c r="J620" t="str">
        <v>D</v>
      </c>
      <c r="K620" s="8">
        <v>1</v>
      </c>
      <c r="L620" s="6">
        <v>12.15</v>
      </c>
      <c r="M620" s="7">
        <f t="shared" si="27"/>
        <v>72.900000000000006</v>
      </c>
      <c r="N620" t="str">
        <f t="shared" si="28"/>
        <v>Excelsa</v>
      </c>
      <c r="O620" t="str">
        <f t="shared" si="29"/>
        <v>Dark</v>
      </c>
      <c r="P620" t="str">
        <f>_xlfn.XLOOKUP(Orders!C620,Customers!$A$2:$A$1001,Customers!$I$2:$I$1001)</f>
        <v>Yes</v>
      </c>
    </row>
    <row r="621" spans="1:16" x14ac:dyDescent="0.3">
      <c r="A621" t="s">
        <v>1214</v>
      </c>
      <c r="B621" s="11">
        <v>44682</v>
      </c>
      <c r="C621" t="s">
        <v>1215</v>
      </c>
      <c r="D621" t="s">
        <v>128</v>
      </c>
      <c r="E621">
        <v>2</v>
      </c>
      <c r="F621" t="str">
        <f>_xlfn.XLOOKUP(C621,Customers!$A$2:$A$1001,Customers!$B$2:$B$1001)</f>
        <v>Winne Roche</v>
      </c>
      <c r="G621" t="str">
        <f>_xlfn.XLOOKUP(C621,Customers!$A$2:$A$1001,Customers!$C$2:$C$1001)</f>
        <v>wrocheh7@xinhuanet.com</v>
      </c>
      <c r="H621" t="str">
        <f>_xlfn.XLOOKUP(C621,Customers!$A$2:$A$1001,Customers!$G$2:$G$1001)</f>
        <v>United States</v>
      </c>
      <c r="I621" t="str" cm="1">
        <f t="array" ref="I621:L621">_xlfn.XLOOKUP(D621,products!$A$2:$A$49,products!$B$2:$E$49)</f>
        <v>Lib</v>
      </c>
      <c r="J621" t="str">
        <v>D</v>
      </c>
      <c r="K621" s="8">
        <v>0.5</v>
      </c>
      <c r="L621" s="6">
        <v>7.77</v>
      </c>
      <c r="M621" s="7">
        <f t="shared" si="27"/>
        <v>15.54</v>
      </c>
      <c r="N621" t="str">
        <f t="shared" si="28"/>
        <v>Liberica</v>
      </c>
      <c r="O621" t="str">
        <f t="shared" si="29"/>
        <v>Dark</v>
      </c>
      <c r="P621" t="str">
        <f>_xlfn.XLOOKUP(Orders!C621,Customers!$A$2:$A$1001,Customers!$I$2:$I$1001)</f>
        <v>Yes</v>
      </c>
    </row>
    <row r="622" spans="1:16" x14ac:dyDescent="0.3">
      <c r="A622" t="s">
        <v>1216</v>
      </c>
      <c r="B622" s="11">
        <v>44217</v>
      </c>
      <c r="C622" t="s">
        <v>1217</v>
      </c>
      <c r="D622" t="s">
        <v>49</v>
      </c>
      <c r="E622">
        <v>6</v>
      </c>
      <c r="F622" t="str">
        <f>_xlfn.XLOOKUP(C622,Customers!$A$2:$A$1001,Customers!$B$2:$B$1001)</f>
        <v>Linn Alaway</v>
      </c>
      <c r="G622" t="str">
        <f>_xlfn.XLOOKUP(C622,Customers!$A$2:$A$1001,Customers!$C$2:$C$1001)</f>
        <v>lalawayhh@weather.com</v>
      </c>
      <c r="H622" t="str">
        <f>_xlfn.XLOOKUP(C622,Customers!$A$2:$A$1001,Customers!$G$2:$G$1001)</f>
        <v>United States</v>
      </c>
      <c r="I622" t="str" cm="1">
        <f t="array" ref="I622:L622">_xlfn.XLOOKUP(D622,products!$A$2:$A$49,products!$B$2:$E$49)</f>
        <v>Ara</v>
      </c>
      <c r="J622" t="str">
        <v>M</v>
      </c>
      <c r="K622" s="8">
        <v>0.2</v>
      </c>
      <c r="L622" s="6">
        <v>3.375</v>
      </c>
      <c r="M622" s="7">
        <f t="shared" si="27"/>
        <v>20.25</v>
      </c>
      <c r="N622" t="str">
        <f t="shared" si="28"/>
        <v>Arasbica</v>
      </c>
      <c r="O622" t="str">
        <f t="shared" si="29"/>
        <v>Medium</v>
      </c>
      <c r="P622" t="str">
        <f>_xlfn.XLOOKUP(Orders!C622,Customers!$A$2:$A$1001,Customers!$I$2:$I$1001)</f>
        <v>No</v>
      </c>
    </row>
    <row r="623" spans="1:16" x14ac:dyDescent="0.3">
      <c r="A623" t="s">
        <v>1218</v>
      </c>
      <c r="B623" s="11">
        <v>44006</v>
      </c>
      <c r="C623" t="s">
        <v>1219</v>
      </c>
      <c r="D623" t="s">
        <v>11</v>
      </c>
      <c r="E623">
        <v>6</v>
      </c>
      <c r="F623" t="str">
        <f>_xlfn.XLOOKUP(C623,Customers!$A$2:$A$1001,Customers!$B$2:$B$1001)</f>
        <v>Cordy Odgaard</v>
      </c>
      <c r="G623" t="str">
        <f>_xlfn.XLOOKUP(C623,Customers!$A$2:$A$1001,Customers!$C$2:$C$1001)</f>
        <v>codgaardh9@nsw.gov.au</v>
      </c>
      <c r="H623" t="str">
        <f>_xlfn.XLOOKUP(C623,Customers!$A$2:$A$1001,Customers!$G$2:$G$1001)</f>
        <v>United States</v>
      </c>
      <c r="I623" t="str" cm="1">
        <f t="array" ref="I623:L623">_xlfn.XLOOKUP(D623,products!$A$2:$A$49,products!$B$2:$E$49)</f>
        <v>Ara</v>
      </c>
      <c r="J623" t="str">
        <v>L</v>
      </c>
      <c r="K623" s="8">
        <v>1</v>
      </c>
      <c r="L623" s="6">
        <v>12.95</v>
      </c>
      <c r="M623" s="7">
        <f t="shared" si="27"/>
        <v>77.699999999999989</v>
      </c>
      <c r="N623" t="str">
        <f t="shared" si="28"/>
        <v>Arasbica</v>
      </c>
      <c r="O623" t="str">
        <f t="shared" si="29"/>
        <v>Lite</v>
      </c>
      <c r="P623" t="str">
        <f>_xlfn.XLOOKUP(Orders!C623,Customers!$A$2:$A$1001,Customers!$I$2:$I$1001)</f>
        <v>No</v>
      </c>
    </row>
    <row r="624" spans="1:16" x14ac:dyDescent="0.3">
      <c r="A624" t="s">
        <v>1220</v>
      </c>
      <c r="B624" s="11">
        <v>43527</v>
      </c>
      <c r="C624" t="s">
        <v>1221</v>
      </c>
      <c r="D624" t="s">
        <v>202</v>
      </c>
      <c r="E624">
        <v>4</v>
      </c>
      <c r="F624" t="str">
        <f>_xlfn.XLOOKUP(C624,Customers!$A$2:$A$1001,Customers!$B$2:$B$1001)</f>
        <v>Bertine Byrd</v>
      </c>
      <c r="G624" t="str">
        <f>_xlfn.XLOOKUP(C624,Customers!$A$2:$A$1001,Customers!$C$2:$C$1001)</f>
        <v>bbyrdha@4shared.com</v>
      </c>
      <c r="H624" t="str">
        <f>_xlfn.XLOOKUP(C624,Customers!$A$2:$A$1001,Customers!$G$2:$G$1001)</f>
        <v>United States</v>
      </c>
      <c r="I624" t="str" cm="1">
        <f t="array" ref="I624:L624">_xlfn.XLOOKUP(D624,products!$A$2:$A$49,products!$B$2:$E$49)</f>
        <v>Lib</v>
      </c>
      <c r="J624" t="str">
        <v>M</v>
      </c>
      <c r="K624" s="8">
        <v>2.5</v>
      </c>
      <c r="L624" s="6">
        <v>33.464999999999996</v>
      </c>
      <c r="M624" s="7">
        <f t="shared" si="27"/>
        <v>133.85999999999999</v>
      </c>
      <c r="N624" t="str">
        <f t="shared" si="28"/>
        <v>Liberica</v>
      </c>
      <c r="O624" t="str">
        <f t="shared" si="29"/>
        <v>Medium</v>
      </c>
      <c r="P624" t="str">
        <f>_xlfn.XLOOKUP(Orders!C624,Customers!$A$2:$A$1001,Customers!$I$2:$I$1001)</f>
        <v>No</v>
      </c>
    </row>
    <row r="625" spans="1:16" x14ac:dyDescent="0.3">
      <c r="A625" t="s">
        <v>1222</v>
      </c>
      <c r="B625" s="11">
        <v>44224</v>
      </c>
      <c r="C625" t="s">
        <v>1223</v>
      </c>
      <c r="D625" t="s">
        <v>250</v>
      </c>
      <c r="E625">
        <v>1</v>
      </c>
      <c r="F625" t="str">
        <f>_xlfn.XLOOKUP(C625,Customers!$A$2:$A$1001,Customers!$B$2:$B$1001)</f>
        <v>Nelie Garnson</v>
      </c>
      <c r="G625">
        <f>_xlfn.XLOOKUP(C625,Customers!$A$2:$A$1001,Customers!$C$2:$C$1001)</f>
        <v>0</v>
      </c>
      <c r="H625" t="str">
        <f>_xlfn.XLOOKUP(C625,Customers!$A$2:$A$1001,Customers!$G$2:$G$1001)</f>
        <v>United Kingdom</v>
      </c>
      <c r="I625" t="str" cm="1">
        <f t="array" ref="I625:L625">_xlfn.XLOOKUP(D625,products!$A$2:$A$49,products!$B$2:$E$49)</f>
        <v>Exc</v>
      </c>
      <c r="J625" t="str">
        <v>D</v>
      </c>
      <c r="K625" s="8">
        <v>1</v>
      </c>
      <c r="L625" s="6">
        <v>12.15</v>
      </c>
      <c r="M625" s="7">
        <f t="shared" si="27"/>
        <v>12.15</v>
      </c>
      <c r="N625" t="str">
        <f t="shared" si="28"/>
        <v>Excelsa</v>
      </c>
      <c r="O625" t="str">
        <f t="shared" si="29"/>
        <v>Dark</v>
      </c>
      <c r="P625" t="str">
        <f>_xlfn.XLOOKUP(Orders!C625,Customers!$A$2:$A$1001,Customers!$I$2:$I$1001)</f>
        <v>No</v>
      </c>
    </row>
    <row r="626" spans="1:16" x14ac:dyDescent="0.3">
      <c r="A626" t="s">
        <v>1224</v>
      </c>
      <c r="B626" s="11">
        <v>44010</v>
      </c>
      <c r="C626" t="s">
        <v>1225</v>
      </c>
      <c r="D626" t="s">
        <v>117</v>
      </c>
      <c r="E626">
        <v>2</v>
      </c>
      <c r="F626" t="str">
        <f>_xlfn.XLOOKUP(C626,Customers!$A$2:$A$1001,Customers!$B$2:$B$1001)</f>
        <v>Dianne Chardin</v>
      </c>
      <c r="G626" t="str">
        <f>_xlfn.XLOOKUP(C626,Customers!$A$2:$A$1001,Customers!$C$2:$C$1001)</f>
        <v>dchardinhc@nhs.uk</v>
      </c>
      <c r="H626" t="str">
        <f>_xlfn.XLOOKUP(C626,Customers!$A$2:$A$1001,Customers!$G$2:$G$1001)</f>
        <v>Ireland</v>
      </c>
      <c r="I626" t="str" cm="1">
        <f t="array" ref="I626:L626">_xlfn.XLOOKUP(D626,products!$A$2:$A$49,products!$B$2:$E$49)</f>
        <v>Exc</v>
      </c>
      <c r="J626" t="str">
        <v>M</v>
      </c>
      <c r="K626" s="8">
        <v>2.5</v>
      </c>
      <c r="L626" s="6">
        <v>31.624999999999996</v>
      </c>
      <c r="M626" s="7">
        <f t="shared" si="27"/>
        <v>63.249999999999993</v>
      </c>
      <c r="N626" t="str">
        <f t="shared" si="28"/>
        <v>Excelsa</v>
      </c>
      <c r="O626" t="str">
        <f t="shared" si="29"/>
        <v>Medium</v>
      </c>
      <c r="P626" t="str">
        <f>_xlfn.XLOOKUP(Orders!C626,Customers!$A$2:$A$1001,Customers!$I$2:$I$1001)</f>
        <v>Yes</v>
      </c>
    </row>
    <row r="627" spans="1:16" x14ac:dyDescent="0.3">
      <c r="A627" t="s">
        <v>1226</v>
      </c>
      <c r="B627" s="11">
        <v>44017</v>
      </c>
      <c r="C627" t="s">
        <v>1227</v>
      </c>
      <c r="D627" t="s">
        <v>162</v>
      </c>
      <c r="E627">
        <v>5</v>
      </c>
      <c r="F627" t="str">
        <f>_xlfn.XLOOKUP(C627,Customers!$A$2:$A$1001,Customers!$B$2:$B$1001)</f>
        <v>Hailee Radbone</v>
      </c>
      <c r="G627" t="str">
        <f>_xlfn.XLOOKUP(C627,Customers!$A$2:$A$1001,Customers!$C$2:$C$1001)</f>
        <v>hradbonehd@newsvine.com</v>
      </c>
      <c r="H627" t="str">
        <f>_xlfn.XLOOKUP(C627,Customers!$A$2:$A$1001,Customers!$G$2:$G$1001)</f>
        <v>United States</v>
      </c>
      <c r="I627" t="str" cm="1">
        <f t="array" ref="I627:L627">_xlfn.XLOOKUP(D627,products!$A$2:$A$49,products!$B$2:$E$49)</f>
        <v>Rob</v>
      </c>
      <c r="J627" t="str">
        <v>L</v>
      </c>
      <c r="K627" s="8">
        <v>0.5</v>
      </c>
      <c r="L627" s="6">
        <v>7.169999999999999</v>
      </c>
      <c r="M627" s="7">
        <f t="shared" si="27"/>
        <v>35.849999999999994</v>
      </c>
      <c r="N627" t="str">
        <f t="shared" si="28"/>
        <v>Robusta</v>
      </c>
      <c r="O627" t="str">
        <f t="shared" si="29"/>
        <v>Lite</v>
      </c>
      <c r="P627" t="str">
        <f>_xlfn.XLOOKUP(Orders!C627,Customers!$A$2:$A$1001,Customers!$I$2:$I$1001)</f>
        <v>No</v>
      </c>
    </row>
    <row r="628" spans="1:16" x14ac:dyDescent="0.3">
      <c r="A628" t="s">
        <v>1228</v>
      </c>
      <c r="B628" s="11">
        <v>43526</v>
      </c>
      <c r="C628" t="s">
        <v>1229</v>
      </c>
      <c r="D628" t="s">
        <v>176</v>
      </c>
      <c r="E628">
        <v>3</v>
      </c>
      <c r="F628" t="str">
        <f>_xlfn.XLOOKUP(C628,Customers!$A$2:$A$1001,Customers!$B$2:$B$1001)</f>
        <v>Wallis Bernth</v>
      </c>
      <c r="G628" t="str">
        <f>_xlfn.XLOOKUP(C628,Customers!$A$2:$A$1001,Customers!$C$2:$C$1001)</f>
        <v>wbernthhe@miitbeian.gov.cn</v>
      </c>
      <c r="H628" t="str">
        <f>_xlfn.XLOOKUP(C628,Customers!$A$2:$A$1001,Customers!$G$2:$G$1001)</f>
        <v>United States</v>
      </c>
      <c r="I628" t="str" cm="1">
        <f t="array" ref="I628:L628">_xlfn.XLOOKUP(D628,products!$A$2:$A$49,products!$B$2:$E$49)</f>
        <v>Ara</v>
      </c>
      <c r="J628" t="str">
        <v>M</v>
      </c>
      <c r="K628" s="8">
        <v>2.5</v>
      </c>
      <c r="L628" s="6">
        <v>25.874999999999996</v>
      </c>
      <c r="M628" s="7">
        <f t="shared" si="27"/>
        <v>77.624999999999986</v>
      </c>
      <c r="N628" t="str">
        <f t="shared" si="28"/>
        <v>Arasbica</v>
      </c>
      <c r="O628" t="str">
        <f t="shared" si="29"/>
        <v>Medium</v>
      </c>
      <c r="P628" t="str">
        <f>_xlfn.XLOOKUP(Orders!C628,Customers!$A$2:$A$1001,Customers!$I$2:$I$1001)</f>
        <v>No</v>
      </c>
    </row>
    <row r="629" spans="1:16" x14ac:dyDescent="0.3">
      <c r="A629" t="s">
        <v>1230</v>
      </c>
      <c r="B629" s="11">
        <v>44682</v>
      </c>
      <c r="C629" t="s">
        <v>1231</v>
      </c>
      <c r="D629" t="s">
        <v>117</v>
      </c>
      <c r="E629">
        <v>2</v>
      </c>
      <c r="F629" t="str">
        <f>_xlfn.XLOOKUP(C629,Customers!$A$2:$A$1001,Customers!$B$2:$B$1001)</f>
        <v>Byron Acarson</v>
      </c>
      <c r="G629" t="str">
        <f>_xlfn.XLOOKUP(C629,Customers!$A$2:$A$1001,Customers!$C$2:$C$1001)</f>
        <v>bacarsonhf@cnn.com</v>
      </c>
      <c r="H629" t="str">
        <f>_xlfn.XLOOKUP(C629,Customers!$A$2:$A$1001,Customers!$G$2:$G$1001)</f>
        <v>United States</v>
      </c>
      <c r="I629" t="str" cm="1">
        <f t="array" ref="I629:L629">_xlfn.XLOOKUP(D629,products!$A$2:$A$49,products!$B$2:$E$49)</f>
        <v>Exc</v>
      </c>
      <c r="J629" t="str">
        <v>M</v>
      </c>
      <c r="K629" s="8">
        <v>2.5</v>
      </c>
      <c r="L629" s="6">
        <v>31.624999999999996</v>
      </c>
      <c r="M629" s="7">
        <f t="shared" si="27"/>
        <v>63.249999999999993</v>
      </c>
      <c r="N629" t="str">
        <f t="shared" si="28"/>
        <v>Excelsa</v>
      </c>
      <c r="O629" t="str">
        <f t="shared" si="29"/>
        <v>Medium</v>
      </c>
      <c r="P629" t="str">
        <f>_xlfn.XLOOKUP(Orders!C629,Customers!$A$2:$A$1001,Customers!$I$2:$I$1001)</f>
        <v>Yes</v>
      </c>
    </row>
    <row r="630" spans="1:16" x14ac:dyDescent="0.3">
      <c r="A630" t="s">
        <v>1232</v>
      </c>
      <c r="B630" s="11">
        <v>44680</v>
      </c>
      <c r="C630" t="s">
        <v>1233</v>
      </c>
      <c r="D630" t="s">
        <v>259</v>
      </c>
      <c r="E630">
        <v>6</v>
      </c>
      <c r="F630" t="str">
        <f>_xlfn.XLOOKUP(C630,Customers!$A$2:$A$1001,Customers!$B$2:$B$1001)</f>
        <v>Faunie Brigham</v>
      </c>
      <c r="G630" t="str">
        <f>_xlfn.XLOOKUP(C630,Customers!$A$2:$A$1001,Customers!$C$2:$C$1001)</f>
        <v>fbrighamhg@blog.com</v>
      </c>
      <c r="H630" t="str">
        <f>_xlfn.XLOOKUP(C630,Customers!$A$2:$A$1001,Customers!$G$2:$G$1001)</f>
        <v>Ireland</v>
      </c>
      <c r="I630" t="str" cm="1">
        <f t="array" ref="I630:L630">_xlfn.XLOOKUP(D630,products!$A$2:$A$49,products!$B$2:$E$49)</f>
        <v>Exc</v>
      </c>
      <c r="J630" t="str">
        <v>L</v>
      </c>
      <c r="K630" s="8">
        <v>0.2</v>
      </c>
      <c r="L630" s="6">
        <v>4.4550000000000001</v>
      </c>
      <c r="M630" s="7">
        <f t="shared" si="27"/>
        <v>26.73</v>
      </c>
      <c r="N630" t="str">
        <f t="shared" si="28"/>
        <v>Excelsa</v>
      </c>
      <c r="O630" t="str">
        <f t="shared" si="29"/>
        <v>Lite</v>
      </c>
      <c r="P630" t="str">
        <f>_xlfn.XLOOKUP(Orders!C630,Customers!$A$2:$A$1001,Customers!$I$2:$I$1001)</f>
        <v>Yes</v>
      </c>
    </row>
    <row r="631" spans="1:16" x14ac:dyDescent="0.3">
      <c r="A631" t="s">
        <v>1232</v>
      </c>
      <c r="B631" s="11">
        <v>44680</v>
      </c>
      <c r="C631" t="s">
        <v>1233</v>
      </c>
      <c r="D631" t="s">
        <v>128</v>
      </c>
      <c r="E631">
        <v>4</v>
      </c>
      <c r="F631" t="str">
        <f>_xlfn.XLOOKUP(C631,Customers!$A$2:$A$1001,Customers!$B$2:$B$1001)</f>
        <v>Faunie Brigham</v>
      </c>
      <c r="G631" t="str">
        <f>_xlfn.XLOOKUP(C631,Customers!$A$2:$A$1001,Customers!$C$2:$C$1001)</f>
        <v>fbrighamhg@blog.com</v>
      </c>
      <c r="H631" t="str">
        <f>_xlfn.XLOOKUP(C631,Customers!$A$2:$A$1001,Customers!$G$2:$G$1001)</f>
        <v>Ireland</v>
      </c>
      <c r="I631" t="str" cm="1">
        <f t="array" ref="I631:L631">_xlfn.XLOOKUP(D631,products!$A$2:$A$49,products!$B$2:$E$49)</f>
        <v>Lib</v>
      </c>
      <c r="J631" t="str">
        <v>D</v>
      </c>
      <c r="K631" s="8">
        <v>0.5</v>
      </c>
      <c r="L631" s="6">
        <v>7.77</v>
      </c>
      <c r="M631" s="7">
        <f t="shared" si="27"/>
        <v>31.08</v>
      </c>
      <c r="N631" t="str">
        <f t="shared" si="28"/>
        <v>Liberica</v>
      </c>
      <c r="O631" t="str">
        <f t="shared" si="29"/>
        <v>Dark</v>
      </c>
      <c r="P631" t="str">
        <f>_xlfn.XLOOKUP(Orders!C631,Customers!$A$2:$A$1001,Customers!$I$2:$I$1001)</f>
        <v>Yes</v>
      </c>
    </row>
    <row r="632" spans="1:16" x14ac:dyDescent="0.3">
      <c r="A632" t="s">
        <v>1232</v>
      </c>
      <c r="B632" s="11">
        <v>44680</v>
      </c>
      <c r="C632" t="s">
        <v>1233</v>
      </c>
      <c r="D632" t="s">
        <v>59</v>
      </c>
      <c r="E632">
        <v>1</v>
      </c>
      <c r="F632" t="str">
        <f>_xlfn.XLOOKUP(C632,Customers!$A$2:$A$1001,Customers!$B$2:$B$1001)</f>
        <v>Faunie Brigham</v>
      </c>
      <c r="G632" t="str">
        <f>_xlfn.XLOOKUP(C632,Customers!$A$2:$A$1001,Customers!$C$2:$C$1001)</f>
        <v>fbrighamhg@blog.com</v>
      </c>
      <c r="H632" t="str">
        <f>_xlfn.XLOOKUP(C632,Customers!$A$2:$A$1001,Customers!$G$2:$G$1001)</f>
        <v>Ireland</v>
      </c>
      <c r="I632" t="str" cm="1">
        <f t="array" ref="I632:L632">_xlfn.XLOOKUP(D632,products!$A$2:$A$49,products!$B$2:$E$49)</f>
        <v>Ara</v>
      </c>
      <c r="J632" t="str">
        <v>D</v>
      </c>
      <c r="K632" s="8">
        <v>0.2</v>
      </c>
      <c r="L632" s="6">
        <v>2.9849999999999999</v>
      </c>
      <c r="M632" s="7">
        <f t="shared" si="27"/>
        <v>2.9849999999999999</v>
      </c>
      <c r="N632" t="str">
        <f t="shared" si="28"/>
        <v>Arasbica</v>
      </c>
      <c r="O632" t="str">
        <f t="shared" si="29"/>
        <v>Dark</v>
      </c>
      <c r="P632" t="str">
        <f>_xlfn.XLOOKUP(Orders!C632,Customers!$A$2:$A$1001,Customers!$I$2:$I$1001)</f>
        <v>Yes</v>
      </c>
    </row>
    <row r="633" spans="1:16" x14ac:dyDescent="0.3">
      <c r="A633" t="s">
        <v>1232</v>
      </c>
      <c r="B633" s="11">
        <v>44680</v>
      </c>
      <c r="C633" t="s">
        <v>1233</v>
      </c>
      <c r="D633" t="s">
        <v>40</v>
      </c>
      <c r="E633">
        <v>5</v>
      </c>
      <c r="F633" t="str">
        <f>_xlfn.XLOOKUP(C633,Customers!$A$2:$A$1001,Customers!$B$2:$B$1001)</f>
        <v>Faunie Brigham</v>
      </c>
      <c r="G633" t="str">
        <f>_xlfn.XLOOKUP(C633,Customers!$A$2:$A$1001,Customers!$C$2:$C$1001)</f>
        <v>fbrighamhg@blog.com</v>
      </c>
      <c r="H633" t="str">
        <f>_xlfn.XLOOKUP(C633,Customers!$A$2:$A$1001,Customers!$G$2:$G$1001)</f>
        <v>Ireland</v>
      </c>
      <c r="I633" t="str" cm="1">
        <f t="array" ref="I633:L633">_xlfn.XLOOKUP(D633,products!$A$2:$A$49,products!$B$2:$E$49)</f>
        <v>Rob</v>
      </c>
      <c r="J633" t="str">
        <v>D</v>
      </c>
      <c r="K633" s="8">
        <v>2.5</v>
      </c>
      <c r="L633" s="6">
        <v>20.584999999999997</v>
      </c>
      <c r="M633" s="7">
        <f t="shared" si="27"/>
        <v>102.92499999999998</v>
      </c>
      <c r="N633" t="str">
        <f t="shared" si="28"/>
        <v>Robusta</v>
      </c>
      <c r="O633" t="str">
        <f t="shared" si="29"/>
        <v>Dark</v>
      </c>
      <c r="P633" t="str">
        <f>_xlfn.XLOOKUP(Orders!C633,Customers!$A$2:$A$1001,Customers!$I$2:$I$1001)</f>
        <v>Yes</v>
      </c>
    </row>
    <row r="634" spans="1:16" x14ac:dyDescent="0.3">
      <c r="A634" t="s">
        <v>1234</v>
      </c>
      <c r="B634" s="11">
        <v>44049</v>
      </c>
      <c r="C634" t="s">
        <v>1235</v>
      </c>
      <c r="D634" t="s">
        <v>181</v>
      </c>
      <c r="E634">
        <v>4</v>
      </c>
      <c r="F634" t="str">
        <f>_xlfn.XLOOKUP(C634,Customers!$A$2:$A$1001,Customers!$B$2:$B$1001)</f>
        <v>Marjorie Yoxen</v>
      </c>
      <c r="G634" t="str">
        <f>_xlfn.XLOOKUP(C634,Customers!$A$2:$A$1001,Customers!$C$2:$C$1001)</f>
        <v>myoxenhk@google.com</v>
      </c>
      <c r="H634" t="str">
        <f>_xlfn.XLOOKUP(C634,Customers!$A$2:$A$1001,Customers!$G$2:$G$1001)</f>
        <v>United States</v>
      </c>
      <c r="I634" t="str" cm="1">
        <f t="array" ref="I634:L634">_xlfn.XLOOKUP(D634,products!$A$2:$A$49,products!$B$2:$E$49)</f>
        <v>Exc</v>
      </c>
      <c r="J634" t="str">
        <v>L</v>
      </c>
      <c r="K634" s="8">
        <v>0.5</v>
      </c>
      <c r="L634" s="6">
        <v>8.91</v>
      </c>
      <c r="M634" s="7">
        <f t="shared" si="27"/>
        <v>35.64</v>
      </c>
      <c r="N634" t="str">
        <f t="shared" si="28"/>
        <v>Excelsa</v>
      </c>
      <c r="O634" t="str">
        <f t="shared" si="29"/>
        <v>Lite</v>
      </c>
      <c r="P634" t="str">
        <f>_xlfn.XLOOKUP(Orders!C634,Customers!$A$2:$A$1001,Customers!$I$2:$I$1001)</f>
        <v>No</v>
      </c>
    </row>
    <row r="635" spans="1:16" x14ac:dyDescent="0.3">
      <c r="A635" t="s">
        <v>1236</v>
      </c>
      <c r="B635" s="11">
        <v>43820</v>
      </c>
      <c r="C635" t="s">
        <v>1237</v>
      </c>
      <c r="D635" t="s">
        <v>194</v>
      </c>
      <c r="E635">
        <v>4</v>
      </c>
      <c r="F635" t="str">
        <f>_xlfn.XLOOKUP(C635,Customers!$A$2:$A$1001,Customers!$B$2:$B$1001)</f>
        <v>Gaspar McGavin</v>
      </c>
      <c r="G635" t="str">
        <f>_xlfn.XLOOKUP(C635,Customers!$A$2:$A$1001,Customers!$C$2:$C$1001)</f>
        <v>gmcgavinhl@histats.com</v>
      </c>
      <c r="H635" t="str">
        <f>_xlfn.XLOOKUP(C635,Customers!$A$2:$A$1001,Customers!$G$2:$G$1001)</f>
        <v>United States</v>
      </c>
      <c r="I635" t="str" cm="1">
        <f t="array" ref="I635:L635">_xlfn.XLOOKUP(D635,products!$A$2:$A$49,products!$B$2:$E$49)</f>
        <v>Rob</v>
      </c>
      <c r="J635" t="str">
        <v>L</v>
      </c>
      <c r="K635" s="8">
        <v>1</v>
      </c>
      <c r="L635" s="6">
        <v>11.95</v>
      </c>
      <c r="M635" s="7">
        <f t="shared" si="27"/>
        <v>47.8</v>
      </c>
      <c r="N635" t="str">
        <f t="shared" si="28"/>
        <v>Robusta</v>
      </c>
      <c r="O635" t="str">
        <f t="shared" si="29"/>
        <v>Lite</v>
      </c>
      <c r="P635" t="str">
        <f>_xlfn.XLOOKUP(Orders!C635,Customers!$A$2:$A$1001,Customers!$I$2:$I$1001)</f>
        <v>No</v>
      </c>
    </row>
    <row r="636" spans="1:16" x14ac:dyDescent="0.3">
      <c r="A636" t="s">
        <v>1238</v>
      </c>
      <c r="B636" s="11">
        <v>43940</v>
      </c>
      <c r="C636" t="s">
        <v>1239</v>
      </c>
      <c r="D636" t="s">
        <v>101</v>
      </c>
      <c r="E636">
        <v>3</v>
      </c>
      <c r="F636" t="str">
        <f>_xlfn.XLOOKUP(C636,Customers!$A$2:$A$1001,Customers!$B$2:$B$1001)</f>
        <v>Lindy Uttermare</v>
      </c>
      <c r="G636" t="str">
        <f>_xlfn.XLOOKUP(C636,Customers!$A$2:$A$1001,Customers!$C$2:$C$1001)</f>
        <v>luttermarehm@engadget.com</v>
      </c>
      <c r="H636" t="str">
        <f>_xlfn.XLOOKUP(C636,Customers!$A$2:$A$1001,Customers!$G$2:$G$1001)</f>
        <v>United States</v>
      </c>
      <c r="I636" t="str" cm="1">
        <f t="array" ref="I636:L636">_xlfn.XLOOKUP(D636,products!$A$2:$A$49,products!$B$2:$E$49)</f>
        <v>Lib</v>
      </c>
      <c r="J636" t="str">
        <v>M</v>
      </c>
      <c r="K636" s="8">
        <v>1</v>
      </c>
      <c r="L636" s="6">
        <v>14.55</v>
      </c>
      <c r="M636" s="7">
        <f t="shared" si="27"/>
        <v>43.650000000000006</v>
      </c>
      <c r="N636" t="str">
        <f t="shared" si="28"/>
        <v>Liberica</v>
      </c>
      <c r="O636" t="str">
        <f t="shared" si="29"/>
        <v>Medium</v>
      </c>
      <c r="P636" t="str">
        <f>_xlfn.XLOOKUP(Orders!C636,Customers!$A$2:$A$1001,Customers!$I$2:$I$1001)</f>
        <v>No</v>
      </c>
    </row>
    <row r="637" spans="1:16" x14ac:dyDescent="0.3">
      <c r="A637" t="s">
        <v>1240</v>
      </c>
      <c r="B637" s="11">
        <v>44578</v>
      </c>
      <c r="C637" t="s">
        <v>1241</v>
      </c>
      <c r="D637" t="s">
        <v>181</v>
      </c>
      <c r="E637">
        <v>4</v>
      </c>
      <c r="F637" t="str">
        <f>_xlfn.XLOOKUP(C637,Customers!$A$2:$A$1001,Customers!$B$2:$B$1001)</f>
        <v>Eal D'Ambrogio</v>
      </c>
      <c r="G637" t="str">
        <f>_xlfn.XLOOKUP(C637,Customers!$A$2:$A$1001,Customers!$C$2:$C$1001)</f>
        <v>edambrogiohn@techcrunch.com</v>
      </c>
      <c r="H637" t="str">
        <f>_xlfn.XLOOKUP(C637,Customers!$A$2:$A$1001,Customers!$G$2:$G$1001)</f>
        <v>United States</v>
      </c>
      <c r="I637" t="str" cm="1">
        <f t="array" ref="I637:L637">_xlfn.XLOOKUP(D637,products!$A$2:$A$49,products!$B$2:$E$49)</f>
        <v>Exc</v>
      </c>
      <c r="J637" t="str">
        <v>L</v>
      </c>
      <c r="K637" s="8">
        <v>0.5</v>
      </c>
      <c r="L637" s="6">
        <v>8.91</v>
      </c>
      <c r="M637" s="7">
        <f t="shared" si="27"/>
        <v>35.64</v>
      </c>
      <c r="N637" t="str">
        <f t="shared" si="28"/>
        <v>Excelsa</v>
      </c>
      <c r="O637" t="str">
        <f t="shared" si="29"/>
        <v>Lite</v>
      </c>
      <c r="P637" t="str">
        <f>_xlfn.XLOOKUP(Orders!C637,Customers!$A$2:$A$1001,Customers!$I$2:$I$1001)</f>
        <v>Yes</v>
      </c>
    </row>
    <row r="638" spans="1:16" x14ac:dyDescent="0.3">
      <c r="A638" t="s">
        <v>1242</v>
      </c>
      <c r="B638" s="11">
        <v>43487</v>
      </c>
      <c r="C638" t="s">
        <v>1243</v>
      </c>
      <c r="D638" t="s">
        <v>137</v>
      </c>
      <c r="E638">
        <v>6</v>
      </c>
      <c r="F638" t="str">
        <f>_xlfn.XLOOKUP(C638,Customers!$A$2:$A$1001,Customers!$B$2:$B$1001)</f>
        <v>Carolee Winchcombe</v>
      </c>
      <c r="G638" t="str">
        <f>_xlfn.XLOOKUP(C638,Customers!$A$2:$A$1001,Customers!$C$2:$C$1001)</f>
        <v>cwinchcombeho@jiathis.com</v>
      </c>
      <c r="H638" t="str">
        <f>_xlfn.XLOOKUP(C638,Customers!$A$2:$A$1001,Customers!$G$2:$G$1001)</f>
        <v>United States</v>
      </c>
      <c r="I638" t="str" cm="1">
        <f t="array" ref="I638:L638">_xlfn.XLOOKUP(D638,products!$A$2:$A$49,products!$B$2:$E$49)</f>
        <v>Lib</v>
      </c>
      <c r="J638" t="str">
        <v>L</v>
      </c>
      <c r="K638" s="8">
        <v>1</v>
      </c>
      <c r="L638" s="6">
        <v>15.85</v>
      </c>
      <c r="M638" s="7">
        <f t="shared" si="27"/>
        <v>95.1</v>
      </c>
      <c r="N638" t="str">
        <f t="shared" si="28"/>
        <v>Liberica</v>
      </c>
      <c r="O638" t="str">
        <f t="shared" si="29"/>
        <v>Lite</v>
      </c>
      <c r="P638" t="str">
        <f>_xlfn.XLOOKUP(Orders!C638,Customers!$A$2:$A$1001,Customers!$I$2:$I$1001)</f>
        <v>Yes</v>
      </c>
    </row>
    <row r="639" spans="1:16" x14ac:dyDescent="0.3">
      <c r="A639" t="s">
        <v>1244</v>
      </c>
      <c r="B639" s="11">
        <v>43889</v>
      </c>
      <c r="C639" t="s">
        <v>1245</v>
      </c>
      <c r="D639" t="s">
        <v>117</v>
      </c>
      <c r="E639">
        <v>1</v>
      </c>
      <c r="F639" t="str">
        <f>_xlfn.XLOOKUP(C639,Customers!$A$2:$A$1001,Customers!$B$2:$B$1001)</f>
        <v>Benedikta Paumier</v>
      </c>
      <c r="G639" t="str">
        <f>_xlfn.XLOOKUP(C639,Customers!$A$2:$A$1001,Customers!$C$2:$C$1001)</f>
        <v>bpaumierhp@umn.edu</v>
      </c>
      <c r="H639" t="str">
        <f>_xlfn.XLOOKUP(C639,Customers!$A$2:$A$1001,Customers!$G$2:$G$1001)</f>
        <v>Ireland</v>
      </c>
      <c r="I639" t="str" cm="1">
        <f t="array" ref="I639:L639">_xlfn.XLOOKUP(D639,products!$A$2:$A$49,products!$B$2:$E$49)</f>
        <v>Exc</v>
      </c>
      <c r="J639" t="str">
        <v>M</v>
      </c>
      <c r="K639" s="8">
        <v>2.5</v>
      </c>
      <c r="L639" s="6">
        <v>31.624999999999996</v>
      </c>
      <c r="M639" s="7">
        <f t="shared" si="27"/>
        <v>31.624999999999996</v>
      </c>
      <c r="N639" t="str">
        <f t="shared" si="28"/>
        <v>Excelsa</v>
      </c>
      <c r="O639" t="str">
        <f t="shared" si="29"/>
        <v>Medium</v>
      </c>
      <c r="P639" t="str">
        <f>_xlfn.XLOOKUP(Orders!C639,Customers!$A$2:$A$1001,Customers!$I$2:$I$1001)</f>
        <v>Yes</v>
      </c>
    </row>
    <row r="640" spans="1:16" x14ac:dyDescent="0.3">
      <c r="A640" t="s">
        <v>1246</v>
      </c>
      <c r="B640" s="11">
        <v>43684</v>
      </c>
      <c r="C640" t="s">
        <v>1247</v>
      </c>
      <c r="D640" t="s">
        <v>176</v>
      </c>
      <c r="E640">
        <v>3</v>
      </c>
      <c r="F640" t="str">
        <f>_xlfn.XLOOKUP(C640,Customers!$A$2:$A$1001,Customers!$B$2:$B$1001)</f>
        <v>Neville Piatto</v>
      </c>
      <c r="G640">
        <f>_xlfn.XLOOKUP(C640,Customers!$A$2:$A$1001,Customers!$C$2:$C$1001)</f>
        <v>0</v>
      </c>
      <c r="H640" t="str">
        <f>_xlfn.XLOOKUP(C640,Customers!$A$2:$A$1001,Customers!$G$2:$G$1001)</f>
        <v>Ireland</v>
      </c>
      <c r="I640" t="str" cm="1">
        <f t="array" ref="I640:L640">_xlfn.XLOOKUP(D640,products!$A$2:$A$49,products!$B$2:$E$49)</f>
        <v>Ara</v>
      </c>
      <c r="J640" t="str">
        <v>M</v>
      </c>
      <c r="K640" s="8">
        <v>2.5</v>
      </c>
      <c r="L640" s="6">
        <v>25.874999999999996</v>
      </c>
      <c r="M640" s="7">
        <f t="shared" si="27"/>
        <v>77.624999999999986</v>
      </c>
      <c r="N640" t="str">
        <f t="shared" si="28"/>
        <v>Arasbica</v>
      </c>
      <c r="O640" t="str">
        <f t="shared" si="29"/>
        <v>Medium</v>
      </c>
      <c r="P640" t="str">
        <f>_xlfn.XLOOKUP(Orders!C640,Customers!$A$2:$A$1001,Customers!$I$2:$I$1001)</f>
        <v>Yes</v>
      </c>
    </row>
    <row r="641" spans="1:16" x14ac:dyDescent="0.3">
      <c r="A641" t="s">
        <v>1248</v>
      </c>
      <c r="B641" s="11">
        <v>44331</v>
      </c>
      <c r="C641" t="s">
        <v>1249</v>
      </c>
      <c r="D641" t="s">
        <v>43</v>
      </c>
      <c r="E641">
        <v>1</v>
      </c>
      <c r="F641" t="str">
        <f>_xlfn.XLOOKUP(C641,Customers!$A$2:$A$1001,Customers!$B$2:$B$1001)</f>
        <v>Jeno Capey</v>
      </c>
      <c r="G641" t="str">
        <f>_xlfn.XLOOKUP(C641,Customers!$A$2:$A$1001,Customers!$C$2:$C$1001)</f>
        <v>jcapeyhr@bravesites.com</v>
      </c>
      <c r="H641" t="str">
        <f>_xlfn.XLOOKUP(C641,Customers!$A$2:$A$1001,Customers!$G$2:$G$1001)</f>
        <v>United States</v>
      </c>
      <c r="I641" t="str" cm="1">
        <f t="array" ref="I641:L641">_xlfn.XLOOKUP(D641,products!$A$2:$A$49,products!$B$2:$E$49)</f>
        <v>Lib</v>
      </c>
      <c r="J641" t="str">
        <v>D</v>
      </c>
      <c r="K641" s="8">
        <v>0.2</v>
      </c>
      <c r="L641" s="6">
        <v>3.8849999999999998</v>
      </c>
      <c r="M641" s="7">
        <f t="shared" si="27"/>
        <v>3.8849999999999998</v>
      </c>
      <c r="N641" t="str">
        <f t="shared" si="28"/>
        <v>Liberica</v>
      </c>
      <c r="O641" t="str">
        <f t="shared" si="29"/>
        <v>Dark</v>
      </c>
      <c r="P641" t="str">
        <f>_xlfn.XLOOKUP(Orders!C641,Customers!$A$2:$A$1001,Customers!$I$2:$I$1001)</f>
        <v>Yes</v>
      </c>
    </row>
    <row r="642" spans="1:16" x14ac:dyDescent="0.3">
      <c r="A642" t="s">
        <v>1250</v>
      </c>
      <c r="B642" s="11">
        <v>44547</v>
      </c>
      <c r="C642" t="s">
        <v>1251</v>
      </c>
      <c r="D642" t="s">
        <v>15</v>
      </c>
      <c r="E642">
        <v>5</v>
      </c>
      <c r="F642" t="str">
        <f>_xlfn.XLOOKUP(C642,Customers!$A$2:$A$1001,Customers!$B$2:$B$1001)</f>
        <v>Tuckie Mathonnet</v>
      </c>
      <c r="G642" t="str">
        <f>_xlfn.XLOOKUP(C642,Customers!$A$2:$A$1001,Customers!$C$2:$C$1001)</f>
        <v>tmathonneti0@google.co.jp</v>
      </c>
      <c r="H642" t="str">
        <f>_xlfn.XLOOKUP(C642,Customers!$A$2:$A$1001,Customers!$G$2:$G$1001)</f>
        <v>United States</v>
      </c>
      <c r="I642" t="str" cm="1">
        <f t="array" ref="I642:L642">_xlfn.XLOOKUP(D642,products!$A$2:$A$49,products!$B$2:$E$49)</f>
        <v>Rob</v>
      </c>
      <c r="J642" t="str">
        <v>L</v>
      </c>
      <c r="K642" s="8">
        <v>2.5</v>
      </c>
      <c r="L642" s="6">
        <v>27.484999999999996</v>
      </c>
      <c r="M642" s="7">
        <f t="shared" si="27"/>
        <v>137.42499999999998</v>
      </c>
      <c r="N642" t="str">
        <f t="shared" si="28"/>
        <v>Robusta</v>
      </c>
      <c r="O642" t="str">
        <f t="shared" si="29"/>
        <v>Lite</v>
      </c>
      <c r="P642" t="str">
        <f>_xlfn.XLOOKUP(Orders!C642,Customers!$A$2:$A$1001,Customers!$I$2:$I$1001)</f>
        <v>No</v>
      </c>
    </row>
    <row r="643" spans="1:16" x14ac:dyDescent="0.3">
      <c r="A643" t="s">
        <v>1252</v>
      </c>
      <c r="B643" s="11">
        <v>44448</v>
      </c>
      <c r="C643" t="s">
        <v>1253</v>
      </c>
      <c r="D643" t="s">
        <v>194</v>
      </c>
      <c r="E643">
        <v>3</v>
      </c>
      <c r="F643" t="str">
        <f>_xlfn.XLOOKUP(C643,Customers!$A$2:$A$1001,Customers!$B$2:$B$1001)</f>
        <v>Yardley Basill</v>
      </c>
      <c r="G643" t="str">
        <f>_xlfn.XLOOKUP(C643,Customers!$A$2:$A$1001,Customers!$C$2:$C$1001)</f>
        <v>ybasillht@theguardian.com</v>
      </c>
      <c r="H643" t="str">
        <f>_xlfn.XLOOKUP(C643,Customers!$A$2:$A$1001,Customers!$G$2:$G$1001)</f>
        <v>United States</v>
      </c>
      <c r="I643" t="str" cm="1">
        <f t="array" ref="I643:L643">_xlfn.XLOOKUP(D643,products!$A$2:$A$49,products!$B$2:$E$49)</f>
        <v>Rob</v>
      </c>
      <c r="J643" t="str">
        <v>L</v>
      </c>
      <c r="K643" s="8">
        <v>1</v>
      </c>
      <c r="L643" s="6">
        <v>11.95</v>
      </c>
      <c r="M643" s="7">
        <f t="shared" ref="M643:M706" si="30">E643*L643</f>
        <v>35.849999999999994</v>
      </c>
      <c r="N643" t="str">
        <f t="shared" ref="N643:N706" si="31">IF(I643="rob","Robusta",IF(I643="Exc","Excelsa",IF(I643="Ara","Arasbica",IF(I643="Lib","Liberica"))))</f>
        <v>Robusta</v>
      </c>
      <c r="O643" t="str">
        <f t="shared" ref="O643:O706" si="32">IF(J643="M","Medium",IF(J643="L","Lite",IF(J643="D","Dark")))</f>
        <v>Lite</v>
      </c>
      <c r="P643" t="str">
        <f>_xlfn.XLOOKUP(Orders!C643,Customers!$A$2:$A$1001,Customers!$I$2:$I$1001)</f>
        <v>Yes</v>
      </c>
    </row>
    <row r="644" spans="1:16" x14ac:dyDescent="0.3">
      <c r="A644" t="s">
        <v>1254</v>
      </c>
      <c r="B644" s="11">
        <v>43880</v>
      </c>
      <c r="C644" t="s">
        <v>1255</v>
      </c>
      <c r="D644" t="s">
        <v>69</v>
      </c>
      <c r="E644">
        <v>2</v>
      </c>
      <c r="F644" t="str">
        <f>_xlfn.XLOOKUP(C644,Customers!$A$2:$A$1001,Customers!$B$2:$B$1001)</f>
        <v>Maggy Baistow</v>
      </c>
      <c r="G644" t="str">
        <f>_xlfn.XLOOKUP(C644,Customers!$A$2:$A$1001,Customers!$C$2:$C$1001)</f>
        <v>mbaistowhu@i2i.jp</v>
      </c>
      <c r="H644" t="str">
        <f>_xlfn.XLOOKUP(C644,Customers!$A$2:$A$1001,Customers!$G$2:$G$1001)</f>
        <v>United Kingdom</v>
      </c>
      <c r="I644" t="str" cm="1">
        <f t="array" ref="I644:L644">_xlfn.XLOOKUP(D644,products!$A$2:$A$49,products!$B$2:$E$49)</f>
        <v>Exc</v>
      </c>
      <c r="J644" t="str">
        <v>M</v>
      </c>
      <c r="K644" s="8">
        <v>0.2</v>
      </c>
      <c r="L644" s="6">
        <v>4.125</v>
      </c>
      <c r="M644" s="7">
        <f t="shared" si="30"/>
        <v>8.25</v>
      </c>
      <c r="N644" t="str">
        <f t="shared" si="31"/>
        <v>Excelsa</v>
      </c>
      <c r="O644" t="str">
        <f t="shared" si="32"/>
        <v>Medium</v>
      </c>
      <c r="P644" t="str">
        <f>_xlfn.XLOOKUP(Orders!C644,Customers!$A$2:$A$1001,Customers!$I$2:$I$1001)</f>
        <v>Yes</v>
      </c>
    </row>
    <row r="645" spans="1:16" x14ac:dyDescent="0.3">
      <c r="A645" t="s">
        <v>1256</v>
      </c>
      <c r="B645" s="11">
        <v>44011</v>
      </c>
      <c r="C645" t="s">
        <v>1257</v>
      </c>
      <c r="D645" t="s">
        <v>35</v>
      </c>
      <c r="E645">
        <v>3</v>
      </c>
      <c r="F645" t="str">
        <f>_xlfn.XLOOKUP(C645,Customers!$A$2:$A$1001,Customers!$B$2:$B$1001)</f>
        <v>Courtney Pallant</v>
      </c>
      <c r="G645" t="str">
        <f>_xlfn.XLOOKUP(C645,Customers!$A$2:$A$1001,Customers!$C$2:$C$1001)</f>
        <v>cpallanthv@typepad.com</v>
      </c>
      <c r="H645" t="str">
        <f>_xlfn.XLOOKUP(C645,Customers!$A$2:$A$1001,Customers!$G$2:$G$1001)</f>
        <v>United States</v>
      </c>
      <c r="I645" t="str" cm="1">
        <f t="array" ref="I645:L645">_xlfn.XLOOKUP(D645,products!$A$2:$A$49,products!$B$2:$E$49)</f>
        <v>Exc</v>
      </c>
      <c r="J645" t="str">
        <v>L</v>
      </c>
      <c r="K645" s="8">
        <v>2.5</v>
      </c>
      <c r="L645" s="6">
        <v>34.154999999999994</v>
      </c>
      <c r="M645" s="7">
        <f t="shared" si="30"/>
        <v>102.46499999999997</v>
      </c>
      <c r="N645" t="str">
        <f t="shared" si="31"/>
        <v>Excelsa</v>
      </c>
      <c r="O645" t="str">
        <f t="shared" si="32"/>
        <v>Lite</v>
      </c>
      <c r="P645" t="str">
        <f>_xlfn.XLOOKUP(Orders!C645,Customers!$A$2:$A$1001,Customers!$I$2:$I$1001)</f>
        <v>Yes</v>
      </c>
    </row>
    <row r="646" spans="1:16" x14ac:dyDescent="0.3">
      <c r="A646" t="s">
        <v>1258</v>
      </c>
      <c r="B646" s="11">
        <v>44694</v>
      </c>
      <c r="C646" t="s">
        <v>1259</v>
      </c>
      <c r="D646" t="s">
        <v>40</v>
      </c>
      <c r="E646">
        <v>2</v>
      </c>
      <c r="F646" t="str">
        <f>_xlfn.XLOOKUP(C646,Customers!$A$2:$A$1001,Customers!$B$2:$B$1001)</f>
        <v>Marne Mingey</v>
      </c>
      <c r="G646">
        <f>_xlfn.XLOOKUP(C646,Customers!$A$2:$A$1001,Customers!$C$2:$C$1001)</f>
        <v>0</v>
      </c>
      <c r="H646" t="str">
        <f>_xlfn.XLOOKUP(C646,Customers!$A$2:$A$1001,Customers!$G$2:$G$1001)</f>
        <v>United States</v>
      </c>
      <c r="I646" t="str" cm="1">
        <f t="array" ref="I646:L646">_xlfn.XLOOKUP(D646,products!$A$2:$A$49,products!$B$2:$E$49)</f>
        <v>Rob</v>
      </c>
      <c r="J646" t="str">
        <v>D</v>
      </c>
      <c r="K646" s="8">
        <v>2.5</v>
      </c>
      <c r="L646" s="6">
        <v>20.584999999999997</v>
      </c>
      <c r="M646" s="7">
        <f t="shared" si="30"/>
        <v>41.169999999999995</v>
      </c>
      <c r="N646" t="str">
        <f t="shared" si="31"/>
        <v>Robusta</v>
      </c>
      <c r="O646" t="str">
        <f t="shared" si="32"/>
        <v>Dark</v>
      </c>
      <c r="P646" t="str">
        <f>_xlfn.XLOOKUP(Orders!C646,Customers!$A$2:$A$1001,Customers!$I$2:$I$1001)</f>
        <v>No</v>
      </c>
    </row>
    <row r="647" spans="1:16" x14ac:dyDescent="0.3">
      <c r="A647" t="s">
        <v>1260</v>
      </c>
      <c r="B647" s="11">
        <v>44106</v>
      </c>
      <c r="C647" t="s">
        <v>1261</v>
      </c>
      <c r="D647" t="s">
        <v>123</v>
      </c>
      <c r="E647">
        <v>3</v>
      </c>
      <c r="F647" t="str">
        <f>_xlfn.XLOOKUP(C647,Customers!$A$2:$A$1001,Customers!$B$2:$B$1001)</f>
        <v>Denny O' Ronan</v>
      </c>
      <c r="G647" t="str">
        <f>_xlfn.XLOOKUP(C647,Customers!$A$2:$A$1001,Customers!$C$2:$C$1001)</f>
        <v>dohx@redcross.org</v>
      </c>
      <c r="H647" t="str">
        <f>_xlfn.XLOOKUP(C647,Customers!$A$2:$A$1001,Customers!$G$2:$G$1001)</f>
        <v>United States</v>
      </c>
      <c r="I647" t="str" cm="1">
        <f t="array" ref="I647:L647">_xlfn.XLOOKUP(D647,products!$A$2:$A$49,products!$B$2:$E$49)</f>
        <v>Ara</v>
      </c>
      <c r="J647" t="str">
        <v>D</v>
      </c>
      <c r="K647" s="8">
        <v>2.5</v>
      </c>
      <c r="L647" s="6">
        <v>22.884999999999998</v>
      </c>
      <c r="M647" s="7">
        <f t="shared" si="30"/>
        <v>68.655000000000001</v>
      </c>
      <c r="N647" t="str">
        <f t="shared" si="31"/>
        <v>Arasbica</v>
      </c>
      <c r="O647" t="str">
        <f t="shared" si="32"/>
        <v>Dark</v>
      </c>
      <c r="P647" t="str">
        <f>_xlfn.XLOOKUP(Orders!C647,Customers!$A$2:$A$1001,Customers!$I$2:$I$1001)</f>
        <v>Yes</v>
      </c>
    </row>
    <row r="648" spans="1:16" x14ac:dyDescent="0.3">
      <c r="A648" t="s">
        <v>1262</v>
      </c>
      <c r="B648" s="11">
        <v>44532</v>
      </c>
      <c r="C648" t="s">
        <v>1263</v>
      </c>
      <c r="D648" t="s">
        <v>32</v>
      </c>
      <c r="E648">
        <v>1</v>
      </c>
      <c r="F648" t="str">
        <f>_xlfn.XLOOKUP(C648,Customers!$A$2:$A$1001,Customers!$B$2:$B$1001)</f>
        <v>Dottie Rallin</v>
      </c>
      <c r="G648" t="str">
        <f>_xlfn.XLOOKUP(C648,Customers!$A$2:$A$1001,Customers!$C$2:$C$1001)</f>
        <v>drallinhy@howstuffworks.com</v>
      </c>
      <c r="H648" t="str">
        <f>_xlfn.XLOOKUP(C648,Customers!$A$2:$A$1001,Customers!$G$2:$G$1001)</f>
        <v>United States</v>
      </c>
      <c r="I648" t="str" cm="1">
        <f t="array" ref="I648:L648">_xlfn.XLOOKUP(D648,products!$A$2:$A$49,products!$B$2:$E$49)</f>
        <v>Ara</v>
      </c>
      <c r="J648" t="str">
        <v>D</v>
      </c>
      <c r="K648" s="8">
        <v>1</v>
      </c>
      <c r="L648" s="6">
        <v>9.9499999999999993</v>
      </c>
      <c r="M648" s="7">
        <f t="shared" si="30"/>
        <v>9.9499999999999993</v>
      </c>
      <c r="N648" t="str">
        <f t="shared" si="31"/>
        <v>Arasbica</v>
      </c>
      <c r="O648" t="str">
        <f t="shared" si="32"/>
        <v>Dark</v>
      </c>
      <c r="P648" t="str">
        <f>_xlfn.XLOOKUP(Orders!C648,Customers!$A$2:$A$1001,Customers!$I$2:$I$1001)</f>
        <v>Yes</v>
      </c>
    </row>
    <row r="649" spans="1:16" x14ac:dyDescent="0.3">
      <c r="A649" t="s">
        <v>1264</v>
      </c>
      <c r="B649" s="11">
        <v>44502</v>
      </c>
      <c r="C649" t="s">
        <v>1265</v>
      </c>
      <c r="D649" t="s">
        <v>88</v>
      </c>
      <c r="E649">
        <v>3</v>
      </c>
      <c r="F649" t="str">
        <f>_xlfn.XLOOKUP(C649,Customers!$A$2:$A$1001,Customers!$B$2:$B$1001)</f>
        <v>Ardith Chill</v>
      </c>
      <c r="G649" t="str">
        <f>_xlfn.XLOOKUP(C649,Customers!$A$2:$A$1001,Customers!$C$2:$C$1001)</f>
        <v>achillhz@epa.gov</v>
      </c>
      <c r="H649" t="str">
        <f>_xlfn.XLOOKUP(C649,Customers!$A$2:$A$1001,Customers!$G$2:$G$1001)</f>
        <v>United Kingdom</v>
      </c>
      <c r="I649" t="str" cm="1">
        <f t="array" ref="I649:L649">_xlfn.XLOOKUP(D649,products!$A$2:$A$49,products!$B$2:$E$49)</f>
        <v>Lib</v>
      </c>
      <c r="J649" t="str">
        <v>L</v>
      </c>
      <c r="K649" s="8">
        <v>0.5</v>
      </c>
      <c r="L649" s="6">
        <v>9.51</v>
      </c>
      <c r="M649" s="7">
        <f t="shared" si="30"/>
        <v>28.53</v>
      </c>
      <c r="N649" t="str">
        <f t="shared" si="31"/>
        <v>Liberica</v>
      </c>
      <c r="O649" t="str">
        <f t="shared" si="32"/>
        <v>Lite</v>
      </c>
      <c r="P649" t="str">
        <f>_xlfn.XLOOKUP(Orders!C649,Customers!$A$2:$A$1001,Customers!$I$2:$I$1001)</f>
        <v>Yes</v>
      </c>
    </row>
    <row r="650" spans="1:16" x14ac:dyDescent="0.3">
      <c r="A650" t="s">
        <v>1266</v>
      </c>
      <c r="B650" s="11">
        <v>43884</v>
      </c>
      <c r="C650" t="s">
        <v>1251</v>
      </c>
      <c r="D650" t="s">
        <v>106</v>
      </c>
      <c r="E650">
        <v>6</v>
      </c>
      <c r="F650" t="str">
        <f>_xlfn.XLOOKUP(C650,Customers!$A$2:$A$1001,Customers!$B$2:$B$1001)</f>
        <v>Tuckie Mathonnet</v>
      </c>
      <c r="G650" t="str">
        <f>_xlfn.XLOOKUP(C650,Customers!$A$2:$A$1001,Customers!$C$2:$C$1001)</f>
        <v>tmathonneti0@google.co.jp</v>
      </c>
      <c r="H650" t="str">
        <f>_xlfn.XLOOKUP(C650,Customers!$A$2:$A$1001,Customers!$G$2:$G$1001)</f>
        <v>United States</v>
      </c>
      <c r="I650" t="str" cm="1">
        <f t="array" ref="I650:L650">_xlfn.XLOOKUP(D650,products!$A$2:$A$49,products!$B$2:$E$49)</f>
        <v>Rob</v>
      </c>
      <c r="J650" t="str">
        <v>D</v>
      </c>
      <c r="K650" s="8">
        <v>0.2</v>
      </c>
      <c r="L650" s="6">
        <v>2.6849999999999996</v>
      </c>
      <c r="M650" s="7">
        <f t="shared" si="30"/>
        <v>16.11</v>
      </c>
      <c r="N650" t="str">
        <f t="shared" si="31"/>
        <v>Robusta</v>
      </c>
      <c r="O650" t="str">
        <f t="shared" si="32"/>
        <v>Dark</v>
      </c>
      <c r="P650" t="str">
        <f>_xlfn.XLOOKUP(Orders!C650,Customers!$A$2:$A$1001,Customers!$I$2:$I$1001)</f>
        <v>No</v>
      </c>
    </row>
    <row r="651" spans="1:16" x14ac:dyDescent="0.3">
      <c r="A651" t="s">
        <v>1267</v>
      </c>
      <c r="B651" s="11">
        <v>44015</v>
      </c>
      <c r="C651" t="s">
        <v>1268</v>
      </c>
      <c r="D651" t="s">
        <v>137</v>
      </c>
      <c r="E651">
        <v>6</v>
      </c>
      <c r="F651" t="str">
        <f>_xlfn.XLOOKUP(C651,Customers!$A$2:$A$1001,Customers!$B$2:$B$1001)</f>
        <v>Charmane Denys</v>
      </c>
      <c r="G651" t="str">
        <f>_xlfn.XLOOKUP(C651,Customers!$A$2:$A$1001,Customers!$C$2:$C$1001)</f>
        <v>cdenysi1@is.gd</v>
      </c>
      <c r="H651" t="str">
        <f>_xlfn.XLOOKUP(C651,Customers!$A$2:$A$1001,Customers!$G$2:$G$1001)</f>
        <v>United Kingdom</v>
      </c>
      <c r="I651" t="str" cm="1">
        <f t="array" ref="I651:L651">_xlfn.XLOOKUP(D651,products!$A$2:$A$49,products!$B$2:$E$49)</f>
        <v>Lib</v>
      </c>
      <c r="J651" t="str">
        <v>L</v>
      </c>
      <c r="K651" s="8">
        <v>1</v>
      </c>
      <c r="L651" s="6">
        <v>15.85</v>
      </c>
      <c r="M651" s="7">
        <f t="shared" si="30"/>
        <v>95.1</v>
      </c>
      <c r="N651" t="str">
        <f t="shared" si="31"/>
        <v>Liberica</v>
      </c>
      <c r="O651" t="str">
        <f t="shared" si="32"/>
        <v>Lite</v>
      </c>
      <c r="P651" t="str">
        <f>_xlfn.XLOOKUP(Orders!C651,Customers!$A$2:$A$1001,Customers!$I$2:$I$1001)</f>
        <v>No</v>
      </c>
    </row>
    <row r="652" spans="1:16" x14ac:dyDescent="0.3">
      <c r="A652" t="s">
        <v>1269</v>
      </c>
      <c r="B652" s="11">
        <v>43507</v>
      </c>
      <c r="C652" t="s">
        <v>1270</v>
      </c>
      <c r="D652" t="s">
        <v>151</v>
      </c>
      <c r="E652">
        <v>1</v>
      </c>
      <c r="F652" t="str">
        <f>_xlfn.XLOOKUP(C652,Customers!$A$2:$A$1001,Customers!$B$2:$B$1001)</f>
        <v>Cecily Stebbings</v>
      </c>
      <c r="G652" t="str">
        <f>_xlfn.XLOOKUP(C652,Customers!$A$2:$A$1001,Customers!$C$2:$C$1001)</f>
        <v>cstebbingsi2@drupal.org</v>
      </c>
      <c r="H652" t="str">
        <f>_xlfn.XLOOKUP(C652,Customers!$A$2:$A$1001,Customers!$G$2:$G$1001)</f>
        <v>United States</v>
      </c>
      <c r="I652" t="str" cm="1">
        <f t="array" ref="I652:L652">_xlfn.XLOOKUP(D652,products!$A$2:$A$49,products!$B$2:$E$49)</f>
        <v>Rob</v>
      </c>
      <c r="J652" t="str">
        <v>D</v>
      </c>
      <c r="K652" s="8">
        <v>0.5</v>
      </c>
      <c r="L652" s="6">
        <v>5.3699999999999992</v>
      </c>
      <c r="M652" s="7">
        <f t="shared" si="30"/>
        <v>5.3699999999999992</v>
      </c>
      <c r="N652" t="str">
        <f t="shared" si="31"/>
        <v>Robusta</v>
      </c>
      <c r="O652" t="str">
        <f t="shared" si="32"/>
        <v>Dark</v>
      </c>
      <c r="P652" t="str">
        <f>_xlfn.XLOOKUP(Orders!C652,Customers!$A$2:$A$1001,Customers!$I$2:$I$1001)</f>
        <v>Yes</v>
      </c>
    </row>
    <row r="653" spans="1:16" x14ac:dyDescent="0.3">
      <c r="A653" t="s">
        <v>1271</v>
      </c>
      <c r="B653" s="11">
        <v>44084</v>
      </c>
      <c r="C653" t="s">
        <v>1272</v>
      </c>
      <c r="D653" t="s">
        <v>194</v>
      </c>
      <c r="E653">
        <v>4</v>
      </c>
      <c r="F653" t="str">
        <f>_xlfn.XLOOKUP(C653,Customers!$A$2:$A$1001,Customers!$B$2:$B$1001)</f>
        <v>Giana Tonnesen</v>
      </c>
      <c r="G653">
        <f>_xlfn.XLOOKUP(C653,Customers!$A$2:$A$1001,Customers!$C$2:$C$1001)</f>
        <v>0</v>
      </c>
      <c r="H653" t="str">
        <f>_xlfn.XLOOKUP(C653,Customers!$A$2:$A$1001,Customers!$G$2:$G$1001)</f>
        <v>United States</v>
      </c>
      <c r="I653" t="str" cm="1">
        <f t="array" ref="I653:L653">_xlfn.XLOOKUP(D653,products!$A$2:$A$49,products!$B$2:$E$49)</f>
        <v>Rob</v>
      </c>
      <c r="J653" t="str">
        <v>L</v>
      </c>
      <c r="K653" s="8">
        <v>1</v>
      </c>
      <c r="L653" s="6">
        <v>11.95</v>
      </c>
      <c r="M653" s="7">
        <f t="shared" si="30"/>
        <v>47.8</v>
      </c>
      <c r="N653" t="str">
        <f t="shared" si="31"/>
        <v>Robusta</v>
      </c>
      <c r="O653" t="str">
        <f t="shared" si="32"/>
        <v>Lite</v>
      </c>
      <c r="P653" t="str">
        <f>_xlfn.XLOOKUP(Orders!C653,Customers!$A$2:$A$1001,Customers!$I$2:$I$1001)</f>
        <v>No</v>
      </c>
    </row>
    <row r="654" spans="1:16" x14ac:dyDescent="0.3">
      <c r="A654" t="s">
        <v>1273</v>
      </c>
      <c r="B654" s="11">
        <v>43892</v>
      </c>
      <c r="C654" t="s">
        <v>1274</v>
      </c>
      <c r="D654" t="s">
        <v>137</v>
      </c>
      <c r="E654">
        <v>4</v>
      </c>
      <c r="F654" t="str">
        <f>_xlfn.XLOOKUP(C654,Customers!$A$2:$A$1001,Customers!$B$2:$B$1001)</f>
        <v>Rhetta Zywicki</v>
      </c>
      <c r="G654" t="str">
        <f>_xlfn.XLOOKUP(C654,Customers!$A$2:$A$1001,Customers!$C$2:$C$1001)</f>
        <v>rzywickii4@ifeng.com</v>
      </c>
      <c r="H654" t="str">
        <f>_xlfn.XLOOKUP(C654,Customers!$A$2:$A$1001,Customers!$G$2:$G$1001)</f>
        <v>Ireland</v>
      </c>
      <c r="I654" t="str" cm="1">
        <f t="array" ref="I654:L654">_xlfn.XLOOKUP(D654,products!$A$2:$A$49,products!$B$2:$E$49)</f>
        <v>Lib</v>
      </c>
      <c r="J654" t="str">
        <v>L</v>
      </c>
      <c r="K654" s="8">
        <v>1</v>
      </c>
      <c r="L654" s="6">
        <v>15.85</v>
      </c>
      <c r="M654" s="7">
        <f t="shared" si="30"/>
        <v>63.4</v>
      </c>
      <c r="N654" t="str">
        <f t="shared" si="31"/>
        <v>Liberica</v>
      </c>
      <c r="O654" t="str">
        <f t="shared" si="32"/>
        <v>Lite</v>
      </c>
      <c r="P654" t="str">
        <f>_xlfn.XLOOKUP(Orders!C654,Customers!$A$2:$A$1001,Customers!$I$2:$I$1001)</f>
        <v>No</v>
      </c>
    </row>
    <row r="655" spans="1:16" x14ac:dyDescent="0.3">
      <c r="A655" t="s">
        <v>1275</v>
      </c>
      <c r="B655" s="11">
        <v>44375</v>
      </c>
      <c r="C655" t="s">
        <v>1276</v>
      </c>
      <c r="D655" t="s">
        <v>176</v>
      </c>
      <c r="E655">
        <v>4</v>
      </c>
      <c r="F655" t="str">
        <f>_xlfn.XLOOKUP(C655,Customers!$A$2:$A$1001,Customers!$B$2:$B$1001)</f>
        <v>Almeria Burgett</v>
      </c>
      <c r="G655" t="str">
        <f>_xlfn.XLOOKUP(C655,Customers!$A$2:$A$1001,Customers!$C$2:$C$1001)</f>
        <v>aburgetti5@moonfruit.com</v>
      </c>
      <c r="H655" t="str">
        <f>_xlfn.XLOOKUP(C655,Customers!$A$2:$A$1001,Customers!$G$2:$G$1001)</f>
        <v>United States</v>
      </c>
      <c r="I655" t="str" cm="1">
        <f t="array" ref="I655:L655">_xlfn.XLOOKUP(D655,products!$A$2:$A$49,products!$B$2:$E$49)</f>
        <v>Ara</v>
      </c>
      <c r="J655" t="str">
        <v>M</v>
      </c>
      <c r="K655" s="8">
        <v>2.5</v>
      </c>
      <c r="L655" s="6">
        <v>25.874999999999996</v>
      </c>
      <c r="M655" s="7">
        <f t="shared" si="30"/>
        <v>103.49999999999999</v>
      </c>
      <c r="N655" t="str">
        <f t="shared" si="31"/>
        <v>Arasbica</v>
      </c>
      <c r="O655" t="str">
        <f t="shared" si="32"/>
        <v>Medium</v>
      </c>
      <c r="P655" t="str">
        <f>_xlfn.XLOOKUP(Orders!C655,Customers!$A$2:$A$1001,Customers!$I$2:$I$1001)</f>
        <v>No</v>
      </c>
    </row>
    <row r="656" spans="1:16" x14ac:dyDescent="0.3">
      <c r="A656" t="s">
        <v>1277</v>
      </c>
      <c r="B656" s="11">
        <v>43476</v>
      </c>
      <c r="C656" t="s">
        <v>1278</v>
      </c>
      <c r="D656" t="s">
        <v>123</v>
      </c>
      <c r="E656">
        <v>3</v>
      </c>
      <c r="F656" t="str">
        <f>_xlfn.XLOOKUP(C656,Customers!$A$2:$A$1001,Customers!$B$2:$B$1001)</f>
        <v>Marvin Malloy</v>
      </c>
      <c r="G656" t="str">
        <f>_xlfn.XLOOKUP(C656,Customers!$A$2:$A$1001,Customers!$C$2:$C$1001)</f>
        <v>mmalloyi6@seattletimes.com</v>
      </c>
      <c r="H656" t="str">
        <f>_xlfn.XLOOKUP(C656,Customers!$A$2:$A$1001,Customers!$G$2:$G$1001)</f>
        <v>United States</v>
      </c>
      <c r="I656" t="str" cm="1">
        <f t="array" ref="I656:L656">_xlfn.XLOOKUP(D656,products!$A$2:$A$49,products!$B$2:$E$49)</f>
        <v>Ara</v>
      </c>
      <c r="J656" t="str">
        <v>D</v>
      </c>
      <c r="K656" s="8">
        <v>2.5</v>
      </c>
      <c r="L656" s="6">
        <v>22.884999999999998</v>
      </c>
      <c r="M656" s="7">
        <f t="shared" si="30"/>
        <v>68.655000000000001</v>
      </c>
      <c r="N656" t="str">
        <f t="shared" si="31"/>
        <v>Arasbica</v>
      </c>
      <c r="O656" t="str">
        <f t="shared" si="32"/>
        <v>Dark</v>
      </c>
      <c r="P656" t="str">
        <f>_xlfn.XLOOKUP(Orders!C656,Customers!$A$2:$A$1001,Customers!$I$2:$I$1001)</f>
        <v>No</v>
      </c>
    </row>
    <row r="657" spans="1:16" x14ac:dyDescent="0.3">
      <c r="A657" t="s">
        <v>1279</v>
      </c>
      <c r="B657" s="11">
        <v>43728</v>
      </c>
      <c r="C657" t="s">
        <v>1280</v>
      </c>
      <c r="D657" t="s">
        <v>46</v>
      </c>
      <c r="E657">
        <v>2</v>
      </c>
      <c r="F657" t="str">
        <f>_xlfn.XLOOKUP(C657,Customers!$A$2:$A$1001,Customers!$B$2:$B$1001)</f>
        <v>Maxim McParland</v>
      </c>
      <c r="G657" t="str">
        <f>_xlfn.XLOOKUP(C657,Customers!$A$2:$A$1001,Customers!$C$2:$C$1001)</f>
        <v>mmcparlandi7@w3.org</v>
      </c>
      <c r="H657" t="str">
        <f>_xlfn.XLOOKUP(C657,Customers!$A$2:$A$1001,Customers!$G$2:$G$1001)</f>
        <v>United States</v>
      </c>
      <c r="I657" t="str" cm="1">
        <f t="array" ref="I657:L657">_xlfn.XLOOKUP(D657,products!$A$2:$A$49,products!$B$2:$E$49)</f>
        <v>Rob</v>
      </c>
      <c r="J657" t="str">
        <v>M</v>
      </c>
      <c r="K657" s="8">
        <v>2.5</v>
      </c>
      <c r="L657" s="6">
        <v>22.884999999999998</v>
      </c>
      <c r="M657" s="7">
        <f t="shared" si="30"/>
        <v>45.769999999999996</v>
      </c>
      <c r="N657" t="str">
        <f t="shared" si="31"/>
        <v>Robusta</v>
      </c>
      <c r="O657" t="str">
        <f t="shared" si="32"/>
        <v>Medium</v>
      </c>
      <c r="P657" t="str">
        <f>_xlfn.XLOOKUP(Orders!C657,Customers!$A$2:$A$1001,Customers!$I$2:$I$1001)</f>
        <v>Yes</v>
      </c>
    </row>
    <row r="658" spans="1:16" x14ac:dyDescent="0.3">
      <c r="A658" t="s">
        <v>1281</v>
      </c>
      <c r="B658" s="11">
        <v>44485</v>
      </c>
      <c r="C658" t="s">
        <v>1282</v>
      </c>
      <c r="D658" t="s">
        <v>18</v>
      </c>
      <c r="E658">
        <v>4</v>
      </c>
      <c r="F658" t="str">
        <f>_xlfn.XLOOKUP(C658,Customers!$A$2:$A$1001,Customers!$B$2:$B$1001)</f>
        <v>Sylas Jennaroy</v>
      </c>
      <c r="G658" t="str">
        <f>_xlfn.XLOOKUP(C658,Customers!$A$2:$A$1001,Customers!$C$2:$C$1001)</f>
        <v>sjennaroyi8@purevolume.com</v>
      </c>
      <c r="H658" t="str">
        <f>_xlfn.XLOOKUP(C658,Customers!$A$2:$A$1001,Customers!$G$2:$G$1001)</f>
        <v>United States</v>
      </c>
      <c r="I658" t="str" cm="1">
        <f t="array" ref="I658:L658">_xlfn.XLOOKUP(D658,products!$A$2:$A$49,products!$B$2:$E$49)</f>
        <v>Lib</v>
      </c>
      <c r="J658" t="str">
        <v>D</v>
      </c>
      <c r="K658" s="8">
        <v>1</v>
      </c>
      <c r="L658" s="6">
        <v>12.95</v>
      </c>
      <c r="M658" s="7">
        <f t="shared" si="30"/>
        <v>51.8</v>
      </c>
      <c r="N658" t="str">
        <f t="shared" si="31"/>
        <v>Liberica</v>
      </c>
      <c r="O658" t="str">
        <f t="shared" si="32"/>
        <v>Dark</v>
      </c>
      <c r="P658" t="str">
        <f>_xlfn.XLOOKUP(Orders!C658,Customers!$A$2:$A$1001,Customers!$I$2:$I$1001)</f>
        <v>No</v>
      </c>
    </row>
    <row r="659" spans="1:16" x14ac:dyDescent="0.3">
      <c r="A659" t="s">
        <v>1283</v>
      </c>
      <c r="B659" s="11">
        <v>43831</v>
      </c>
      <c r="C659" t="s">
        <v>1284</v>
      </c>
      <c r="D659" t="s">
        <v>72</v>
      </c>
      <c r="E659">
        <v>2</v>
      </c>
      <c r="F659" t="str">
        <f>_xlfn.XLOOKUP(C659,Customers!$A$2:$A$1001,Customers!$B$2:$B$1001)</f>
        <v>Wren Place</v>
      </c>
      <c r="G659" t="str">
        <f>_xlfn.XLOOKUP(C659,Customers!$A$2:$A$1001,Customers!$C$2:$C$1001)</f>
        <v>wplacei9@wsj.com</v>
      </c>
      <c r="H659" t="str">
        <f>_xlfn.XLOOKUP(C659,Customers!$A$2:$A$1001,Customers!$G$2:$G$1001)</f>
        <v>United States</v>
      </c>
      <c r="I659" t="str" cm="1">
        <f t="array" ref="I659:L659">_xlfn.XLOOKUP(D659,products!$A$2:$A$49,products!$B$2:$E$49)</f>
        <v>Ara</v>
      </c>
      <c r="J659" t="str">
        <v>M</v>
      </c>
      <c r="K659" s="8">
        <v>0.5</v>
      </c>
      <c r="L659" s="6">
        <v>6.75</v>
      </c>
      <c r="M659" s="7">
        <f t="shared" si="30"/>
        <v>13.5</v>
      </c>
      <c r="N659" t="str">
        <f t="shared" si="31"/>
        <v>Arasbica</v>
      </c>
      <c r="O659" t="str">
        <f t="shared" si="32"/>
        <v>Medium</v>
      </c>
      <c r="P659" t="str">
        <f>_xlfn.XLOOKUP(Orders!C659,Customers!$A$2:$A$1001,Customers!$I$2:$I$1001)</f>
        <v>Yes</v>
      </c>
    </row>
    <row r="660" spans="1:16" x14ac:dyDescent="0.3">
      <c r="A660" t="s">
        <v>1285</v>
      </c>
      <c r="B660" s="11">
        <v>44630</v>
      </c>
      <c r="C660" t="s">
        <v>1286</v>
      </c>
      <c r="D660" t="s">
        <v>8</v>
      </c>
      <c r="E660">
        <v>3</v>
      </c>
      <c r="F660" t="str">
        <f>_xlfn.XLOOKUP(C660,Customers!$A$2:$A$1001,Customers!$B$2:$B$1001)</f>
        <v>Janella Millett</v>
      </c>
      <c r="G660" t="str">
        <f>_xlfn.XLOOKUP(C660,Customers!$A$2:$A$1001,Customers!$C$2:$C$1001)</f>
        <v>jmillettik@addtoany.com</v>
      </c>
      <c r="H660" t="str">
        <f>_xlfn.XLOOKUP(C660,Customers!$A$2:$A$1001,Customers!$G$2:$G$1001)</f>
        <v>United States</v>
      </c>
      <c r="I660" t="str" cm="1">
        <f t="array" ref="I660:L660">_xlfn.XLOOKUP(D660,products!$A$2:$A$49,products!$B$2:$E$49)</f>
        <v>Exc</v>
      </c>
      <c r="J660" t="str">
        <v>M</v>
      </c>
      <c r="K660" s="8">
        <v>0.5</v>
      </c>
      <c r="L660" s="6">
        <v>8.25</v>
      </c>
      <c r="M660" s="7">
        <f t="shared" si="30"/>
        <v>24.75</v>
      </c>
      <c r="N660" t="str">
        <f t="shared" si="31"/>
        <v>Excelsa</v>
      </c>
      <c r="O660" t="str">
        <f t="shared" si="32"/>
        <v>Medium</v>
      </c>
      <c r="P660" t="str">
        <f>_xlfn.XLOOKUP(Orders!C660,Customers!$A$2:$A$1001,Customers!$I$2:$I$1001)</f>
        <v>Yes</v>
      </c>
    </row>
    <row r="661" spans="1:16" x14ac:dyDescent="0.3">
      <c r="A661" t="s">
        <v>1287</v>
      </c>
      <c r="B661" s="11">
        <v>44693</v>
      </c>
      <c r="C661" t="s">
        <v>1288</v>
      </c>
      <c r="D661" t="s">
        <v>123</v>
      </c>
      <c r="E661">
        <v>2</v>
      </c>
      <c r="F661" t="str">
        <f>_xlfn.XLOOKUP(C661,Customers!$A$2:$A$1001,Customers!$B$2:$B$1001)</f>
        <v>Dollie Gadsden</v>
      </c>
      <c r="G661" t="str">
        <f>_xlfn.XLOOKUP(C661,Customers!$A$2:$A$1001,Customers!$C$2:$C$1001)</f>
        <v>dgadsdenib@google.com.hk</v>
      </c>
      <c r="H661" t="str">
        <f>_xlfn.XLOOKUP(C661,Customers!$A$2:$A$1001,Customers!$G$2:$G$1001)</f>
        <v>Ireland</v>
      </c>
      <c r="I661" t="str" cm="1">
        <f t="array" ref="I661:L661">_xlfn.XLOOKUP(D661,products!$A$2:$A$49,products!$B$2:$E$49)</f>
        <v>Ara</v>
      </c>
      <c r="J661" t="str">
        <v>D</v>
      </c>
      <c r="K661" s="8">
        <v>2.5</v>
      </c>
      <c r="L661" s="6">
        <v>22.884999999999998</v>
      </c>
      <c r="M661" s="7">
        <f t="shared" si="30"/>
        <v>45.769999999999996</v>
      </c>
      <c r="N661" t="str">
        <f t="shared" si="31"/>
        <v>Arasbica</v>
      </c>
      <c r="O661" t="str">
        <f t="shared" si="32"/>
        <v>Dark</v>
      </c>
      <c r="P661" t="str">
        <f>_xlfn.XLOOKUP(Orders!C661,Customers!$A$2:$A$1001,Customers!$I$2:$I$1001)</f>
        <v>Yes</v>
      </c>
    </row>
    <row r="662" spans="1:16" x14ac:dyDescent="0.3">
      <c r="A662" t="s">
        <v>1289</v>
      </c>
      <c r="B662" s="11">
        <v>44084</v>
      </c>
      <c r="C662" t="s">
        <v>1290</v>
      </c>
      <c r="D662" t="s">
        <v>181</v>
      </c>
      <c r="E662">
        <v>6</v>
      </c>
      <c r="F662" t="str">
        <f>_xlfn.XLOOKUP(C662,Customers!$A$2:$A$1001,Customers!$B$2:$B$1001)</f>
        <v>Val Wakelin</v>
      </c>
      <c r="G662" t="str">
        <f>_xlfn.XLOOKUP(C662,Customers!$A$2:$A$1001,Customers!$C$2:$C$1001)</f>
        <v>vwakelinic@unesco.org</v>
      </c>
      <c r="H662" t="str">
        <f>_xlfn.XLOOKUP(C662,Customers!$A$2:$A$1001,Customers!$G$2:$G$1001)</f>
        <v>United States</v>
      </c>
      <c r="I662" t="str" cm="1">
        <f t="array" ref="I662:L662">_xlfn.XLOOKUP(D662,products!$A$2:$A$49,products!$B$2:$E$49)</f>
        <v>Exc</v>
      </c>
      <c r="J662" t="str">
        <v>L</v>
      </c>
      <c r="K662" s="8">
        <v>0.5</v>
      </c>
      <c r="L662" s="6">
        <v>8.91</v>
      </c>
      <c r="M662" s="7">
        <f t="shared" si="30"/>
        <v>53.46</v>
      </c>
      <c r="N662" t="str">
        <f t="shared" si="31"/>
        <v>Excelsa</v>
      </c>
      <c r="O662" t="str">
        <f t="shared" si="32"/>
        <v>Lite</v>
      </c>
      <c r="P662" t="str">
        <f>_xlfn.XLOOKUP(Orders!C662,Customers!$A$2:$A$1001,Customers!$I$2:$I$1001)</f>
        <v>No</v>
      </c>
    </row>
    <row r="663" spans="1:16" x14ac:dyDescent="0.3">
      <c r="A663" t="s">
        <v>1291</v>
      </c>
      <c r="B663" s="11">
        <v>44485</v>
      </c>
      <c r="C663" t="s">
        <v>1292</v>
      </c>
      <c r="D663" t="s">
        <v>49</v>
      </c>
      <c r="E663">
        <v>6</v>
      </c>
      <c r="F663" t="str">
        <f>_xlfn.XLOOKUP(C663,Customers!$A$2:$A$1001,Customers!$B$2:$B$1001)</f>
        <v>Annie Campsall</v>
      </c>
      <c r="G663" t="str">
        <f>_xlfn.XLOOKUP(C663,Customers!$A$2:$A$1001,Customers!$C$2:$C$1001)</f>
        <v>acampsallid@zimbio.com</v>
      </c>
      <c r="H663" t="str">
        <f>_xlfn.XLOOKUP(C663,Customers!$A$2:$A$1001,Customers!$G$2:$G$1001)</f>
        <v>United States</v>
      </c>
      <c r="I663" t="str" cm="1">
        <f t="array" ref="I663:L663">_xlfn.XLOOKUP(D663,products!$A$2:$A$49,products!$B$2:$E$49)</f>
        <v>Ara</v>
      </c>
      <c r="J663" t="str">
        <v>M</v>
      </c>
      <c r="K663" s="8">
        <v>0.2</v>
      </c>
      <c r="L663" s="6">
        <v>3.375</v>
      </c>
      <c r="M663" s="7">
        <f t="shared" si="30"/>
        <v>20.25</v>
      </c>
      <c r="N663" t="str">
        <f t="shared" si="31"/>
        <v>Arasbica</v>
      </c>
      <c r="O663" t="str">
        <f t="shared" si="32"/>
        <v>Medium</v>
      </c>
      <c r="P663" t="str">
        <f>_xlfn.XLOOKUP(Orders!C663,Customers!$A$2:$A$1001,Customers!$I$2:$I$1001)</f>
        <v>Yes</v>
      </c>
    </row>
    <row r="664" spans="1:16" x14ac:dyDescent="0.3">
      <c r="A664" t="s">
        <v>1293</v>
      </c>
      <c r="B664" s="11">
        <v>44364</v>
      </c>
      <c r="C664" t="s">
        <v>1294</v>
      </c>
      <c r="D664" t="s">
        <v>114</v>
      </c>
      <c r="E664">
        <v>5</v>
      </c>
      <c r="F664" t="str">
        <f>_xlfn.XLOOKUP(C664,Customers!$A$2:$A$1001,Customers!$B$2:$B$1001)</f>
        <v>Shermy Moseby</v>
      </c>
      <c r="G664" t="str">
        <f>_xlfn.XLOOKUP(C664,Customers!$A$2:$A$1001,Customers!$C$2:$C$1001)</f>
        <v>smosebyie@stanford.edu</v>
      </c>
      <c r="H664" t="str">
        <f>_xlfn.XLOOKUP(C664,Customers!$A$2:$A$1001,Customers!$G$2:$G$1001)</f>
        <v>United States</v>
      </c>
      <c r="I664" t="str" cm="1">
        <f t="array" ref="I664:L664">_xlfn.XLOOKUP(D664,products!$A$2:$A$49,products!$B$2:$E$49)</f>
        <v>Lib</v>
      </c>
      <c r="J664" t="str">
        <v>D</v>
      </c>
      <c r="K664" s="8">
        <v>2.5</v>
      </c>
      <c r="L664" s="6">
        <v>29.784999999999997</v>
      </c>
      <c r="M664" s="7">
        <f t="shared" si="30"/>
        <v>148.92499999999998</v>
      </c>
      <c r="N664" t="str">
        <f t="shared" si="31"/>
        <v>Liberica</v>
      </c>
      <c r="O664" t="str">
        <f t="shared" si="32"/>
        <v>Dark</v>
      </c>
      <c r="P664" t="str">
        <f>_xlfn.XLOOKUP(Orders!C664,Customers!$A$2:$A$1001,Customers!$I$2:$I$1001)</f>
        <v>No</v>
      </c>
    </row>
    <row r="665" spans="1:16" x14ac:dyDescent="0.3">
      <c r="A665" t="s">
        <v>1295</v>
      </c>
      <c r="B665" s="11">
        <v>43554</v>
      </c>
      <c r="C665" t="s">
        <v>1296</v>
      </c>
      <c r="D665" t="s">
        <v>66</v>
      </c>
      <c r="E665">
        <v>6</v>
      </c>
      <c r="F665" t="str">
        <f>_xlfn.XLOOKUP(C665,Customers!$A$2:$A$1001,Customers!$B$2:$B$1001)</f>
        <v>Corrie Wass</v>
      </c>
      <c r="G665" t="str">
        <f>_xlfn.XLOOKUP(C665,Customers!$A$2:$A$1001,Customers!$C$2:$C$1001)</f>
        <v>cwassif@prweb.com</v>
      </c>
      <c r="H665" t="str">
        <f>_xlfn.XLOOKUP(C665,Customers!$A$2:$A$1001,Customers!$G$2:$G$1001)</f>
        <v>United States</v>
      </c>
      <c r="I665" t="str" cm="1">
        <f t="array" ref="I665:L665">_xlfn.XLOOKUP(D665,products!$A$2:$A$49,products!$B$2:$E$49)</f>
        <v>Ara</v>
      </c>
      <c r="J665" t="str">
        <v>M</v>
      </c>
      <c r="K665" s="8">
        <v>1</v>
      </c>
      <c r="L665" s="6">
        <v>11.25</v>
      </c>
      <c r="M665" s="7">
        <f t="shared" si="30"/>
        <v>67.5</v>
      </c>
      <c r="N665" t="str">
        <f t="shared" si="31"/>
        <v>Arasbica</v>
      </c>
      <c r="O665" t="str">
        <f t="shared" si="32"/>
        <v>Medium</v>
      </c>
      <c r="P665" t="str">
        <f>_xlfn.XLOOKUP(Orders!C665,Customers!$A$2:$A$1001,Customers!$I$2:$I$1001)</f>
        <v>No</v>
      </c>
    </row>
    <row r="666" spans="1:16" x14ac:dyDescent="0.3">
      <c r="A666" t="s">
        <v>1297</v>
      </c>
      <c r="B666" s="11">
        <v>44549</v>
      </c>
      <c r="C666" t="s">
        <v>1298</v>
      </c>
      <c r="D666" t="s">
        <v>250</v>
      </c>
      <c r="E666">
        <v>6</v>
      </c>
      <c r="F666" t="str">
        <f>_xlfn.XLOOKUP(C666,Customers!$A$2:$A$1001,Customers!$B$2:$B$1001)</f>
        <v>Ira Sjostrom</v>
      </c>
      <c r="G666" t="str">
        <f>_xlfn.XLOOKUP(C666,Customers!$A$2:$A$1001,Customers!$C$2:$C$1001)</f>
        <v>isjostromig@pbs.org</v>
      </c>
      <c r="H666" t="str">
        <f>_xlfn.XLOOKUP(C666,Customers!$A$2:$A$1001,Customers!$G$2:$G$1001)</f>
        <v>United States</v>
      </c>
      <c r="I666" t="str" cm="1">
        <f t="array" ref="I666:L666">_xlfn.XLOOKUP(D666,products!$A$2:$A$49,products!$B$2:$E$49)</f>
        <v>Exc</v>
      </c>
      <c r="J666" t="str">
        <v>D</v>
      </c>
      <c r="K666" s="8">
        <v>1</v>
      </c>
      <c r="L666" s="6">
        <v>12.15</v>
      </c>
      <c r="M666" s="7">
        <f t="shared" si="30"/>
        <v>72.900000000000006</v>
      </c>
      <c r="N666" t="str">
        <f t="shared" si="31"/>
        <v>Excelsa</v>
      </c>
      <c r="O666" t="str">
        <f t="shared" si="32"/>
        <v>Dark</v>
      </c>
      <c r="P666" t="str">
        <f>_xlfn.XLOOKUP(Orders!C666,Customers!$A$2:$A$1001,Customers!$I$2:$I$1001)</f>
        <v>No</v>
      </c>
    </row>
    <row r="667" spans="1:16" x14ac:dyDescent="0.3">
      <c r="A667" t="s">
        <v>1297</v>
      </c>
      <c r="B667" s="11">
        <v>44549</v>
      </c>
      <c r="C667" t="s">
        <v>1298</v>
      </c>
      <c r="D667" t="s">
        <v>43</v>
      </c>
      <c r="E667">
        <v>2</v>
      </c>
      <c r="F667" t="str">
        <f>_xlfn.XLOOKUP(C667,Customers!$A$2:$A$1001,Customers!$B$2:$B$1001)</f>
        <v>Ira Sjostrom</v>
      </c>
      <c r="G667" t="str">
        <f>_xlfn.XLOOKUP(C667,Customers!$A$2:$A$1001,Customers!$C$2:$C$1001)</f>
        <v>isjostromig@pbs.org</v>
      </c>
      <c r="H667" t="str">
        <f>_xlfn.XLOOKUP(C667,Customers!$A$2:$A$1001,Customers!$G$2:$G$1001)</f>
        <v>United States</v>
      </c>
      <c r="I667" t="str" cm="1">
        <f t="array" ref="I667:L667">_xlfn.XLOOKUP(D667,products!$A$2:$A$49,products!$B$2:$E$49)</f>
        <v>Lib</v>
      </c>
      <c r="J667" t="str">
        <v>D</v>
      </c>
      <c r="K667" s="8">
        <v>0.2</v>
      </c>
      <c r="L667" s="6">
        <v>3.8849999999999998</v>
      </c>
      <c r="M667" s="7">
        <f t="shared" si="30"/>
        <v>7.77</v>
      </c>
      <c r="N667" t="str">
        <f t="shared" si="31"/>
        <v>Liberica</v>
      </c>
      <c r="O667" t="str">
        <f t="shared" si="32"/>
        <v>Dark</v>
      </c>
      <c r="P667" t="str">
        <f>_xlfn.XLOOKUP(Orders!C667,Customers!$A$2:$A$1001,Customers!$I$2:$I$1001)</f>
        <v>No</v>
      </c>
    </row>
    <row r="668" spans="1:16" x14ac:dyDescent="0.3">
      <c r="A668" t="s">
        <v>1299</v>
      </c>
      <c r="B668" s="11">
        <v>43987</v>
      </c>
      <c r="C668" t="s">
        <v>1300</v>
      </c>
      <c r="D668" t="s">
        <v>123</v>
      </c>
      <c r="E668">
        <v>4</v>
      </c>
      <c r="F668" t="str">
        <f>_xlfn.XLOOKUP(C668,Customers!$A$2:$A$1001,Customers!$B$2:$B$1001)</f>
        <v>Jermaine Branchett</v>
      </c>
      <c r="G668" t="str">
        <f>_xlfn.XLOOKUP(C668,Customers!$A$2:$A$1001,Customers!$C$2:$C$1001)</f>
        <v>jbranchettii@bravesites.com</v>
      </c>
      <c r="H668" t="str">
        <f>_xlfn.XLOOKUP(C668,Customers!$A$2:$A$1001,Customers!$G$2:$G$1001)</f>
        <v>United States</v>
      </c>
      <c r="I668" t="str" cm="1">
        <f t="array" ref="I668:L668">_xlfn.XLOOKUP(D668,products!$A$2:$A$49,products!$B$2:$E$49)</f>
        <v>Ara</v>
      </c>
      <c r="J668" t="str">
        <v>D</v>
      </c>
      <c r="K668" s="8">
        <v>2.5</v>
      </c>
      <c r="L668" s="6">
        <v>22.884999999999998</v>
      </c>
      <c r="M668" s="7">
        <f t="shared" si="30"/>
        <v>91.539999999999992</v>
      </c>
      <c r="N668" t="str">
        <f t="shared" si="31"/>
        <v>Arasbica</v>
      </c>
      <c r="O668" t="str">
        <f t="shared" si="32"/>
        <v>Dark</v>
      </c>
      <c r="P668" t="str">
        <f>_xlfn.XLOOKUP(Orders!C668,Customers!$A$2:$A$1001,Customers!$I$2:$I$1001)</f>
        <v>No</v>
      </c>
    </row>
    <row r="669" spans="1:16" x14ac:dyDescent="0.3">
      <c r="A669" t="s">
        <v>1301</v>
      </c>
      <c r="B669" s="11">
        <v>44451</v>
      </c>
      <c r="C669" t="s">
        <v>1302</v>
      </c>
      <c r="D669" t="s">
        <v>32</v>
      </c>
      <c r="E669">
        <v>6</v>
      </c>
      <c r="F669" t="str">
        <f>_xlfn.XLOOKUP(C669,Customers!$A$2:$A$1001,Customers!$B$2:$B$1001)</f>
        <v>Nissie Rudland</v>
      </c>
      <c r="G669" t="str">
        <f>_xlfn.XLOOKUP(C669,Customers!$A$2:$A$1001,Customers!$C$2:$C$1001)</f>
        <v>nrudlandij@blogs.com</v>
      </c>
      <c r="H669" t="str">
        <f>_xlfn.XLOOKUP(C669,Customers!$A$2:$A$1001,Customers!$G$2:$G$1001)</f>
        <v>Ireland</v>
      </c>
      <c r="I669" t="str" cm="1">
        <f t="array" ref="I669:L669">_xlfn.XLOOKUP(D669,products!$A$2:$A$49,products!$B$2:$E$49)</f>
        <v>Ara</v>
      </c>
      <c r="J669" t="str">
        <v>D</v>
      </c>
      <c r="K669" s="8">
        <v>1</v>
      </c>
      <c r="L669" s="6">
        <v>9.9499999999999993</v>
      </c>
      <c r="M669" s="7">
        <f t="shared" si="30"/>
        <v>59.699999999999996</v>
      </c>
      <c r="N669" t="str">
        <f t="shared" si="31"/>
        <v>Arasbica</v>
      </c>
      <c r="O669" t="str">
        <f t="shared" si="32"/>
        <v>Dark</v>
      </c>
      <c r="P669" t="str">
        <f>_xlfn.XLOOKUP(Orders!C669,Customers!$A$2:$A$1001,Customers!$I$2:$I$1001)</f>
        <v>No</v>
      </c>
    </row>
    <row r="670" spans="1:16" x14ac:dyDescent="0.3">
      <c r="A670" t="s">
        <v>1303</v>
      </c>
      <c r="B670" s="11">
        <v>44636</v>
      </c>
      <c r="C670" t="s">
        <v>1286</v>
      </c>
      <c r="D670" t="s">
        <v>15</v>
      </c>
      <c r="E670">
        <v>5</v>
      </c>
      <c r="F670" t="str">
        <f>_xlfn.XLOOKUP(C670,Customers!$A$2:$A$1001,Customers!$B$2:$B$1001)</f>
        <v>Janella Millett</v>
      </c>
      <c r="G670" t="str">
        <f>_xlfn.XLOOKUP(C670,Customers!$A$2:$A$1001,Customers!$C$2:$C$1001)</f>
        <v>jmillettik@addtoany.com</v>
      </c>
      <c r="H670" t="str">
        <f>_xlfn.XLOOKUP(C670,Customers!$A$2:$A$1001,Customers!$G$2:$G$1001)</f>
        <v>United States</v>
      </c>
      <c r="I670" t="str" cm="1">
        <f t="array" ref="I670:L670">_xlfn.XLOOKUP(D670,products!$A$2:$A$49,products!$B$2:$E$49)</f>
        <v>Rob</v>
      </c>
      <c r="J670" t="str">
        <v>L</v>
      </c>
      <c r="K670" s="8">
        <v>2.5</v>
      </c>
      <c r="L670" s="6">
        <v>27.484999999999996</v>
      </c>
      <c r="M670" s="7">
        <f t="shared" si="30"/>
        <v>137.42499999999998</v>
      </c>
      <c r="N670" t="str">
        <f t="shared" si="31"/>
        <v>Robusta</v>
      </c>
      <c r="O670" t="str">
        <f t="shared" si="32"/>
        <v>Lite</v>
      </c>
      <c r="P670" t="str">
        <f>_xlfn.XLOOKUP(Orders!C670,Customers!$A$2:$A$1001,Customers!$I$2:$I$1001)</f>
        <v>Yes</v>
      </c>
    </row>
    <row r="671" spans="1:16" x14ac:dyDescent="0.3">
      <c r="A671" t="s">
        <v>1304</v>
      </c>
      <c r="B671" s="11">
        <v>44551</v>
      </c>
      <c r="C671" t="s">
        <v>1305</v>
      </c>
      <c r="D671" t="s">
        <v>202</v>
      </c>
      <c r="E671">
        <v>2</v>
      </c>
      <c r="F671" t="str">
        <f>_xlfn.XLOOKUP(C671,Customers!$A$2:$A$1001,Customers!$B$2:$B$1001)</f>
        <v>Ferdie Tourry</v>
      </c>
      <c r="G671" t="str">
        <f>_xlfn.XLOOKUP(C671,Customers!$A$2:$A$1001,Customers!$C$2:$C$1001)</f>
        <v>ftourryil@google.de</v>
      </c>
      <c r="H671" t="str">
        <f>_xlfn.XLOOKUP(C671,Customers!$A$2:$A$1001,Customers!$G$2:$G$1001)</f>
        <v>United States</v>
      </c>
      <c r="I671" t="str" cm="1">
        <f t="array" ref="I671:L671">_xlfn.XLOOKUP(D671,products!$A$2:$A$49,products!$B$2:$E$49)</f>
        <v>Lib</v>
      </c>
      <c r="J671" t="str">
        <v>M</v>
      </c>
      <c r="K671" s="8">
        <v>2.5</v>
      </c>
      <c r="L671" s="6">
        <v>33.464999999999996</v>
      </c>
      <c r="M671" s="7">
        <f t="shared" si="30"/>
        <v>66.929999999999993</v>
      </c>
      <c r="N671" t="str">
        <f t="shared" si="31"/>
        <v>Liberica</v>
      </c>
      <c r="O671" t="str">
        <f t="shared" si="32"/>
        <v>Medium</v>
      </c>
      <c r="P671" t="str">
        <f>_xlfn.XLOOKUP(Orders!C671,Customers!$A$2:$A$1001,Customers!$I$2:$I$1001)</f>
        <v>No</v>
      </c>
    </row>
    <row r="672" spans="1:16" x14ac:dyDescent="0.3">
      <c r="A672" t="s">
        <v>1306</v>
      </c>
      <c r="B672" s="11">
        <v>43606</v>
      </c>
      <c r="C672" t="s">
        <v>1307</v>
      </c>
      <c r="D672" t="s">
        <v>82</v>
      </c>
      <c r="E672">
        <v>3</v>
      </c>
      <c r="F672" t="str">
        <f>_xlfn.XLOOKUP(C672,Customers!$A$2:$A$1001,Customers!$B$2:$B$1001)</f>
        <v>Cecil Weatherall</v>
      </c>
      <c r="G672" t="str">
        <f>_xlfn.XLOOKUP(C672,Customers!$A$2:$A$1001,Customers!$C$2:$C$1001)</f>
        <v>cweatherallim@toplist.cz</v>
      </c>
      <c r="H672" t="str">
        <f>_xlfn.XLOOKUP(C672,Customers!$A$2:$A$1001,Customers!$G$2:$G$1001)</f>
        <v>United States</v>
      </c>
      <c r="I672" t="str" cm="1">
        <f t="array" ref="I672:L672">_xlfn.XLOOKUP(D672,products!$A$2:$A$49,products!$B$2:$E$49)</f>
        <v>Lib</v>
      </c>
      <c r="J672" t="str">
        <v>M</v>
      </c>
      <c r="K672" s="8">
        <v>0.2</v>
      </c>
      <c r="L672" s="6">
        <v>4.3650000000000002</v>
      </c>
      <c r="M672" s="7">
        <f t="shared" si="30"/>
        <v>13.095000000000001</v>
      </c>
      <c r="N672" t="str">
        <f t="shared" si="31"/>
        <v>Liberica</v>
      </c>
      <c r="O672" t="str">
        <f t="shared" si="32"/>
        <v>Medium</v>
      </c>
      <c r="P672" t="str">
        <f>_xlfn.XLOOKUP(Orders!C672,Customers!$A$2:$A$1001,Customers!$I$2:$I$1001)</f>
        <v>Yes</v>
      </c>
    </row>
    <row r="673" spans="1:16" x14ac:dyDescent="0.3">
      <c r="A673" t="s">
        <v>1308</v>
      </c>
      <c r="B673" s="11">
        <v>44495</v>
      </c>
      <c r="C673" t="s">
        <v>1309</v>
      </c>
      <c r="D673" t="s">
        <v>194</v>
      </c>
      <c r="E673">
        <v>5</v>
      </c>
      <c r="F673" t="str">
        <f>_xlfn.XLOOKUP(C673,Customers!$A$2:$A$1001,Customers!$B$2:$B$1001)</f>
        <v>Gale Heindrick</v>
      </c>
      <c r="G673" t="str">
        <f>_xlfn.XLOOKUP(C673,Customers!$A$2:$A$1001,Customers!$C$2:$C$1001)</f>
        <v>gheindrickin@usda.gov</v>
      </c>
      <c r="H673" t="str">
        <f>_xlfn.XLOOKUP(C673,Customers!$A$2:$A$1001,Customers!$G$2:$G$1001)</f>
        <v>United States</v>
      </c>
      <c r="I673" t="str" cm="1">
        <f t="array" ref="I673:L673">_xlfn.XLOOKUP(D673,products!$A$2:$A$49,products!$B$2:$E$49)</f>
        <v>Rob</v>
      </c>
      <c r="J673" t="str">
        <v>L</v>
      </c>
      <c r="K673" s="8">
        <v>1</v>
      </c>
      <c r="L673" s="6">
        <v>11.95</v>
      </c>
      <c r="M673" s="7">
        <f t="shared" si="30"/>
        <v>59.75</v>
      </c>
      <c r="N673" t="str">
        <f t="shared" si="31"/>
        <v>Robusta</v>
      </c>
      <c r="O673" t="str">
        <f t="shared" si="32"/>
        <v>Lite</v>
      </c>
      <c r="P673" t="str">
        <f>_xlfn.XLOOKUP(Orders!C673,Customers!$A$2:$A$1001,Customers!$I$2:$I$1001)</f>
        <v>No</v>
      </c>
    </row>
    <row r="674" spans="1:16" x14ac:dyDescent="0.3">
      <c r="A674" t="s">
        <v>1310</v>
      </c>
      <c r="B674" s="11">
        <v>43916</v>
      </c>
      <c r="C674" t="s">
        <v>1311</v>
      </c>
      <c r="D674" t="s">
        <v>83</v>
      </c>
      <c r="E674">
        <v>5</v>
      </c>
      <c r="F674" t="str">
        <f>_xlfn.XLOOKUP(C674,Customers!$A$2:$A$1001,Customers!$B$2:$B$1001)</f>
        <v>Layne Imason</v>
      </c>
      <c r="G674" t="str">
        <f>_xlfn.XLOOKUP(C674,Customers!$A$2:$A$1001,Customers!$C$2:$C$1001)</f>
        <v>limasonio@discuz.net</v>
      </c>
      <c r="H674" t="str">
        <f>_xlfn.XLOOKUP(C674,Customers!$A$2:$A$1001,Customers!$G$2:$G$1001)</f>
        <v>United States</v>
      </c>
      <c r="I674" t="str" cm="1">
        <f t="array" ref="I674:L674">_xlfn.XLOOKUP(D674,products!$A$2:$A$49,products!$B$2:$E$49)</f>
        <v>Lib</v>
      </c>
      <c r="J674" t="str">
        <v>M</v>
      </c>
      <c r="K674" s="8">
        <v>0.5</v>
      </c>
      <c r="L674" s="6">
        <v>8.73</v>
      </c>
      <c r="M674" s="7">
        <f t="shared" si="30"/>
        <v>43.650000000000006</v>
      </c>
      <c r="N674" t="str">
        <f t="shared" si="31"/>
        <v>Liberica</v>
      </c>
      <c r="O674" t="str">
        <f t="shared" si="32"/>
        <v>Medium</v>
      </c>
      <c r="P674" t="str">
        <f>_xlfn.XLOOKUP(Orders!C674,Customers!$A$2:$A$1001,Customers!$I$2:$I$1001)</f>
        <v>Yes</v>
      </c>
    </row>
    <row r="675" spans="1:16" x14ac:dyDescent="0.3">
      <c r="A675" t="s">
        <v>1312</v>
      </c>
      <c r="B675" s="11">
        <v>44118</v>
      </c>
      <c r="C675" t="s">
        <v>1313</v>
      </c>
      <c r="D675" t="s">
        <v>14</v>
      </c>
      <c r="E675">
        <v>6</v>
      </c>
      <c r="F675" t="str">
        <f>_xlfn.XLOOKUP(C675,Customers!$A$2:$A$1001,Customers!$B$2:$B$1001)</f>
        <v>Hazel Saill</v>
      </c>
      <c r="G675" t="str">
        <f>_xlfn.XLOOKUP(C675,Customers!$A$2:$A$1001,Customers!$C$2:$C$1001)</f>
        <v>hsaillip@odnoklassniki.ru</v>
      </c>
      <c r="H675" t="str">
        <f>_xlfn.XLOOKUP(C675,Customers!$A$2:$A$1001,Customers!$G$2:$G$1001)</f>
        <v>United States</v>
      </c>
      <c r="I675" t="str" cm="1">
        <f t="array" ref="I675:L675">_xlfn.XLOOKUP(D675,products!$A$2:$A$49,products!$B$2:$E$49)</f>
        <v>Exc</v>
      </c>
      <c r="J675" t="str">
        <v>M</v>
      </c>
      <c r="K675" s="8">
        <v>1</v>
      </c>
      <c r="L675" s="6">
        <v>13.75</v>
      </c>
      <c r="M675" s="7">
        <f t="shared" si="30"/>
        <v>82.5</v>
      </c>
      <c r="N675" t="str">
        <f t="shared" si="31"/>
        <v>Excelsa</v>
      </c>
      <c r="O675" t="str">
        <f t="shared" si="32"/>
        <v>Medium</v>
      </c>
      <c r="P675" t="str">
        <f>_xlfn.XLOOKUP(Orders!C675,Customers!$A$2:$A$1001,Customers!$I$2:$I$1001)</f>
        <v>Yes</v>
      </c>
    </row>
    <row r="676" spans="1:16" x14ac:dyDescent="0.3">
      <c r="A676" t="s">
        <v>1314</v>
      </c>
      <c r="B676" s="11">
        <v>44543</v>
      </c>
      <c r="C676" t="s">
        <v>1315</v>
      </c>
      <c r="D676" t="s">
        <v>209</v>
      </c>
      <c r="E676">
        <v>6</v>
      </c>
      <c r="F676" t="str">
        <f>_xlfn.XLOOKUP(C676,Customers!$A$2:$A$1001,Customers!$B$2:$B$1001)</f>
        <v>Hermann Larvor</v>
      </c>
      <c r="G676" t="str">
        <f>_xlfn.XLOOKUP(C676,Customers!$A$2:$A$1001,Customers!$C$2:$C$1001)</f>
        <v>hlarvoriq@last.fm</v>
      </c>
      <c r="H676" t="str">
        <f>_xlfn.XLOOKUP(C676,Customers!$A$2:$A$1001,Customers!$G$2:$G$1001)</f>
        <v>United States</v>
      </c>
      <c r="I676" t="str" cm="1">
        <f t="array" ref="I676:L676">_xlfn.XLOOKUP(D676,products!$A$2:$A$49,products!$B$2:$E$49)</f>
        <v>Ara</v>
      </c>
      <c r="J676" t="str">
        <v>L</v>
      </c>
      <c r="K676" s="8">
        <v>2.5</v>
      </c>
      <c r="L676" s="6">
        <v>29.784999999999997</v>
      </c>
      <c r="M676" s="7">
        <f t="shared" si="30"/>
        <v>178.70999999999998</v>
      </c>
      <c r="N676" t="str">
        <f t="shared" si="31"/>
        <v>Arasbica</v>
      </c>
      <c r="O676" t="str">
        <f t="shared" si="32"/>
        <v>Lite</v>
      </c>
      <c r="P676" t="str">
        <f>_xlfn.XLOOKUP(Orders!C676,Customers!$A$2:$A$1001,Customers!$I$2:$I$1001)</f>
        <v>Yes</v>
      </c>
    </row>
    <row r="677" spans="1:16" x14ac:dyDescent="0.3">
      <c r="A677" t="s">
        <v>1316</v>
      </c>
      <c r="B677" s="11">
        <v>44263</v>
      </c>
      <c r="C677" t="s">
        <v>1317</v>
      </c>
      <c r="D677" t="s">
        <v>114</v>
      </c>
      <c r="E677">
        <v>4</v>
      </c>
      <c r="F677" t="str">
        <f>_xlfn.XLOOKUP(C677,Customers!$A$2:$A$1001,Customers!$B$2:$B$1001)</f>
        <v>Terri Lyford</v>
      </c>
      <c r="G677">
        <f>_xlfn.XLOOKUP(C677,Customers!$A$2:$A$1001,Customers!$C$2:$C$1001)</f>
        <v>0</v>
      </c>
      <c r="H677" t="str">
        <f>_xlfn.XLOOKUP(C677,Customers!$A$2:$A$1001,Customers!$G$2:$G$1001)</f>
        <v>United States</v>
      </c>
      <c r="I677" t="str" cm="1">
        <f t="array" ref="I677:L677">_xlfn.XLOOKUP(D677,products!$A$2:$A$49,products!$B$2:$E$49)</f>
        <v>Lib</v>
      </c>
      <c r="J677" t="str">
        <v>D</v>
      </c>
      <c r="K677" s="8">
        <v>2.5</v>
      </c>
      <c r="L677" s="6">
        <v>29.784999999999997</v>
      </c>
      <c r="M677" s="7">
        <f t="shared" si="30"/>
        <v>119.13999999999999</v>
      </c>
      <c r="N677" t="str">
        <f t="shared" si="31"/>
        <v>Liberica</v>
      </c>
      <c r="O677" t="str">
        <f t="shared" si="32"/>
        <v>Dark</v>
      </c>
      <c r="P677" t="str">
        <f>_xlfn.XLOOKUP(Orders!C677,Customers!$A$2:$A$1001,Customers!$I$2:$I$1001)</f>
        <v>Yes</v>
      </c>
    </row>
    <row r="678" spans="1:16" x14ac:dyDescent="0.3">
      <c r="A678" t="s">
        <v>1318</v>
      </c>
      <c r="B678" s="11">
        <v>44217</v>
      </c>
      <c r="C678" t="s">
        <v>1319</v>
      </c>
      <c r="D678" t="s">
        <v>88</v>
      </c>
      <c r="E678">
        <v>5</v>
      </c>
      <c r="F678" t="str">
        <f>_xlfn.XLOOKUP(C678,Customers!$A$2:$A$1001,Customers!$B$2:$B$1001)</f>
        <v>Gabey Cogan</v>
      </c>
      <c r="G678">
        <f>_xlfn.XLOOKUP(C678,Customers!$A$2:$A$1001,Customers!$C$2:$C$1001)</f>
        <v>0</v>
      </c>
      <c r="H678" t="str">
        <f>_xlfn.XLOOKUP(C678,Customers!$A$2:$A$1001,Customers!$G$2:$G$1001)</f>
        <v>United States</v>
      </c>
      <c r="I678" t="str" cm="1">
        <f t="array" ref="I678:L678">_xlfn.XLOOKUP(D678,products!$A$2:$A$49,products!$B$2:$E$49)</f>
        <v>Lib</v>
      </c>
      <c r="J678" t="str">
        <v>L</v>
      </c>
      <c r="K678" s="8">
        <v>0.5</v>
      </c>
      <c r="L678" s="6">
        <v>9.51</v>
      </c>
      <c r="M678" s="7">
        <f t="shared" si="30"/>
        <v>47.55</v>
      </c>
      <c r="N678" t="str">
        <f t="shared" si="31"/>
        <v>Liberica</v>
      </c>
      <c r="O678" t="str">
        <f t="shared" si="32"/>
        <v>Lite</v>
      </c>
      <c r="P678" t="str">
        <f>_xlfn.XLOOKUP(Orders!C678,Customers!$A$2:$A$1001,Customers!$I$2:$I$1001)</f>
        <v>No</v>
      </c>
    </row>
    <row r="679" spans="1:16" x14ac:dyDescent="0.3">
      <c r="A679" t="s">
        <v>1320</v>
      </c>
      <c r="B679" s="11">
        <v>44206</v>
      </c>
      <c r="C679" t="s">
        <v>1321</v>
      </c>
      <c r="D679" t="s">
        <v>83</v>
      </c>
      <c r="E679">
        <v>5</v>
      </c>
      <c r="F679" t="str">
        <f>_xlfn.XLOOKUP(C679,Customers!$A$2:$A$1001,Customers!$B$2:$B$1001)</f>
        <v>Charin Penwarden</v>
      </c>
      <c r="G679" t="str">
        <f>_xlfn.XLOOKUP(C679,Customers!$A$2:$A$1001,Customers!$C$2:$C$1001)</f>
        <v>cpenwardenit@mlb.com</v>
      </c>
      <c r="H679" t="str">
        <f>_xlfn.XLOOKUP(C679,Customers!$A$2:$A$1001,Customers!$G$2:$G$1001)</f>
        <v>Ireland</v>
      </c>
      <c r="I679" t="str" cm="1">
        <f t="array" ref="I679:L679">_xlfn.XLOOKUP(D679,products!$A$2:$A$49,products!$B$2:$E$49)</f>
        <v>Lib</v>
      </c>
      <c r="J679" t="str">
        <v>M</v>
      </c>
      <c r="K679" s="8">
        <v>0.5</v>
      </c>
      <c r="L679" s="6">
        <v>8.73</v>
      </c>
      <c r="M679" s="7">
        <f t="shared" si="30"/>
        <v>43.650000000000006</v>
      </c>
      <c r="N679" t="str">
        <f t="shared" si="31"/>
        <v>Liberica</v>
      </c>
      <c r="O679" t="str">
        <f t="shared" si="32"/>
        <v>Medium</v>
      </c>
      <c r="P679" t="str">
        <f>_xlfn.XLOOKUP(Orders!C679,Customers!$A$2:$A$1001,Customers!$I$2:$I$1001)</f>
        <v>No</v>
      </c>
    </row>
    <row r="680" spans="1:16" x14ac:dyDescent="0.3">
      <c r="A680" t="s">
        <v>1322</v>
      </c>
      <c r="B680" s="11">
        <v>44281</v>
      </c>
      <c r="C680" t="s">
        <v>1323</v>
      </c>
      <c r="D680" t="s">
        <v>209</v>
      </c>
      <c r="E680">
        <v>6</v>
      </c>
      <c r="F680" t="str">
        <f>_xlfn.XLOOKUP(C680,Customers!$A$2:$A$1001,Customers!$B$2:$B$1001)</f>
        <v>Milty Middis</v>
      </c>
      <c r="G680" t="str">
        <f>_xlfn.XLOOKUP(C680,Customers!$A$2:$A$1001,Customers!$C$2:$C$1001)</f>
        <v>mmiddisiu@dmoz.org</v>
      </c>
      <c r="H680" t="str">
        <f>_xlfn.XLOOKUP(C680,Customers!$A$2:$A$1001,Customers!$G$2:$G$1001)</f>
        <v>United States</v>
      </c>
      <c r="I680" t="str" cm="1">
        <f t="array" ref="I680:L680">_xlfn.XLOOKUP(D680,products!$A$2:$A$49,products!$B$2:$E$49)</f>
        <v>Ara</v>
      </c>
      <c r="J680" t="str">
        <v>L</v>
      </c>
      <c r="K680" s="8">
        <v>2.5</v>
      </c>
      <c r="L680" s="6">
        <v>29.784999999999997</v>
      </c>
      <c r="M680" s="7">
        <f t="shared" si="30"/>
        <v>178.70999999999998</v>
      </c>
      <c r="N680" t="str">
        <f t="shared" si="31"/>
        <v>Arasbica</v>
      </c>
      <c r="O680" t="str">
        <f t="shared" si="32"/>
        <v>Lite</v>
      </c>
      <c r="P680" t="str">
        <f>_xlfn.XLOOKUP(Orders!C680,Customers!$A$2:$A$1001,Customers!$I$2:$I$1001)</f>
        <v>Yes</v>
      </c>
    </row>
    <row r="681" spans="1:16" x14ac:dyDescent="0.3">
      <c r="A681" t="s">
        <v>1324</v>
      </c>
      <c r="B681" s="11">
        <v>44645</v>
      </c>
      <c r="C681" t="s">
        <v>1325</v>
      </c>
      <c r="D681" t="s">
        <v>15</v>
      </c>
      <c r="E681">
        <v>1</v>
      </c>
      <c r="F681" t="str">
        <f>_xlfn.XLOOKUP(C681,Customers!$A$2:$A$1001,Customers!$B$2:$B$1001)</f>
        <v>Adrianne Vairow</v>
      </c>
      <c r="G681" t="str">
        <f>_xlfn.XLOOKUP(C681,Customers!$A$2:$A$1001,Customers!$C$2:$C$1001)</f>
        <v>avairowiv@studiopress.com</v>
      </c>
      <c r="H681" t="str">
        <f>_xlfn.XLOOKUP(C681,Customers!$A$2:$A$1001,Customers!$G$2:$G$1001)</f>
        <v>United Kingdom</v>
      </c>
      <c r="I681" t="str" cm="1">
        <f t="array" ref="I681:L681">_xlfn.XLOOKUP(D681,products!$A$2:$A$49,products!$B$2:$E$49)</f>
        <v>Rob</v>
      </c>
      <c r="J681" t="str">
        <v>L</v>
      </c>
      <c r="K681" s="8">
        <v>2.5</v>
      </c>
      <c r="L681" s="6">
        <v>27.484999999999996</v>
      </c>
      <c r="M681" s="7">
        <f t="shared" si="30"/>
        <v>27.484999999999996</v>
      </c>
      <c r="N681" t="str">
        <f t="shared" si="31"/>
        <v>Robusta</v>
      </c>
      <c r="O681" t="str">
        <f t="shared" si="32"/>
        <v>Lite</v>
      </c>
      <c r="P681" t="str">
        <f>_xlfn.XLOOKUP(Orders!C681,Customers!$A$2:$A$1001,Customers!$I$2:$I$1001)</f>
        <v>No</v>
      </c>
    </row>
    <row r="682" spans="1:16" x14ac:dyDescent="0.3">
      <c r="A682" t="s">
        <v>1326</v>
      </c>
      <c r="B682" s="11">
        <v>44399</v>
      </c>
      <c r="C682" t="s">
        <v>1327</v>
      </c>
      <c r="D682" t="s">
        <v>66</v>
      </c>
      <c r="E682">
        <v>5</v>
      </c>
      <c r="F682" t="str">
        <f>_xlfn.XLOOKUP(C682,Customers!$A$2:$A$1001,Customers!$B$2:$B$1001)</f>
        <v>Anjanette Goldie</v>
      </c>
      <c r="G682" t="str">
        <f>_xlfn.XLOOKUP(C682,Customers!$A$2:$A$1001,Customers!$C$2:$C$1001)</f>
        <v>agoldieiw@goo.gl</v>
      </c>
      <c r="H682" t="str">
        <f>_xlfn.XLOOKUP(C682,Customers!$A$2:$A$1001,Customers!$G$2:$G$1001)</f>
        <v>United States</v>
      </c>
      <c r="I682" t="str" cm="1">
        <f t="array" ref="I682:L682">_xlfn.XLOOKUP(D682,products!$A$2:$A$49,products!$B$2:$E$49)</f>
        <v>Ara</v>
      </c>
      <c r="J682" t="str">
        <v>M</v>
      </c>
      <c r="K682" s="8">
        <v>1</v>
      </c>
      <c r="L682" s="6">
        <v>11.25</v>
      </c>
      <c r="M682" s="7">
        <f t="shared" si="30"/>
        <v>56.25</v>
      </c>
      <c r="N682" t="str">
        <f t="shared" si="31"/>
        <v>Arasbica</v>
      </c>
      <c r="O682" t="str">
        <f t="shared" si="32"/>
        <v>Medium</v>
      </c>
      <c r="P682" t="str">
        <f>_xlfn.XLOOKUP(Orders!C682,Customers!$A$2:$A$1001,Customers!$I$2:$I$1001)</f>
        <v>No</v>
      </c>
    </row>
    <row r="683" spans="1:16" x14ac:dyDescent="0.3">
      <c r="A683" t="s">
        <v>1328</v>
      </c>
      <c r="B683" s="11">
        <v>44080</v>
      </c>
      <c r="C683" t="s">
        <v>1329</v>
      </c>
      <c r="D683" t="s">
        <v>24</v>
      </c>
      <c r="E683">
        <v>2</v>
      </c>
      <c r="F683" t="str">
        <f>_xlfn.XLOOKUP(C683,Customers!$A$2:$A$1001,Customers!$B$2:$B$1001)</f>
        <v>Nicky Ayris</v>
      </c>
      <c r="G683" t="str">
        <f>_xlfn.XLOOKUP(C683,Customers!$A$2:$A$1001,Customers!$C$2:$C$1001)</f>
        <v>nayrisix@t-online.de</v>
      </c>
      <c r="H683" t="str">
        <f>_xlfn.XLOOKUP(C683,Customers!$A$2:$A$1001,Customers!$G$2:$G$1001)</f>
        <v>United Kingdom</v>
      </c>
      <c r="I683" t="str" cm="1">
        <f t="array" ref="I683:L683">_xlfn.XLOOKUP(D683,products!$A$2:$A$49,products!$B$2:$E$49)</f>
        <v>Lib</v>
      </c>
      <c r="J683" t="str">
        <v>L</v>
      </c>
      <c r="K683" s="8">
        <v>0.2</v>
      </c>
      <c r="L683" s="6">
        <v>4.7549999999999999</v>
      </c>
      <c r="M683" s="7">
        <f t="shared" si="30"/>
        <v>9.51</v>
      </c>
      <c r="N683" t="str">
        <f t="shared" si="31"/>
        <v>Liberica</v>
      </c>
      <c r="O683" t="str">
        <f t="shared" si="32"/>
        <v>Lite</v>
      </c>
      <c r="P683" t="str">
        <f>_xlfn.XLOOKUP(Orders!C683,Customers!$A$2:$A$1001,Customers!$I$2:$I$1001)</f>
        <v>Yes</v>
      </c>
    </row>
    <row r="684" spans="1:16" x14ac:dyDescent="0.3">
      <c r="A684" t="s">
        <v>1330</v>
      </c>
      <c r="B684" s="11">
        <v>43827</v>
      </c>
      <c r="C684" t="s">
        <v>1331</v>
      </c>
      <c r="D684" t="s">
        <v>69</v>
      </c>
      <c r="E684">
        <v>2</v>
      </c>
      <c r="F684" t="str">
        <f>_xlfn.XLOOKUP(C684,Customers!$A$2:$A$1001,Customers!$B$2:$B$1001)</f>
        <v>Laryssa Benediktovich</v>
      </c>
      <c r="G684" t="str">
        <f>_xlfn.XLOOKUP(C684,Customers!$A$2:$A$1001,Customers!$C$2:$C$1001)</f>
        <v>lbenediktovichiy@wunderground.com</v>
      </c>
      <c r="H684" t="str">
        <f>_xlfn.XLOOKUP(C684,Customers!$A$2:$A$1001,Customers!$G$2:$G$1001)</f>
        <v>United States</v>
      </c>
      <c r="I684" t="str" cm="1">
        <f t="array" ref="I684:L684">_xlfn.XLOOKUP(D684,products!$A$2:$A$49,products!$B$2:$E$49)</f>
        <v>Exc</v>
      </c>
      <c r="J684" t="str">
        <v>M</v>
      </c>
      <c r="K684" s="8">
        <v>0.2</v>
      </c>
      <c r="L684" s="6">
        <v>4.125</v>
      </c>
      <c r="M684" s="7">
        <f t="shared" si="30"/>
        <v>8.25</v>
      </c>
      <c r="N684" t="str">
        <f t="shared" si="31"/>
        <v>Excelsa</v>
      </c>
      <c r="O684" t="str">
        <f t="shared" si="32"/>
        <v>Medium</v>
      </c>
      <c r="P684" t="str">
        <f>_xlfn.XLOOKUP(Orders!C684,Customers!$A$2:$A$1001,Customers!$I$2:$I$1001)</f>
        <v>Yes</v>
      </c>
    </row>
    <row r="685" spans="1:16" x14ac:dyDescent="0.3">
      <c r="A685" t="s">
        <v>1332</v>
      </c>
      <c r="B685" s="11">
        <v>43941</v>
      </c>
      <c r="C685" t="s">
        <v>1333</v>
      </c>
      <c r="D685" t="s">
        <v>128</v>
      </c>
      <c r="E685">
        <v>6</v>
      </c>
      <c r="F685" t="str">
        <f>_xlfn.XLOOKUP(C685,Customers!$A$2:$A$1001,Customers!$B$2:$B$1001)</f>
        <v>Theo Jacobovitz</v>
      </c>
      <c r="G685" t="str">
        <f>_xlfn.XLOOKUP(C685,Customers!$A$2:$A$1001,Customers!$C$2:$C$1001)</f>
        <v>tjacobovitziz@cbc.ca</v>
      </c>
      <c r="H685" t="str">
        <f>_xlfn.XLOOKUP(C685,Customers!$A$2:$A$1001,Customers!$G$2:$G$1001)</f>
        <v>United States</v>
      </c>
      <c r="I685" t="str" cm="1">
        <f t="array" ref="I685:L685">_xlfn.XLOOKUP(D685,products!$A$2:$A$49,products!$B$2:$E$49)</f>
        <v>Lib</v>
      </c>
      <c r="J685" t="str">
        <v>D</v>
      </c>
      <c r="K685" s="8">
        <v>0.5</v>
      </c>
      <c r="L685" s="6">
        <v>7.77</v>
      </c>
      <c r="M685" s="7">
        <f t="shared" si="30"/>
        <v>46.62</v>
      </c>
      <c r="N685" t="str">
        <f t="shared" si="31"/>
        <v>Liberica</v>
      </c>
      <c r="O685" t="str">
        <f t="shared" si="32"/>
        <v>Dark</v>
      </c>
      <c r="P685" t="str">
        <f>_xlfn.XLOOKUP(Orders!C685,Customers!$A$2:$A$1001,Customers!$I$2:$I$1001)</f>
        <v>No</v>
      </c>
    </row>
    <row r="686" spans="1:16" x14ac:dyDescent="0.3">
      <c r="A686" t="s">
        <v>1334</v>
      </c>
      <c r="B686" s="11">
        <v>43517</v>
      </c>
      <c r="C686" t="s">
        <v>1335</v>
      </c>
      <c r="D686" t="s">
        <v>194</v>
      </c>
      <c r="E686">
        <v>6</v>
      </c>
      <c r="F686" t="str">
        <f>_xlfn.XLOOKUP(C686,Customers!$A$2:$A$1001,Customers!$B$2:$B$1001)</f>
        <v>Becca Ableson</v>
      </c>
      <c r="G686">
        <f>_xlfn.XLOOKUP(C686,Customers!$A$2:$A$1001,Customers!$C$2:$C$1001)</f>
        <v>0</v>
      </c>
      <c r="H686" t="str">
        <f>_xlfn.XLOOKUP(C686,Customers!$A$2:$A$1001,Customers!$G$2:$G$1001)</f>
        <v>United States</v>
      </c>
      <c r="I686" t="str" cm="1">
        <f t="array" ref="I686:L686">_xlfn.XLOOKUP(D686,products!$A$2:$A$49,products!$B$2:$E$49)</f>
        <v>Rob</v>
      </c>
      <c r="J686" t="str">
        <v>L</v>
      </c>
      <c r="K686" s="8">
        <v>1</v>
      </c>
      <c r="L686" s="6">
        <v>11.95</v>
      </c>
      <c r="M686" s="7">
        <f t="shared" si="30"/>
        <v>71.699999999999989</v>
      </c>
      <c r="N686" t="str">
        <f t="shared" si="31"/>
        <v>Robusta</v>
      </c>
      <c r="O686" t="str">
        <f t="shared" si="32"/>
        <v>Lite</v>
      </c>
      <c r="P686" t="str">
        <f>_xlfn.XLOOKUP(Orders!C686,Customers!$A$2:$A$1001,Customers!$I$2:$I$1001)</f>
        <v>No</v>
      </c>
    </row>
    <row r="687" spans="1:16" x14ac:dyDescent="0.3">
      <c r="A687" t="s">
        <v>1336</v>
      </c>
      <c r="B687" s="11">
        <v>44637</v>
      </c>
      <c r="C687" t="s">
        <v>1337</v>
      </c>
      <c r="D687" t="s">
        <v>109</v>
      </c>
      <c r="E687">
        <v>2</v>
      </c>
      <c r="F687" t="str">
        <f>_xlfn.XLOOKUP(C687,Customers!$A$2:$A$1001,Customers!$B$2:$B$1001)</f>
        <v>Jeno Druitt</v>
      </c>
      <c r="G687" t="str">
        <f>_xlfn.XLOOKUP(C687,Customers!$A$2:$A$1001,Customers!$C$2:$C$1001)</f>
        <v>jdruittj1@feedburner.com</v>
      </c>
      <c r="H687" t="str">
        <f>_xlfn.XLOOKUP(C687,Customers!$A$2:$A$1001,Customers!$G$2:$G$1001)</f>
        <v>United States</v>
      </c>
      <c r="I687" t="str" cm="1">
        <f t="array" ref="I687:L687">_xlfn.XLOOKUP(D687,products!$A$2:$A$49,products!$B$2:$E$49)</f>
        <v>Lib</v>
      </c>
      <c r="J687" t="str">
        <v>L</v>
      </c>
      <c r="K687" s="8">
        <v>2.5</v>
      </c>
      <c r="L687" s="6">
        <v>36.454999999999998</v>
      </c>
      <c r="M687" s="7">
        <f t="shared" si="30"/>
        <v>72.91</v>
      </c>
      <c r="N687" t="str">
        <f t="shared" si="31"/>
        <v>Liberica</v>
      </c>
      <c r="O687" t="str">
        <f t="shared" si="32"/>
        <v>Lite</v>
      </c>
      <c r="P687" t="str">
        <f>_xlfn.XLOOKUP(Orders!C687,Customers!$A$2:$A$1001,Customers!$I$2:$I$1001)</f>
        <v>Yes</v>
      </c>
    </row>
    <row r="688" spans="1:16" x14ac:dyDescent="0.3">
      <c r="A688" t="s">
        <v>1338</v>
      </c>
      <c r="B688" s="11">
        <v>44330</v>
      </c>
      <c r="C688" t="s">
        <v>1339</v>
      </c>
      <c r="D688" t="s">
        <v>106</v>
      </c>
      <c r="E688">
        <v>3</v>
      </c>
      <c r="F688" t="str">
        <f>_xlfn.XLOOKUP(C688,Customers!$A$2:$A$1001,Customers!$B$2:$B$1001)</f>
        <v>Deonne Shortall</v>
      </c>
      <c r="G688" t="str">
        <f>_xlfn.XLOOKUP(C688,Customers!$A$2:$A$1001,Customers!$C$2:$C$1001)</f>
        <v>dshortallj2@wikipedia.org</v>
      </c>
      <c r="H688" t="str">
        <f>_xlfn.XLOOKUP(C688,Customers!$A$2:$A$1001,Customers!$G$2:$G$1001)</f>
        <v>United States</v>
      </c>
      <c r="I688" t="str" cm="1">
        <f t="array" ref="I688:L688">_xlfn.XLOOKUP(D688,products!$A$2:$A$49,products!$B$2:$E$49)</f>
        <v>Rob</v>
      </c>
      <c r="J688" t="str">
        <v>D</v>
      </c>
      <c r="K688" s="8">
        <v>0.2</v>
      </c>
      <c r="L688" s="6">
        <v>2.6849999999999996</v>
      </c>
      <c r="M688" s="7">
        <f t="shared" si="30"/>
        <v>8.0549999999999997</v>
      </c>
      <c r="N688" t="str">
        <f t="shared" si="31"/>
        <v>Robusta</v>
      </c>
      <c r="O688" t="str">
        <f t="shared" si="32"/>
        <v>Dark</v>
      </c>
      <c r="P688" t="str">
        <f>_xlfn.XLOOKUP(Orders!C688,Customers!$A$2:$A$1001,Customers!$I$2:$I$1001)</f>
        <v>Yes</v>
      </c>
    </row>
    <row r="689" spans="1:16" x14ac:dyDescent="0.3">
      <c r="A689" t="s">
        <v>1340</v>
      </c>
      <c r="B689" s="11">
        <v>43471</v>
      </c>
      <c r="C689" t="s">
        <v>1341</v>
      </c>
      <c r="D689" t="s">
        <v>8</v>
      </c>
      <c r="E689">
        <v>2</v>
      </c>
      <c r="F689" t="str">
        <f>_xlfn.XLOOKUP(C689,Customers!$A$2:$A$1001,Customers!$B$2:$B$1001)</f>
        <v>Wilton Cottier</v>
      </c>
      <c r="G689" t="str">
        <f>_xlfn.XLOOKUP(C689,Customers!$A$2:$A$1001,Customers!$C$2:$C$1001)</f>
        <v>wcottierj3@cafepress.com</v>
      </c>
      <c r="H689" t="str">
        <f>_xlfn.XLOOKUP(C689,Customers!$A$2:$A$1001,Customers!$G$2:$G$1001)</f>
        <v>United States</v>
      </c>
      <c r="I689" t="str" cm="1">
        <f t="array" ref="I689:L689">_xlfn.XLOOKUP(D689,products!$A$2:$A$49,products!$B$2:$E$49)</f>
        <v>Exc</v>
      </c>
      <c r="J689" t="str">
        <v>M</v>
      </c>
      <c r="K689" s="8">
        <v>0.5</v>
      </c>
      <c r="L689" s="6">
        <v>8.25</v>
      </c>
      <c r="M689" s="7">
        <f t="shared" si="30"/>
        <v>16.5</v>
      </c>
      <c r="N689" t="str">
        <f t="shared" si="31"/>
        <v>Excelsa</v>
      </c>
      <c r="O689" t="str">
        <f t="shared" si="32"/>
        <v>Medium</v>
      </c>
      <c r="P689" t="str">
        <f>_xlfn.XLOOKUP(Orders!C689,Customers!$A$2:$A$1001,Customers!$I$2:$I$1001)</f>
        <v>No</v>
      </c>
    </row>
    <row r="690" spans="1:16" x14ac:dyDescent="0.3">
      <c r="A690" t="s">
        <v>1342</v>
      </c>
      <c r="B690" s="11">
        <v>43579</v>
      </c>
      <c r="C690" t="s">
        <v>1343</v>
      </c>
      <c r="D690" t="s">
        <v>11</v>
      </c>
      <c r="E690">
        <v>5</v>
      </c>
      <c r="F690" t="str">
        <f>_xlfn.XLOOKUP(C690,Customers!$A$2:$A$1001,Customers!$B$2:$B$1001)</f>
        <v>Kevan Grinsted</v>
      </c>
      <c r="G690" t="str">
        <f>_xlfn.XLOOKUP(C690,Customers!$A$2:$A$1001,Customers!$C$2:$C$1001)</f>
        <v>kgrinstedj4@google.com.br</v>
      </c>
      <c r="H690" t="str">
        <f>_xlfn.XLOOKUP(C690,Customers!$A$2:$A$1001,Customers!$G$2:$G$1001)</f>
        <v>Ireland</v>
      </c>
      <c r="I690" t="str" cm="1">
        <f t="array" ref="I690:L690">_xlfn.XLOOKUP(D690,products!$A$2:$A$49,products!$B$2:$E$49)</f>
        <v>Ara</v>
      </c>
      <c r="J690" t="str">
        <v>L</v>
      </c>
      <c r="K690" s="8">
        <v>1</v>
      </c>
      <c r="L690" s="6">
        <v>12.95</v>
      </c>
      <c r="M690" s="7">
        <f t="shared" si="30"/>
        <v>64.75</v>
      </c>
      <c r="N690" t="str">
        <f t="shared" si="31"/>
        <v>Arasbica</v>
      </c>
      <c r="O690" t="str">
        <f t="shared" si="32"/>
        <v>Lite</v>
      </c>
      <c r="P690" t="str">
        <f>_xlfn.XLOOKUP(Orders!C690,Customers!$A$2:$A$1001,Customers!$I$2:$I$1001)</f>
        <v>No</v>
      </c>
    </row>
    <row r="691" spans="1:16" x14ac:dyDescent="0.3">
      <c r="A691" t="s">
        <v>1344</v>
      </c>
      <c r="B691" s="11">
        <v>44346</v>
      </c>
      <c r="C691" t="s">
        <v>1345</v>
      </c>
      <c r="D691" t="s">
        <v>72</v>
      </c>
      <c r="E691">
        <v>5</v>
      </c>
      <c r="F691" t="str">
        <f>_xlfn.XLOOKUP(C691,Customers!$A$2:$A$1001,Customers!$B$2:$B$1001)</f>
        <v>Dionne Skyner</v>
      </c>
      <c r="G691" t="str">
        <f>_xlfn.XLOOKUP(C691,Customers!$A$2:$A$1001,Customers!$C$2:$C$1001)</f>
        <v>dskynerj5@hubpages.com</v>
      </c>
      <c r="H691" t="str">
        <f>_xlfn.XLOOKUP(C691,Customers!$A$2:$A$1001,Customers!$G$2:$G$1001)</f>
        <v>United States</v>
      </c>
      <c r="I691" t="str" cm="1">
        <f t="array" ref="I691:L691">_xlfn.XLOOKUP(D691,products!$A$2:$A$49,products!$B$2:$E$49)</f>
        <v>Ara</v>
      </c>
      <c r="J691" t="str">
        <v>M</v>
      </c>
      <c r="K691" s="8">
        <v>0.5</v>
      </c>
      <c r="L691" s="6">
        <v>6.75</v>
      </c>
      <c r="M691" s="7">
        <f t="shared" si="30"/>
        <v>33.75</v>
      </c>
      <c r="N691" t="str">
        <f t="shared" si="31"/>
        <v>Arasbica</v>
      </c>
      <c r="O691" t="str">
        <f t="shared" si="32"/>
        <v>Medium</v>
      </c>
      <c r="P691" t="str">
        <f>_xlfn.XLOOKUP(Orders!C691,Customers!$A$2:$A$1001,Customers!$I$2:$I$1001)</f>
        <v>No</v>
      </c>
    </row>
    <row r="692" spans="1:16" x14ac:dyDescent="0.3">
      <c r="A692" t="s">
        <v>1346</v>
      </c>
      <c r="B692" s="11">
        <v>44754</v>
      </c>
      <c r="C692" t="s">
        <v>1347</v>
      </c>
      <c r="D692" t="s">
        <v>114</v>
      </c>
      <c r="E692">
        <v>6</v>
      </c>
      <c r="F692" t="str">
        <f>_xlfn.XLOOKUP(C692,Customers!$A$2:$A$1001,Customers!$B$2:$B$1001)</f>
        <v>Francesco Dressel</v>
      </c>
      <c r="G692">
        <f>_xlfn.XLOOKUP(C692,Customers!$A$2:$A$1001,Customers!$C$2:$C$1001)</f>
        <v>0</v>
      </c>
      <c r="H692" t="str">
        <f>_xlfn.XLOOKUP(C692,Customers!$A$2:$A$1001,Customers!$G$2:$G$1001)</f>
        <v>United States</v>
      </c>
      <c r="I692" t="str" cm="1">
        <f t="array" ref="I692:L692">_xlfn.XLOOKUP(D692,products!$A$2:$A$49,products!$B$2:$E$49)</f>
        <v>Lib</v>
      </c>
      <c r="J692" t="str">
        <v>D</v>
      </c>
      <c r="K692" s="8">
        <v>2.5</v>
      </c>
      <c r="L692" s="6">
        <v>29.784999999999997</v>
      </c>
      <c r="M692" s="7">
        <f t="shared" si="30"/>
        <v>178.70999999999998</v>
      </c>
      <c r="N692" t="str">
        <f t="shared" si="31"/>
        <v>Liberica</v>
      </c>
      <c r="O692" t="str">
        <f t="shared" si="32"/>
        <v>Dark</v>
      </c>
      <c r="P692" t="str">
        <f>_xlfn.XLOOKUP(Orders!C692,Customers!$A$2:$A$1001,Customers!$I$2:$I$1001)</f>
        <v>No</v>
      </c>
    </row>
    <row r="693" spans="1:16" x14ac:dyDescent="0.3">
      <c r="A693" t="s">
        <v>1348</v>
      </c>
      <c r="B693" s="11">
        <v>44227</v>
      </c>
      <c r="C693" t="s">
        <v>1349</v>
      </c>
      <c r="D693" t="s">
        <v>66</v>
      </c>
      <c r="E693">
        <v>2</v>
      </c>
      <c r="F693" t="str">
        <f>_xlfn.XLOOKUP(C693,Customers!$A$2:$A$1001,Customers!$B$2:$B$1001)</f>
        <v>Jimmy Dymoke</v>
      </c>
      <c r="G693" t="str">
        <f>_xlfn.XLOOKUP(C693,Customers!$A$2:$A$1001,Customers!$C$2:$C$1001)</f>
        <v>jdymokeje@prnewswire.com</v>
      </c>
      <c r="H693" t="str">
        <f>_xlfn.XLOOKUP(C693,Customers!$A$2:$A$1001,Customers!$G$2:$G$1001)</f>
        <v>Ireland</v>
      </c>
      <c r="I693" t="str" cm="1">
        <f t="array" ref="I693:L693">_xlfn.XLOOKUP(D693,products!$A$2:$A$49,products!$B$2:$E$49)</f>
        <v>Ara</v>
      </c>
      <c r="J693" t="str">
        <v>M</v>
      </c>
      <c r="K693" s="8">
        <v>1</v>
      </c>
      <c r="L693" s="6">
        <v>11.25</v>
      </c>
      <c r="M693" s="7">
        <f t="shared" si="30"/>
        <v>22.5</v>
      </c>
      <c r="N693" t="str">
        <f t="shared" si="31"/>
        <v>Arasbica</v>
      </c>
      <c r="O693" t="str">
        <f t="shared" si="32"/>
        <v>Medium</v>
      </c>
      <c r="P693" t="str">
        <f>_xlfn.XLOOKUP(Orders!C693,Customers!$A$2:$A$1001,Customers!$I$2:$I$1001)</f>
        <v>No</v>
      </c>
    </row>
    <row r="694" spans="1:16" x14ac:dyDescent="0.3">
      <c r="A694" t="s">
        <v>1350</v>
      </c>
      <c r="B694" s="11">
        <v>43720</v>
      </c>
      <c r="C694" t="s">
        <v>1351</v>
      </c>
      <c r="D694" t="s">
        <v>18</v>
      </c>
      <c r="E694">
        <v>1</v>
      </c>
      <c r="F694" t="str">
        <f>_xlfn.XLOOKUP(C694,Customers!$A$2:$A$1001,Customers!$B$2:$B$1001)</f>
        <v>Ambrosio Weinmann</v>
      </c>
      <c r="G694" t="str">
        <f>_xlfn.XLOOKUP(C694,Customers!$A$2:$A$1001,Customers!$C$2:$C$1001)</f>
        <v>aweinmannj8@shinystat.com</v>
      </c>
      <c r="H694" t="str">
        <f>_xlfn.XLOOKUP(C694,Customers!$A$2:$A$1001,Customers!$G$2:$G$1001)</f>
        <v>United States</v>
      </c>
      <c r="I694" t="str" cm="1">
        <f t="array" ref="I694:L694">_xlfn.XLOOKUP(D694,products!$A$2:$A$49,products!$B$2:$E$49)</f>
        <v>Lib</v>
      </c>
      <c r="J694" t="str">
        <v>D</v>
      </c>
      <c r="K694" s="8">
        <v>1</v>
      </c>
      <c r="L694" s="6">
        <v>12.95</v>
      </c>
      <c r="M694" s="7">
        <f t="shared" si="30"/>
        <v>12.95</v>
      </c>
      <c r="N694" t="str">
        <f t="shared" si="31"/>
        <v>Liberica</v>
      </c>
      <c r="O694" t="str">
        <f t="shared" si="32"/>
        <v>Dark</v>
      </c>
      <c r="P694" t="str">
        <f>_xlfn.XLOOKUP(Orders!C694,Customers!$A$2:$A$1001,Customers!$I$2:$I$1001)</f>
        <v>No</v>
      </c>
    </row>
    <row r="695" spans="1:16" x14ac:dyDescent="0.3">
      <c r="A695" t="s">
        <v>1352</v>
      </c>
      <c r="B695" s="11">
        <v>44012</v>
      </c>
      <c r="C695" t="s">
        <v>1353</v>
      </c>
      <c r="D695" t="s">
        <v>176</v>
      </c>
      <c r="E695">
        <v>2</v>
      </c>
      <c r="F695" t="str">
        <f>_xlfn.XLOOKUP(C695,Customers!$A$2:$A$1001,Customers!$B$2:$B$1001)</f>
        <v>Elden Andriessen</v>
      </c>
      <c r="G695" t="str">
        <f>_xlfn.XLOOKUP(C695,Customers!$A$2:$A$1001,Customers!$C$2:$C$1001)</f>
        <v>eandriessenj9@europa.eu</v>
      </c>
      <c r="H695" t="str">
        <f>_xlfn.XLOOKUP(C695,Customers!$A$2:$A$1001,Customers!$G$2:$G$1001)</f>
        <v>United States</v>
      </c>
      <c r="I695" t="str" cm="1">
        <f t="array" ref="I695:L695">_xlfn.XLOOKUP(D695,products!$A$2:$A$49,products!$B$2:$E$49)</f>
        <v>Ara</v>
      </c>
      <c r="J695" t="str">
        <v>M</v>
      </c>
      <c r="K695" s="8">
        <v>2.5</v>
      </c>
      <c r="L695" s="6">
        <v>25.874999999999996</v>
      </c>
      <c r="M695" s="7">
        <f t="shared" si="30"/>
        <v>51.749999999999993</v>
      </c>
      <c r="N695" t="str">
        <f t="shared" si="31"/>
        <v>Arasbica</v>
      </c>
      <c r="O695" t="str">
        <f t="shared" si="32"/>
        <v>Medium</v>
      </c>
      <c r="P695" t="str">
        <f>_xlfn.XLOOKUP(Orders!C695,Customers!$A$2:$A$1001,Customers!$I$2:$I$1001)</f>
        <v>Yes</v>
      </c>
    </row>
    <row r="696" spans="1:16" x14ac:dyDescent="0.3">
      <c r="A696" t="s">
        <v>1354</v>
      </c>
      <c r="B696" s="11">
        <v>43915</v>
      </c>
      <c r="C696" t="s">
        <v>1355</v>
      </c>
      <c r="D696" t="s">
        <v>21</v>
      </c>
      <c r="E696">
        <v>5</v>
      </c>
      <c r="F696" t="str">
        <f>_xlfn.XLOOKUP(C696,Customers!$A$2:$A$1001,Customers!$B$2:$B$1001)</f>
        <v>Roxie Deaconson</v>
      </c>
      <c r="G696" t="str">
        <f>_xlfn.XLOOKUP(C696,Customers!$A$2:$A$1001,Customers!$C$2:$C$1001)</f>
        <v>rdeaconsonja@archive.org</v>
      </c>
      <c r="H696" t="str">
        <f>_xlfn.XLOOKUP(C696,Customers!$A$2:$A$1001,Customers!$G$2:$G$1001)</f>
        <v>United States</v>
      </c>
      <c r="I696" t="str" cm="1">
        <f t="array" ref="I696:L696">_xlfn.XLOOKUP(D696,products!$A$2:$A$49,products!$B$2:$E$49)</f>
        <v>Exc</v>
      </c>
      <c r="J696" t="str">
        <v>D</v>
      </c>
      <c r="K696" s="8">
        <v>0.5</v>
      </c>
      <c r="L696" s="6">
        <v>7.29</v>
      </c>
      <c r="M696" s="7">
        <f t="shared" si="30"/>
        <v>36.450000000000003</v>
      </c>
      <c r="N696" t="str">
        <f t="shared" si="31"/>
        <v>Excelsa</v>
      </c>
      <c r="O696" t="str">
        <f t="shared" si="32"/>
        <v>Dark</v>
      </c>
      <c r="P696" t="str">
        <f>_xlfn.XLOOKUP(Orders!C696,Customers!$A$2:$A$1001,Customers!$I$2:$I$1001)</f>
        <v>No</v>
      </c>
    </row>
    <row r="697" spans="1:16" x14ac:dyDescent="0.3">
      <c r="A697" t="s">
        <v>1356</v>
      </c>
      <c r="B697" s="11">
        <v>44300</v>
      </c>
      <c r="C697" t="s">
        <v>1357</v>
      </c>
      <c r="D697" t="s">
        <v>109</v>
      </c>
      <c r="E697">
        <v>5</v>
      </c>
      <c r="F697" t="str">
        <f>_xlfn.XLOOKUP(C697,Customers!$A$2:$A$1001,Customers!$B$2:$B$1001)</f>
        <v>Davida Caro</v>
      </c>
      <c r="G697" t="str">
        <f>_xlfn.XLOOKUP(C697,Customers!$A$2:$A$1001,Customers!$C$2:$C$1001)</f>
        <v>dcarojb@twitter.com</v>
      </c>
      <c r="H697" t="str">
        <f>_xlfn.XLOOKUP(C697,Customers!$A$2:$A$1001,Customers!$G$2:$G$1001)</f>
        <v>United States</v>
      </c>
      <c r="I697" t="str" cm="1">
        <f t="array" ref="I697:L697">_xlfn.XLOOKUP(D697,products!$A$2:$A$49,products!$B$2:$E$49)</f>
        <v>Lib</v>
      </c>
      <c r="J697" t="str">
        <v>L</v>
      </c>
      <c r="K697" s="8">
        <v>2.5</v>
      </c>
      <c r="L697" s="6">
        <v>36.454999999999998</v>
      </c>
      <c r="M697" s="7">
        <f t="shared" si="30"/>
        <v>182.27499999999998</v>
      </c>
      <c r="N697" t="str">
        <f t="shared" si="31"/>
        <v>Liberica</v>
      </c>
      <c r="O697" t="str">
        <f t="shared" si="32"/>
        <v>Lite</v>
      </c>
      <c r="P697" t="str">
        <f>_xlfn.XLOOKUP(Orders!C697,Customers!$A$2:$A$1001,Customers!$I$2:$I$1001)</f>
        <v>Yes</v>
      </c>
    </row>
    <row r="698" spans="1:16" x14ac:dyDescent="0.3">
      <c r="A698" t="s">
        <v>1358</v>
      </c>
      <c r="B698" s="11">
        <v>43693</v>
      </c>
      <c r="C698" t="s">
        <v>1359</v>
      </c>
      <c r="D698" t="s">
        <v>128</v>
      </c>
      <c r="E698">
        <v>4</v>
      </c>
      <c r="F698" t="str">
        <f>_xlfn.XLOOKUP(C698,Customers!$A$2:$A$1001,Customers!$B$2:$B$1001)</f>
        <v>Johna Bluck</v>
      </c>
      <c r="G698" t="str">
        <f>_xlfn.XLOOKUP(C698,Customers!$A$2:$A$1001,Customers!$C$2:$C$1001)</f>
        <v>jbluckjc@imageshack.us</v>
      </c>
      <c r="H698" t="str">
        <f>_xlfn.XLOOKUP(C698,Customers!$A$2:$A$1001,Customers!$G$2:$G$1001)</f>
        <v>United States</v>
      </c>
      <c r="I698" t="str" cm="1">
        <f t="array" ref="I698:L698">_xlfn.XLOOKUP(D698,products!$A$2:$A$49,products!$B$2:$E$49)</f>
        <v>Lib</v>
      </c>
      <c r="J698" t="str">
        <v>D</v>
      </c>
      <c r="K698" s="8">
        <v>0.5</v>
      </c>
      <c r="L698" s="6">
        <v>7.77</v>
      </c>
      <c r="M698" s="7">
        <f t="shared" si="30"/>
        <v>31.08</v>
      </c>
      <c r="N698" t="str">
        <f t="shared" si="31"/>
        <v>Liberica</v>
      </c>
      <c r="O698" t="str">
        <f t="shared" si="32"/>
        <v>Dark</v>
      </c>
      <c r="P698" t="str">
        <f>_xlfn.XLOOKUP(Orders!C698,Customers!$A$2:$A$1001,Customers!$I$2:$I$1001)</f>
        <v>No</v>
      </c>
    </row>
    <row r="699" spans="1:16" x14ac:dyDescent="0.3">
      <c r="A699" t="s">
        <v>1360</v>
      </c>
      <c r="B699" s="11">
        <v>44547</v>
      </c>
      <c r="C699" t="s">
        <v>1361</v>
      </c>
      <c r="D699" t="s">
        <v>72</v>
      </c>
      <c r="E699">
        <v>3</v>
      </c>
      <c r="F699" t="str">
        <f>_xlfn.XLOOKUP(C699,Customers!$A$2:$A$1001,Customers!$B$2:$B$1001)</f>
        <v>Myrle Dearden</v>
      </c>
      <c r="G699">
        <f>_xlfn.XLOOKUP(C699,Customers!$A$2:$A$1001,Customers!$C$2:$C$1001)</f>
        <v>0</v>
      </c>
      <c r="H699" t="str">
        <f>_xlfn.XLOOKUP(C699,Customers!$A$2:$A$1001,Customers!$G$2:$G$1001)</f>
        <v>Ireland</v>
      </c>
      <c r="I699" t="str" cm="1">
        <f t="array" ref="I699:L699">_xlfn.XLOOKUP(D699,products!$A$2:$A$49,products!$B$2:$E$49)</f>
        <v>Ara</v>
      </c>
      <c r="J699" t="str">
        <v>M</v>
      </c>
      <c r="K699" s="8">
        <v>0.5</v>
      </c>
      <c r="L699" s="6">
        <v>6.75</v>
      </c>
      <c r="M699" s="7">
        <f t="shared" si="30"/>
        <v>20.25</v>
      </c>
      <c r="N699" t="str">
        <f t="shared" si="31"/>
        <v>Arasbica</v>
      </c>
      <c r="O699" t="str">
        <f t="shared" si="32"/>
        <v>Medium</v>
      </c>
      <c r="P699" t="str">
        <f>_xlfn.XLOOKUP(Orders!C699,Customers!$A$2:$A$1001,Customers!$I$2:$I$1001)</f>
        <v>No</v>
      </c>
    </row>
    <row r="700" spans="1:16" x14ac:dyDescent="0.3">
      <c r="A700" t="s">
        <v>1362</v>
      </c>
      <c r="B700" s="11">
        <v>43830</v>
      </c>
      <c r="C700" t="s">
        <v>1349</v>
      </c>
      <c r="D700" t="s">
        <v>18</v>
      </c>
      <c r="E700">
        <v>2</v>
      </c>
      <c r="F700" t="str">
        <f>_xlfn.XLOOKUP(C700,Customers!$A$2:$A$1001,Customers!$B$2:$B$1001)</f>
        <v>Jimmy Dymoke</v>
      </c>
      <c r="G700" t="str">
        <f>_xlfn.XLOOKUP(C700,Customers!$A$2:$A$1001,Customers!$C$2:$C$1001)</f>
        <v>jdymokeje@prnewswire.com</v>
      </c>
      <c r="H700" t="str">
        <f>_xlfn.XLOOKUP(C700,Customers!$A$2:$A$1001,Customers!$G$2:$G$1001)</f>
        <v>Ireland</v>
      </c>
      <c r="I700" t="str" cm="1">
        <f t="array" ref="I700:L700">_xlfn.XLOOKUP(D700,products!$A$2:$A$49,products!$B$2:$E$49)</f>
        <v>Lib</v>
      </c>
      <c r="J700" t="str">
        <v>D</v>
      </c>
      <c r="K700" s="8">
        <v>1</v>
      </c>
      <c r="L700" s="6">
        <v>12.95</v>
      </c>
      <c r="M700" s="7">
        <f t="shared" si="30"/>
        <v>25.9</v>
      </c>
      <c r="N700" t="str">
        <f t="shared" si="31"/>
        <v>Liberica</v>
      </c>
      <c r="O700" t="str">
        <f t="shared" si="32"/>
        <v>Dark</v>
      </c>
      <c r="P700" t="str">
        <f>_xlfn.XLOOKUP(Orders!C700,Customers!$A$2:$A$1001,Customers!$I$2:$I$1001)</f>
        <v>No</v>
      </c>
    </row>
    <row r="701" spans="1:16" x14ac:dyDescent="0.3">
      <c r="A701" t="s">
        <v>1363</v>
      </c>
      <c r="B701" s="11">
        <v>44298</v>
      </c>
      <c r="C701" t="s">
        <v>1364</v>
      </c>
      <c r="D701" t="s">
        <v>77</v>
      </c>
      <c r="E701">
        <v>4</v>
      </c>
      <c r="F701" t="str">
        <f>_xlfn.XLOOKUP(C701,Customers!$A$2:$A$1001,Customers!$B$2:$B$1001)</f>
        <v>Orland Tadman</v>
      </c>
      <c r="G701" t="str">
        <f>_xlfn.XLOOKUP(C701,Customers!$A$2:$A$1001,Customers!$C$2:$C$1001)</f>
        <v>otadmanjf@ft.com</v>
      </c>
      <c r="H701" t="str">
        <f>_xlfn.XLOOKUP(C701,Customers!$A$2:$A$1001,Customers!$G$2:$G$1001)</f>
        <v>United States</v>
      </c>
      <c r="I701" t="str" cm="1">
        <f t="array" ref="I701:L701">_xlfn.XLOOKUP(D701,products!$A$2:$A$49,products!$B$2:$E$49)</f>
        <v>Ara</v>
      </c>
      <c r="J701" t="str">
        <v>D</v>
      </c>
      <c r="K701" s="8">
        <v>0.5</v>
      </c>
      <c r="L701" s="6">
        <v>5.97</v>
      </c>
      <c r="M701" s="7">
        <f t="shared" si="30"/>
        <v>23.88</v>
      </c>
      <c r="N701" t="str">
        <f t="shared" si="31"/>
        <v>Arasbica</v>
      </c>
      <c r="O701" t="str">
        <f t="shared" si="32"/>
        <v>Dark</v>
      </c>
      <c r="P701" t="str">
        <f>_xlfn.XLOOKUP(Orders!C701,Customers!$A$2:$A$1001,Customers!$I$2:$I$1001)</f>
        <v>Yes</v>
      </c>
    </row>
    <row r="702" spans="1:16" x14ac:dyDescent="0.3">
      <c r="A702" t="s">
        <v>1365</v>
      </c>
      <c r="B702" s="11">
        <v>43736</v>
      </c>
      <c r="C702" t="s">
        <v>1366</v>
      </c>
      <c r="D702" t="s">
        <v>88</v>
      </c>
      <c r="E702">
        <v>2</v>
      </c>
      <c r="F702" t="str">
        <f>_xlfn.XLOOKUP(C702,Customers!$A$2:$A$1001,Customers!$B$2:$B$1001)</f>
        <v>Barrett Gudde</v>
      </c>
      <c r="G702" t="str">
        <f>_xlfn.XLOOKUP(C702,Customers!$A$2:$A$1001,Customers!$C$2:$C$1001)</f>
        <v>bguddejg@dailymotion.com</v>
      </c>
      <c r="H702" t="str">
        <f>_xlfn.XLOOKUP(C702,Customers!$A$2:$A$1001,Customers!$G$2:$G$1001)</f>
        <v>United States</v>
      </c>
      <c r="I702" t="str" cm="1">
        <f t="array" ref="I702:L702">_xlfn.XLOOKUP(D702,products!$A$2:$A$49,products!$B$2:$E$49)</f>
        <v>Lib</v>
      </c>
      <c r="J702" t="str">
        <v>L</v>
      </c>
      <c r="K702" s="8">
        <v>0.5</v>
      </c>
      <c r="L702" s="6">
        <v>9.51</v>
      </c>
      <c r="M702" s="7">
        <f t="shared" si="30"/>
        <v>19.02</v>
      </c>
      <c r="N702" t="str">
        <f t="shared" si="31"/>
        <v>Liberica</v>
      </c>
      <c r="O702" t="str">
        <f t="shared" si="32"/>
        <v>Lite</v>
      </c>
      <c r="P702" t="str">
        <f>_xlfn.XLOOKUP(Orders!C702,Customers!$A$2:$A$1001,Customers!$I$2:$I$1001)</f>
        <v>No</v>
      </c>
    </row>
    <row r="703" spans="1:16" x14ac:dyDescent="0.3">
      <c r="A703" t="s">
        <v>1367</v>
      </c>
      <c r="B703" s="11">
        <v>44727</v>
      </c>
      <c r="C703" t="s">
        <v>1368</v>
      </c>
      <c r="D703" t="s">
        <v>77</v>
      </c>
      <c r="E703">
        <v>5</v>
      </c>
      <c r="F703" t="str">
        <f>_xlfn.XLOOKUP(C703,Customers!$A$2:$A$1001,Customers!$B$2:$B$1001)</f>
        <v>Nathan Sictornes</v>
      </c>
      <c r="G703" t="str">
        <f>_xlfn.XLOOKUP(C703,Customers!$A$2:$A$1001,Customers!$C$2:$C$1001)</f>
        <v>nsictornesjh@buzzfeed.com</v>
      </c>
      <c r="H703" t="str">
        <f>_xlfn.XLOOKUP(C703,Customers!$A$2:$A$1001,Customers!$G$2:$G$1001)</f>
        <v>Ireland</v>
      </c>
      <c r="I703" t="str" cm="1">
        <f t="array" ref="I703:L703">_xlfn.XLOOKUP(D703,products!$A$2:$A$49,products!$B$2:$E$49)</f>
        <v>Ara</v>
      </c>
      <c r="J703" t="str">
        <v>D</v>
      </c>
      <c r="K703" s="8">
        <v>0.5</v>
      </c>
      <c r="L703" s="6">
        <v>5.97</v>
      </c>
      <c r="M703" s="7">
        <f t="shared" si="30"/>
        <v>29.849999999999998</v>
      </c>
      <c r="N703" t="str">
        <f t="shared" si="31"/>
        <v>Arasbica</v>
      </c>
      <c r="O703" t="str">
        <f t="shared" si="32"/>
        <v>Dark</v>
      </c>
      <c r="P703" t="str">
        <f>_xlfn.XLOOKUP(Orders!C703,Customers!$A$2:$A$1001,Customers!$I$2:$I$1001)</f>
        <v>Yes</v>
      </c>
    </row>
    <row r="704" spans="1:16" x14ac:dyDescent="0.3">
      <c r="A704" t="s">
        <v>1369</v>
      </c>
      <c r="B704" s="11">
        <v>43661</v>
      </c>
      <c r="C704" t="s">
        <v>1370</v>
      </c>
      <c r="D704" t="s">
        <v>197</v>
      </c>
      <c r="E704">
        <v>1</v>
      </c>
      <c r="F704" t="str">
        <f>_xlfn.XLOOKUP(C704,Customers!$A$2:$A$1001,Customers!$B$2:$B$1001)</f>
        <v>Vivyan Dunning</v>
      </c>
      <c r="G704" t="str">
        <f>_xlfn.XLOOKUP(C704,Customers!$A$2:$A$1001,Customers!$C$2:$C$1001)</f>
        <v>vdunningji@independent.co.uk</v>
      </c>
      <c r="H704" t="str">
        <f>_xlfn.XLOOKUP(C704,Customers!$A$2:$A$1001,Customers!$G$2:$G$1001)</f>
        <v>United States</v>
      </c>
      <c r="I704" t="str" cm="1">
        <f t="array" ref="I704:L704">_xlfn.XLOOKUP(D704,products!$A$2:$A$49,products!$B$2:$E$49)</f>
        <v>Ara</v>
      </c>
      <c r="J704" t="str">
        <v>L</v>
      </c>
      <c r="K704" s="8">
        <v>0.5</v>
      </c>
      <c r="L704" s="6">
        <v>7.77</v>
      </c>
      <c r="M704" s="7">
        <f t="shared" si="30"/>
        <v>7.77</v>
      </c>
      <c r="N704" t="str">
        <f t="shared" si="31"/>
        <v>Arasbica</v>
      </c>
      <c r="O704" t="str">
        <f t="shared" si="32"/>
        <v>Lite</v>
      </c>
      <c r="P704" t="str">
        <f>_xlfn.XLOOKUP(Orders!C704,Customers!$A$2:$A$1001,Customers!$I$2:$I$1001)</f>
        <v>Yes</v>
      </c>
    </row>
    <row r="705" spans="1:16" x14ac:dyDescent="0.3">
      <c r="A705" t="s">
        <v>1371</v>
      </c>
      <c r="B705" s="11">
        <v>43506</v>
      </c>
      <c r="C705" t="s">
        <v>1372</v>
      </c>
      <c r="D705" t="s">
        <v>114</v>
      </c>
      <c r="E705">
        <v>4</v>
      </c>
      <c r="F705" t="str">
        <f>_xlfn.XLOOKUP(C705,Customers!$A$2:$A$1001,Customers!$B$2:$B$1001)</f>
        <v>Doralin Baison</v>
      </c>
      <c r="G705">
        <f>_xlfn.XLOOKUP(C705,Customers!$A$2:$A$1001,Customers!$C$2:$C$1001)</f>
        <v>0</v>
      </c>
      <c r="H705" t="str">
        <f>_xlfn.XLOOKUP(C705,Customers!$A$2:$A$1001,Customers!$G$2:$G$1001)</f>
        <v>Ireland</v>
      </c>
      <c r="I705" t="str" cm="1">
        <f t="array" ref="I705:L705">_xlfn.XLOOKUP(D705,products!$A$2:$A$49,products!$B$2:$E$49)</f>
        <v>Lib</v>
      </c>
      <c r="J705" t="str">
        <v>D</v>
      </c>
      <c r="K705" s="8">
        <v>2.5</v>
      </c>
      <c r="L705" s="6">
        <v>29.784999999999997</v>
      </c>
      <c r="M705" s="7">
        <f t="shared" si="30"/>
        <v>119.13999999999999</v>
      </c>
      <c r="N705" t="str">
        <f t="shared" si="31"/>
        <v>Liberica</v>
      </c>
      <c r="O705" t="str">
        <f t="shared" si="32"/>
        <v>Dark</v>
      </c>
      <c r="P705" t="str">
        <f>_xlfn.XLOOKUP(Orders!C705,Customers!$A$2:$A$1001,Customers!$I$2:$I$1001)</f>
        <v>Yes</v>
      </c>
    </row>
    <row r="706" spans="1:16" x14ac:dyDescent="0.3">
      <c r="A706" t="s">
        <v>1373</v>
      </c>
      <c r="B706" s="11">
        <v>44716</v>
      </c>
      <c r="C706" t="s">
        <v>1374</v>
      </c>
      <c r="D706" t="s">
        <v>56</v>
      </c>
      <c r="E706">
        <v>6</v>
      </c>
      <c r="F706" t="str">
        <f>_xlfn.XLOOKUP(C706,Customers!$A$2:$A$1001,Customers!$B$2:$B$1001)</f>
        <v>Josefina Ferens</v>
      </c>
      <c r="G706">
        <f>_xlfn.XLOOKUP(C706,Customers!$A$2:$A$1001,Customers!$C$2:$C$1001)</f>
        <v>0</v>
      </c>
      <c r="H706" t="str">
        <f>_xlfn.XLOOKUP(C706,Customers!$A$2:$A$1001,Customers!$G$2:$G$1001)</f>
        <v>United States</v>
      </c>
      <c r="I706" t="str" cm="1">
        <f t="array" ref="I706:L706">_xlfn.XLOOKUP(D706,products!$A$2:$A$49,products!$B$2:$E$49)</f>
        <v>Exc</v>
      </c>
      <c r="J706" t="str">
        <v>D</v>
      </c>
      <c r="K706" s="8">
        <v>0.2</v>
      </c>
      <c r="L706" s="6">
        <v>3.645</v>
      </c>
      <c r="M706" s="7">
        <f t="shared" si="30"/>
        <v>21.87</v>
      </c>
      <c r="N706" t="str">
        <f t="shared" si="31"/>
        <v>Excelsa</v>
      </c>
      <c r="O706" t="str">
        <f t="shared" si="32"/>
        <v>Dark</v>
      </c>
      <c r="P706" t="str">
        <f>_xlfn.XLOOKUP(Orders!C706,Customers!$A$2:$A$1001,Customers!$I$2:$I$1001)</f>
        <v>Yes</v>
      </c>
    </row>
    <row r="707" spans="1:16" x14ac:dyDescent="0.3">
      <c r="A707" t="s">
        <v>1375</v>
      </c>
      <c r="B707" s="11">
        <v>44114</v>
      </c>
      <c r="C707" t="s">
        <v>1376</v>
      </c>
      <c r="D707" t="s">
        <v>181</v>
      </c>
      <c r="E707">
        <v>2</v>
      </c>
      <c r="F707" t="str">
        <f>_xlfn.XLOOKUP(C707,Customers!$A$2:$A$1001,Customers!$B$2:$B$1001)</f>
        <v>Shelley Gehring</v>
      </c>
      <c r="G707" t="str">
        <f>_xlfn.XLOOKUP(C707,Customers!$A$2:$A$1001,Customers!$C$2:$C$1001)</f>
        <v>sgehringjl@gnu.org</v>
      </c>
      <c r="H707" t="str">
        <f>_xlfn.XLOOKUP(C707,Customers!$A$2:$A$1001,Customers!$G$2:$G$1001)</f>
        <v>United States</v>
      </c>
      <c r="I707" t="str" cm="1">
        <f t="array" ref="I707:L707">_xlfn.XLOOKUP(D707,products!$A$2:$A$49,products!$B$2:$E$49)</f>
        <v>Exc</v>
      </c>
      <c r="J707" t="str">
        <v>L</v>
      </c>
      <c r="K707" s="8">
        <v>0.5</v>
      </c>
      <c r="L707" s="6">
        <v>8.91</v>
      </c>
      <c r="M707" s="7">
        <f t="shared" ref="M707:M770" si="33">E707*L707</f>
        <v>17.82</v>
      </c>
      <c r="N707" t="str">
        <f t="shared" ref="N707:N770" si="34">IF(I707="rob","Robusta",IF(I707="Exc","Excelsa",IF(I707="Ara","Arasbica",IF(I707="Lib","Liberica"))))</f>
        <v>Excelsa</v>
      </c>
      <c r="O707" t="str">
        <f t="shared" ref="O707:O770" si="35">IF(J707="M","Medium",IF(J707="L","Lite",IF(J707="D","Dark")))</f>
        <v>Lite</v>
      </c>
      <c r="P707" t="str">
        <f>_xlfn.XLOOKUP(Orders!C707,Customers!$A$2:$A$1001,Customers!$I$2:$I$1001)</f>
        <v>No</v>
      </c>
    </row>
    <row r="708" spans="1:16" x14ac:dyDescent="0.3">
      <c r="A708" t="s">
        <v>1377</v>
      </c>
      <c r="B708" s="11">
        <v>44353</v>
      </c>
      <c r="C708" t="s">
        <v>1378</v>
      </c>
      <c r="D708" t="s">
        <v>69</v>
      </c>
      <c r="E708">
        <v>3</v>
      </c>
      <c r="F708" t="str">
        <f>_xlfn.XLOOKUP(C708,Customers!$A$2:$A$1001,Customers!$B$2:$B$1001)</f>
        <v>Barrie Fallowes</v>
      </c>
      <c r="G708" t="str">
        <f>_xlfn.XLOOKUP(C708,Customers!$A$2:$A$1001,Customers!$C$2:$C$1001)</f>
        <v>bfallowesjm@purevolume.com</v>
      </c>
      <c r="H708" t="str">
        <f>_xlfn.XLOOKUP(C708,Customers!$A$2:$A$1001,Customers!$G$2:$G$1001)</f>
        <v>United States</v>
      </c>
      <c r="I708" t="str" cm="1">
        <f t="array" ref="I708:L708">_xlfn.XLOOKUP(D708,products!$A$2:$A$49,products!$B$2:$E$49)</f>
        <v>Exc</v>
      </c>
      <c r="J708" t="str">
        <v>M</v>
      </c>
      <c r="K708" s="8">
        <v>0.2</v>
      </c>
      <c r="L708" s="6">
        <v>4.125</v>
      </c>
      <c r="M708" s="7">
        <f t="shared" si="33"/>
        <v>12.375</v>
      </c>
      <c r="N708" t="str">
        <f t="shared" si="34"/>
        <v>Excelsa</v>
      </c>
      <c r="O708" t="str">
        <f t="shared" si="35"/>
        <v>Medium</v>
      </c>
      <c r="P708" t="str">
        <f>_xlfn.XLOOKUP(Orders!C708,Customers!$A$2:$A$1001,Customers!$I$2:$I$1001)</f>
        <v>No</v>
      </c>
    </row>
    <row r="709" spans="1:16" x14ac:dyDescent="0.3">
      <c r="A709" t="s">
        <v>1379</v>
      </c>
      <c r="B709" s="11">
        <v>43540</v>
      </c>
      <c r="C709" t="s">
        <v>1380</v>
      </c>
      <c r="D709" t="s">
        <v>18</v>
      </c>
      <c r="E709">
        <v>2</v>
      </c>
      <c r="F709" t="str">
        <f>_xlfn.XLOOKUP(C709,Customers!$A$2:$A$1001,Customers!$B$2:$B$1001)</f>
        <v>Nicolas Aiton</v>
      </c>
      <c r="G709">
        <f>_xlfn.XLOOKUP(C709,Customers!$A$2:$A$1001,Customers!$C$2:$C$1001)</f>
        <v>0</v>
      </c>
      <c r="H709" t="str">
        <f>_xlfn.XLOOKUP(C709,Customers!$A$2:$A$1001,Customers!$G$2:$G$1001)</f>
        <v>Ireland</v>
      </c>
      <c r="I709" t="str" cm="1">
        <f t="array" ref="I709:L709">_xlfn.XLOOKUP(D709,products!$A$2:$A$49,products!$B$2:$E$49)</f>
        <v>Lib</v>
      </c>
      <c r="J709" t="str">
        <v>D</v>
      </c>
      <c r="K709" s="8">
        <v>1</v>
      </c>
      <c r="L709" s="6">
        <v>12.95</v>
      </c>
      <c r="M709" s="7">
        <f t="shared" si="33"/>
        <v>25.9</v>
      </c>
      <c r="N709" t="str">
        <f t="shared" si="34"/>
        <v>Liberica</v>
      </c>
      <c r="O709" t="str">
        <f t="shared" si="35"/>
        <v>Dark</v>
      </c>
      <c r="P709" t="str">
        <f>_xlfn.XLOOKUP(Orders!C709,Customers!$A$2:$A$1001,Customers!$I$2:$I$1001)</f>
        <v>No</v>
      </c>
    </row>
    <row r="710" spans="1:16" x14ac:dyDescent="0.3">
      <c r="A710" t="s">
        <v>1381</v>
      </c>
      <c r="B710" s="11">
        <v>43804</v>
      </c>
      <c r="C710" t="s">
        <v>1382</v>
      </c>
      <c r="D710" t="s">
        <v>72</v>
      </c>
      <c r="E710">
        <v>2</v>
      </c>
      <c r="F710" t="str">
        <f>_xlfn.XLOOKUP(C710,Customers!$A$2:$A$1001,Customers!$B$2:$B$1001)</f>
        <v>Shelli De Banke</v>
      </c>
      <c r="G710" t="str">
        <f>_xlfn.XLOOKUP(C710,Customers!$A$2:$A$1001,Customers!$C$2:$C$1001)</f>
        <v>sdejo@newsvine.com</v>
      </c>
      <c r="H710" t="str">
        <f>_xlfn.XLOOKUP(C710,Customers!$A$2:$A$1001,Customers!$G$2:$G$1001)</f>
        <v>United States</v>
      </c>
      <c r="I710" t="str" cm="1">
        <f t="array" ref="I710:L710">_xlfn.XLOOKUP(D710,products!$A$2:$A$49,products!$B$2:$E$49)</f>
        <v>Ara</v>
      </c>
      <c r="J710" t="str">
        <v>M</v>
      </c>
      <c r="K710" s="8">
        <v>0.5</v>
      </c>
      <c r="L710" s="6">
        <v>6.75</v>
      </c>
      <c r="M710" s="7">
        <f t="shared" si="33"/>
        <v>13.5</v>
      </c>
      <c r="N710" t="str">
        <f t="shared" si="34"/>
        <v>Arasbica</v>
      </c>
      <c r="O710" t="str">
        <f t="shared" si="35"/>
        <v>Medium</v>
      </c>
      <c r="P710" t="str">
        <f>_xlfn.XLOOKUP(Orders!C710,Customers!$A$2:$A$1001,Customers!$I$2:$I$1001)</f>
        <v>Yes</v>
      </c>
    </row>
    <row r="711" spans="1:16" x14ac:dyDescent="0.3">
      <c r="A711" t="s">
        <v>1383</v>
      </c>
      <c r="B711" s="11">
        <v>43485</v>
      </c>
      <c r="C711" t="s">
        <v>1384</v>
      </c>
      <c r="D711" t="s">
        <v>181</v>
      </c>
      <c r="E711">
        <v>2</v>
      </c>
      <c r="F711" t="str">
        <f>_xlfn.XLOOKUP(C711,Customers!$A$2:$A$1001,Customers!$B$2:$B$1001)</f>
        <v>Lyell Murch</v>
      </c>
      <c r="G711">
        <f>_xlfn.XLOOKUP(C711,Customers!$A$2:$A$1001,Customers!$C$2:$C$1001)</f>
        <v>0</v>
      </c>
      <c r="H711" t="str">
        <f>_xlfn.XLOOKUP(C711,Customers!$A$2:$A$1001,Customers!$G$2:$G$1001)</f>
        <v>United States</v>
      </c>
      <c r="I711" t="str" cm="1">
        <f t="array" ref="I711:L711">_xlfn.XLOOKUP(D711,products!$A$2:$A$49,products!$B$2:$E$49)</f>
        <v>Exc</v>
      </c>
      <c r="J711" t="str">
        <v>L</v>
      </c>
      <c r="K711" s="8">
        <v>0.5</v>
      </c>
      <c r="L711" s="6">
        <v>8.91</v>
      </c>
      <c r="M711" s="7">
        <f t="shared" si="33"/>
        <v>17.82</v>
      </c>
      <c r="N711" t="str">
        <f t="shared" si="34"/>
        <v>Excelsa</v>
      </c>
      <c r="O711" t="str">
        <f t="shared" si="35"/>
        <v>Lite</v>
      </c>
      <c r="P711" t="str">
        <f>_xlfn.XLOOKUP(Orders!C711,Customers!$A$2:$A$1001,Customers!$I$2:$I$1001)</f>
        <v>Yes</v>
      </c>
    </row>
    <row r="712" spans="1:16" x14ac:dyDescent="0.3">
      <c r="A712" t="s">
        <v>1385</v>
      </c>
      <c r="B712" s="11">
        <v>44655</v>
      </c>
      <c r="C712" t="s">
        <v>1386</v>
      </c>
      <c r="D712" t="s">
        <v>8</v>
      </c>
      <c r="E712">
        <v>3</v>
      </c>
      <c r="F712" t="str">
        <f>_xlfn.XLOOKUP(C712,Customers!$A$2:$A$1001,Customers!$B$2:$B$1001)</f>
        <v>Stearne Count</v>
      </c>
      <c r="G712" t="str">
        <f>_xlfn.XLOOKUP(C712,Customers!$A$2:$A$1001,Customers!$C$2:$C$1001)</f>
        <v>scountjq@nba.com</v>
      </c>
      <c r="H712" t="str">
        <f>_xlfn.XLOOKUP(C712,Customers!$A$2:$A$1001,Customers!$G$2:$G$1001)</f>
        <v>United States</v>
      </c>
      <c r="I712" t="str" cm="1">
        <f t="array" ref="I712:L712">_xlfn.XLOOKUP(D712,products!$A$2:$A$49,products!$B$2:$E$49)</f>
        <v>Exc</v>
      </c>
      <c r="J712" t="str">
        <v>M</v>
      </c>
      <c r="K712" s="8">
        <v>0.5</v>
      </c>
      <c r="L712" s="6">
        <v>8.25</v>
      </c>
      <c r="M712" s="7">
        <f t="shared" si="33"/>
        <v>24.75</v>
      </c>
      <c r="N712" t="str">
        <f t="shared" si="34"/>
        <v>Excelsa</v>
      </c>
      <c r="O712" t="str">
        <f t="shared" si="35"/>
        <v>Medium</v>
      </c>
      <c r="P712" t="str">
        <f>_xlfn.XLOOKUP(Orders!C712,Customers!$A$2:$A$1001,Customers!$I$2:$I$1001)</f>
        <v>No</v>
      </c>
    </row>
    <row r="713" spans="1:16" x14ac:dyDescent="0.3">
      <c r="A713" t="s">
        <v>1387</v>
      </c>
      <c r="B713" s="11">
        <v>44600</v>
      </c>
      <c r="C713" t="s">
        <v>1388</v>
      </c>
      <c r="D713" t="s">
        <v>167</v>
      </c>
      <c r="E713">
        <v>6</v>
      </c>
      <c r="F713" t="str">
        <f>_xlfn.XLOOKUP(C713,Customers!$A$2:$A$1001,Customers!$B$2:$B$1001)</f>
        <v>Selia Ragles</v>
      </c>
      <c r="G713" t="str">
        <f>_xlfn.XLOOKUP(C713,Customers!$A$2:$A$1001,Customers!$C$2:$C$1001)</f>
        <v>sraglesjr@blogtalkradio.com</v>
      </c>
      <c r="H713" t="str">
        <f>_xlfn.XLOOKUP(C713,Customers!$A$2:$A$1001,Customers!$G$2:$G$1001)</f>
        <v>United States</v>
      </c>
      <c r="I713" t="str" cm="1">
        <f t="array" ref="I713:L713">_xlfn.XLOOKUP(D713,products!$A$2:$A$49,products!$B$2:$E$49)</f>
        <v>Rob</v>
      </c>
      <c r="J713" t="str">
        <v>M</v>
      </c>
      <c r="K713" s="8">
        <v>0.2</v>
      </c>
      <c r="L713" s="6">
        <v>2.9849999999999999</v>
      </c>
      <c r="M713" s="7">
        <f t="shared" si="33"/>
        <v>17.91</v>
      </c>
      <c r="N713" t="str">
        <f t="shared" si="34"/>
        <v>Robusta</v>
      </c>
      <c r="O713" t="str">
        <f t="shared" si="35"/>
        <v>Medium</v>
      </c>
      <c r="P713" t="str">
        <f>_xlfn.XLOOKUP(Orders!C713,Customers!$A$2:$A$1001,Customers!$I$2:$I$1001)</f>
        <v>No</v>
      </c>
    </row>
    <row r="714" spans="1:16" x14ac:dyDescent="0.3">
      <c r="A714" t="s">
        <v>1389</v>
      </c>
      <c r="B714" s="11">
        <v>43646</v>
      </c>
      <c r="C714" t="s">
        <v>1390</v>
      </c>
      <c r="D714" t="s">
        <v>8</v>
      </c>
      <c r="E714">
        <v>2</v>
      </c>
      <c r="F714" t="str">
        <f>_xlfn.XLOOKUP(C714,Customers!$A$2:$A$1001,Customers!$B$2:$B$1001)</f>
        <v>Silas Deehan</v>
      </c>
      <c r="G714">
        <f>_xlfn.XLOOKUP(C714,Customers!$A$2:$A$1001,Customers!$C$2:$C$1001)</f>
        <v>0</v>
      </c>
      <c r="H714" t="str">
        <f>_xlfn.XLOOKUP(C714,Customers!$A$2:$A$1001,Customers!$G$2:$G$1001)</f>
        <v>United Kingdom</v>
      </c>
      <c r="I714" t="str" cm="1">
        <f t="array" ref="I714:L714">_xlfn.XLOOKUP(D714,products!$A$2:$A$49,products!$B$2:$E$49)</f>
        <v>Exc</v>
      </c>
      <c r="J714" t="str">
        <v>M</v>
      </c>
      <c r="K714" s="8">
        <v>0.5</v>
      </c>
      <c r="L714" s="6">
        <v>8.25</v>
      </c>
      <c r="M714" s="7">
        <f t="shared" si="33"/>
        <v>16.5</v>
      </c>
      <c r="N714" t="str">
        <f t="shared" si="34"/>
        <v>Excelsa</v>
      </c>
      <c r="O714" t="str">
        <f t="shared" si="35"/>
        <v>Medium</v>
      </c>
      <c r="P714" t="str">
        <f>_xlfn.XLOOKUP(Orders!C714,Customers!$A$2:$A$1001,Customers!$I$2:$I$1001)</f>
        <v>No</v>
      </c>
    </row>
    <row r="715" spans="1:16" x14ac:dyDescent="0.3">
      <c r="A715" t="s">
        <v>1391</v>
      </c>
      <c r="B715" s="11">
        <v>43960</v>
      </c>
      <c r="C715" t="s">
        <v>1392</v>
      </c>
      <c r="D715" t="s">
        <v>167</v>
      </c>
      <c r="E715">
        <v>1</v>
      </c>
      <c r="F715" t="str">
        <f>_xlfn.XLOOKUP(C715,Customers!$A$2:$A$1001,Customers!$B$2:$B$1001)</f>
        <v>Sacha Bruun</v>
      </c>
      <c r="G715" t="str">
        <f>_xlfn.XLOOKUP(C715,Customers!$A$2:$A$1001,Customers!$C$2:$C$1001)</f>
        <v>sbruunjt@blogtalkradio.com</v>
      </c>
      <c r="H715" t="str">
        <f>_xlfn.XLOOKUP(C715,Customers!$A$2:$A$1001,Customers!$G$2:$G$1001)</f>
        <v>United States</v>
      </c>
      <c r="I715" t="str" cm="1">
        <f t="array" ref="I715:L715">_xlfn.XLOOKUP(D715,products!$A$2:$A$49,products!$B$2:$E$49)</f>
        <v>Rob</v>
      </c>
      <c r="J715" t="str">
        <v>M</v>
      </c>
      <c r="K715" s="8">
        <v>0.2</v>
      </c>
      <c r="L715" s="6">
        <v>2.9849999999999999</v>
      </c>
      <c r="M715" s="7">
        <f t="shared" si="33"/>
        <v>2.9849999999999999</v>
      </c>
      <c r="N715" t="str">
        <f t="shared" si="34"/>
        <v>Robusta</v>
      </c>
      <c r="O715" t="str">
        <f t="shared" si="35"/>
        <v>Medium</v>
      </c>
      <c r="P715" t="str">
        <f>_xlfn.XLOOKUP(Orders!C715,Customers!$A$2:$A$1001,Customers!$I$2:$I$1001)</f>
        <v>No</v>
      </c>
    </row>
    <row r="716" spans="1:16" x14ac:dyDescent="0.3">
      <c r="A716" t="s">
        <v>1393</v>
      </c>
      <c r="B716" s="11">
        <v>44358</v>
      </c>
      <c r="C716" t="s">
        <v>1394</v>
      </c>
      <c r="D716" t="s">
        <v>56</v>
      </c>
      <c r="E716">
        <v>4</v>
      </c>
      <c r="F716" t="str">
        <f>_xlfn.XLOOKUP(C716,Customers!$A$2:$A$1001,Customers!$B$2:$B$1001)</f>
        <v>Alon Pllu</v>
      </c>
      <c r="G716" t="str">
        <f>_xlfn.XLOOKUP(C716,Customers!$A$2:$A$1001,Customers!$C$2:$C$1001)</f>
        <v>aplluju@dagondesign.com</v>
      </c>
      <c r="H716" t="str">
        <f>_xlfn.XLOOKUP(C716,Customers!$A$2:$A$1001,Customers!$G$2:$G$1001)</f>
        <v>Ireland</v>
      </c>
      <c r="I716" t="str" cm="1">
        <f t="array" ref="I716:L716">_xlfn.XLOOKUP(D716,products!$A$2:$A$49,products!$B$2:$E$49)</f>
        <v>Exc</v>
      </c>
      <c r="J716" t="str">
        <v>D</v>
      </c>
      <c r="K716" s="8">
        <v>0.2</v>
      </c>
      <c r="L716" s="6">
        <v>3.645</v>
      </c>
      <c r="M716" s="7">
        <f t="shared" si="33"/>
        <v>14.58</v>
      </c>
      <c r="N716" t="str">
        <f t="shared" si="34"/>
        <v>Excelsa</v>
      </c>
      <c r="O716" t="str">
        <f t="shared" si="35"/>
        <v>Dark</v>
      </c>
      <c r="P716" t="str">
        <f>_xlfn.XLOOKUP(Orders!C716,Customers!$A$2:$A$1001,Customers!$I$2:$I$1001)</f>
        <v>Yes</v>
      </c>
    </row>
    <row r="717" spans="1:16" x14ac:dyDescent="0.3">
      <c r="A717" t="s">
        <v>1395</v>
      </c>
      <c r="B717" s="11">
        <v>44504</v>
      </c>
      <c r="C717" t="s">
        <v>1396</v>
      </c>
      <c r="D717" t="s">
        <v>142</v>
      </c>
      <c r="E717">
        <v>6</v>
      </c>
      <c r="F717" t="str">
        <f>_xlfn.XLOOKUP(C717,Customers!$A$2:$A$1001,Customers!$B$2:$B$1001)</f>
        <v>Gilberto Cornier</v>
      </c>
      <c r="G717" t="str">
        <f>_xlfn.XLOOKUP(C717,Customers!$A$2:$A$1001,Customers!$C$2:$C$1001)</f>
        <v>gcornierjv@techcrunch.com</v>
      </c>
      <c r="H717" t="str">
        <f>_xlfn.XLOOKUP(C717,Customers!$A$2:$A$1001,Customers!$G$2:$G$1001)</f>
        <v>United States</v>
      </c>
      <c r="I717" t="str" cm="1">
        <f t="array" ref="I717:L717">_xlfn.XLOOKUP(D717,products!$A$2:$A$49,products!$B$2:$E$49)</f>
        <v>Exc</v>
      </c>
      <c r="J717" t="str">
        <v>L</v>
      </c>
      <c r="K717" s="8">
        <v>1</v>
      </c>
      <c r="L717" s="6">
        <v>14.85</v>
      </c>
      <c r="M717" s="7">
        <f t="shared" si="33"/>
        <v>89.1</v>
      </c>
      <c r="N717" t="str">
        <f t="shared" si="34"/>
        <v>Excelsa</v>
      </c>
      <c r="O717" t="str">
        <f t="shared" si="35"/>
        <v>Lite</v>
      </c>
      <c r="P717" t="str">
        <f>_xlfn.XLOOKUP(Orders!C717,Customers!$A$2:$A$1001,Customers!$I$2:$I$1001)</f>
        <v>No</v>
      </c>
    </row>
    <row r="718" spans="1:16" x14ac:dyDescent="0.3">
      <c r="A718" t="s">
        <v>1397</v>
      </c>
      <c r="B718" s="11">
        <v>44612</v>
      </c>
      <c r="C718" t="s">
        <v>1349</v>
      </c>
      <c r="D718" t="s">
        <v>194</v>
      </c>
      <c r="E718">
        <v>3</v>
      </c>
      <c r="F718" t="str">
        <f>_xlfn.XLOOKUP(C718,Customers!$A$2:$A$1001,Customers!$B$2:$B$1001)</f>
        <v>Jimmy Dymoke</v>
      </c>
      <c r="G718" t="str">
        <f>_xlfn.XLOOKUP(C718,Customers!$A$2:$A$1001,Customers!$C$2:$C$1001)</f>
        <v>jdymokeje@prnewswire.com</v>
      </c>
      <c r="H718" t="str">
        <f>_xlfn.XLOOKUP(C718,Customers!$A$2:$A$1001,Customers!$G$2:$G$1001)</f>
        <v>Ireland</v>
      </c>
      <c r="I718" t="str" cm="1">
        <f t="array" ref="I718:L718">_xlfn.XLOOKUP(D718,products!$A$2:$A$49,products!$B$2:$E$49)</f>
        <v>Rob</v>
      </c>
      <c r="J718" t="str">
        <v>L</v>
      </c>
      <c r="K718" s="8">
        <v>1</v>
      </c>
      <c r="L718" s="6">
        <v>11.95</v>
      </c>
      <c r="M718" s="7">
        <f t="shared" si="33"/>
        <v>35.849999999999994</v>
      </c>
      <c r="N718" t="str">
        <f t="shared" si="34"/>
        <v>Robusta</v>
      </c>
      <c r="O718" t="str">
        <f t="shared" si="35"/>
        <v>Lite</v>
      </c>
      <c r="P718" t="str">
        <f>_xlfn.XLOOKUP(Orders!C718,Customers!$A$2:$A$1001,Customers!$I$2:$I$1001)</f>
        <v>No</v>
      </c>
    </row>
    <row r="719" spans="1:16" x14ac:dyDescent="0.3">
      <c r="A719" t="s">
        <v>1398</v>
      </c>
      <c r="B719" s="11">
        <v>43649</v>
      </c>
      <c r="C719" t="s">
        <v>1399</v>
      </c>
      <c r="D719" t="s">
        <v>123</v>
      </c>
      <c r="E719">
        <v>3</v>
      </c>
      <c r="F719" t="str">
        <f>_xlfn.XLOOKUP(C719,Customers!$A$2:$A$1001,Customers!$B$2:$B$1001)</f>
        <v>Willabella Harvison</v>
      </c>
      <c r="G719" t="str">
        <f>_xlfn.XLOOKUP(C719,Customers!$A$2:$A$1001,Customers!$C$2:$C$1001)</f>
        <v>wharvisonjx@gizmodo.com</v>
      </c>
      <c r="H719" t="str">
        <f>_xlfn.XLOOKUP(C719,Customers!$A$2:$A$1001,Customers!$G$2:$G$1001)</f>
        <v>United States</v>
      </c>
      <c r="I719" t="str" cm="1">
        <f t="array" ref="I719:L719">_xlfn.XLOOKUP(D719,products!$A$2:$A$49,products!$B$2:$E$49)</f>
        <v>Ara</v>
      </c>
      <c r="J719" t="str">
        <v>D</v>
      </c>
      <c r="K719" s="8">
        <v>2.5</v>
      </c>
      <c r="L719" s="6">
        <v>22.884999999999998</v>
      </c>
      <c r="M719" s="7">
        <f t="shared" si="33"/>
        <v>68.655000000000001</v>
      </c>
      <c r="N719" t="str">
        <f t="shared" si="34"/>
        <v>Arasbica</v>
      </c>
      <c r="O719" t="str">
        <f t="shared" si="35"/>
        <v>Dark</v>
      </c>
      <c r="P719" t="str">
        <f>_xlfn.XLOOKUP(Orders!C719,Customers!$A$2:$A$1001,Customers!$I$2:$I$1001)</f>
        <v>No</v>
      </c>
    </row>
    <row r="720" spans="1:16" x14ac:dyDescent="0.3">
      <c r="A720" t="s">
        <v>1400</v>
      </c>
      <c r="B720" s="11">
        <v>44348</v>
      </c>
      <c r="C720" t="s">
        <v>1401</v>
      </c>
      <c r="D720" t="s">
        <v>18</v>
      </c>
      <c r="E720">
        <v>3</v>
      </c>
      <c r="F720" t="str">
        <f>_xlfn.XLOOKUP(C720,Customers!$A$2:$A$1001,Customers!$B$2:$B$1001)</f>
        <v>Darice Heaford</v>
      </c>
      <c r="G720" t="str">
        <f>_xlfn.XLOOKUP(C720,Customers!$A$2:$A$1001,Customers!$C$2:$C$1001)</f>
        <v>dheafordjy@twitpic.com</v>
      </c>
      <c r="H720" t="str">
        <f>_xlfn.XLOOKUP(C720,Customers!$A$2:$A$1001,Customers!$G$2:$G$1001)</f>
        <v>United States</v>
      </c>
      <c r="I720" t="str" cm="1">
        <f t="array" ref="I720:L720">_xlfn.XLOOKUP(D720,products!$A$2:$A$49,products!$B$2:$E$49)</f>
        <v>Lib</v>
      </c>
      <c r="J720" t="str">
        <v>D</v>
      </c>
      <c r="K720" s="8">
        <v>1</v>
      </c>
      <c r="L720" s="6">
        <v>12.95</v>
      </c>
      <c r="M720" s="7">
        <f t="shared" si="33"/>
        <v>38.849999999999994</v>
      </c>
      <c r="N720" t="str">
        <f t="shared" si="34"/>
        <v>Liberica</v>
      </c>
      <c r="O720" t="str">
        <f t="shared" si="35"/>
        <v>Dark</v>
      </c>
      <c r="P720" t="str">
        <f>_xlfn.XLOOKUP(Orders!C720,Customers!$A$2:$A$1001,Customers!$I$2:$I$1001)</f>
        <v>No</v>
      </c>
    </row>
    <row r="721" spans="1:16" x14ac:dyDescent="0.3">
      <c r="A721" t="s">
        <v>1402</v>
      </c>
      <c r="B721" s="11">
        <v>44150</v>
      </c>
      <c r="C721" t="s">
        <v>1403</v>
      </c>
      <c r="D721" t="s">
        <v>137</v>
      </c>
      <c r="E721">
        <v>5</v>
      </c>
      <c r="F721" t="str">
        <f>_xlfn.XLOOKUP(C721,Customers!$A$2:$A$1001,Customers!$B$2:$B$1001)</f>
        <v>Granger Fantham</v>
      </c>
      <c r="G721" t="str">
        <f>_xlfn.XLOOKUP(C721,Customers!$A$2:$A$1001,Customers!$C$2:$C$1001)</f>
        <v>gfanthamjz@hexun.com</v>
      </c>
      <c r="H721" t="str">
        <f>_xlfn.XLOOKUP(C721,Customers!$A$2:$A$1001,Customers!$G$2:$G$1001)</f>
        <v>United States</v>
      </c>
      <c r="I721" t="str" cm="1">
        <f t="array" ref="I721:L721">_xlfn.XLOOKUP(D721,products!$A$2:$A$49,products!$B$2:$E$49)</f>
        <v>Lib</v>
      </c>
      <c r="J721" t="str">
        <v>L</v>
      </c>
      <c r="K721" s="8">
        <v>1</v>
      </c>
      <c r="L721" s="6">
        <v>15.85</v>
      </c>
      <c r="M721" s="7">
        <f t="shared" si="33"/>
        <v>79.25</v>
      </c>
      <c r="N721" t="str">
        <f t="shared" si="34"/>
        <v>Liberica</v>
      </c>
      <c r="O721" t="str">
        <f t="shared" si="35"/>
        <v>Lite</v>
      </c>
      <c r="P721" t="str">
        <f>_xlfn.XLOOKUP(Orders!C721,Customers!$A$2:$A$1001,Customers!$I$2:$I$1001)</f>
        <v>Yes</v>
      </c>
    </row>
    <row r="722" spans="1:16" x14ac:dyDescent="0.3">
      <c r="A722" t="s">
        <v>1404</v>
      </c>
      <c r="B722" s="11">
        <v>44215</v>
      </c>
      <c r="C722" t="s">
        <v>1405</v>
      </c>
      <c r="D722" t="s">
        <v>21</v>
      </c>
      <c r="E722">
        <v>5</v>
      </c>
      <c r="F722" t="str">
        <f>_xlfn.XLOOKUP(C722,Customers!$A$2:$A$1001,Customers!$B$2:$B$1001)</f>
        <v>Reynolds Crookshanks</v>
      </c>
      <c r="G722" t="str">
        <f>_xlfn.XLOOKUP(C722,Customers!$A$2:$A$1001,Customers!$C$2:$C$1001)</f>
        <v>rcrookshanksk0@unc.edu</v>
      </c>
      <c r="H722" t="str">
        <f>_xlfn.XLOOKUP(C722,Customers!$A$2:$A$1001,Customers!$G$2:$G$1001)</f>
        <v>United States</v>
      </c>
      <c r="I722" t="str" cm="1">
        <f t="array" ref="I722:L722">_xlfn.XLOOKUP(D722,products!$A$2:$A$49,products!$B$2:$E$49)</f>
        <v>Exc</v>
      </c>
      <c r="J722" t="str">
        <v>D</v>
      </c>
      <c r="K722" s="8">
        <v>0.5</v>
      </c>
      <c r="L722" s="6">
        <v>7.29</v>
      </c>
      <c r="M722" s="7">
        <f t="shared" si="33"/>
        <v>36.450000000000003</v>
      </c>
      <c r="N722" t="str">
        <f t="shared" si="34"/>
        <v>Excelsa</v>
      </c>
      <c r="O722" t="str">
        <f t="shared" si="35"/>
        <v>Dark</v>
      </c>
      <c r="P722" t="str">
        <f>_xlfn.XLOOKUP(Orders!C722,Customers!$A$2:$A$1001,Customers!$I$2:$I$1001)</f>
        <v>Yes</v>
      </c>
    </row>
    <row r="723" spans="1:16" x14ac:dyDescent="0.3">
      <c r="A723" t="s">
        <v>1406</v>
      </c>
      <c r="B723" s="11">
        <v>44479</v>
      </c>
      <c r="C723" t="s">
        <v>1407</v>
      </c>
      <c r="D723" t="s">
        <v>167</v>
      </c>
      <c r="E723">
        <v>3</v>
      </c>
      <c r="F723" t="str">
        <f>_xlfn.XLOOKUP(C723,Customers!$A$2:$A$1001,Customers!$B$2:$B$1001)</f>
        <v>Niels Leake</v>
      </c>
      <c r="G723" t="str">
        <f>_xlfn.XLOOKUP(C723,Customers!$A$2:$A$1001,Customers!$C$2:$C$1001)</f>
        <v>nleakek1@cmu.edu</v>
      </c>
      <c r="H723" t="str">
        <f>_xlfn.XLOOKUP(C723,Customers!$A$2:$A$1001,Customers!$G$2:$G$1001)</f>
        <v>United States</v>
      </c>
      <c r="I723" t="str" cm="1">
        <f t="array" ref="I723:L723">_xlfn.XLOOKUP(D723,products!$A$2:$A$49,products!$B$2:$E$49)</f>
        <v>Rob</v>
      </c>
      <c r="J723" t="str">
        <v>M</v>
      </c>
      <c r="K723" s="8">
        <v>0.2</v>
      </c>
      <c r="L723" s="6">
        <v>2.9849999999999999</v>
      </c>
      <c r="M723" s="7">
        <f t="shared" si="33"/>
        <v>8.9550000000000001</v>
      </c>
      <c r="N723" t="str">
        <f t="shared" si="34"/>
        <v>Robusta</v>
      </c>
      <c r="O723" t="str">
        <f t="shared" si="35"/>
        <v>Medium</v>
      </c>
      <c r="P723" t="str">
        <f>_xlfn.XLOOKUP(Orders!C723,Customers!$A$2:$A$1001,Customers!$I$2:$I$1001)</f>
        <v>Yes</v>
      </c>
    </row>
    <row r="724" spans="1:16" x14ac:dyDescent="0.3">
      <c r="A724" t="s">
        <v>1408</v>
      </c>
      <c r="B724" s="11">
        <v>44620</v>
      </c>
      <c r="C724" t="s">
        <v>1409</v>
      </c>
      <c r="D724" t="s">
        <v>250</v>
      </c>
      <c r="E724">
        <v>2</v>
      </c>
      <c r="F724" t="str">
        <f>_xlfn.XLOOKUP(C724,Customers!$A$2:$A$1001,Customers!$B$2:$B$1001)</f>
        <v>Hetti Measures</v>
      </c>
      <c r="G724">
        <f>_xlfn.XLOOKUP(C724,Customers!$A$2:$A$1001,Customers!$C$2:$C$1001)</f>
        <v>0</v>
      </c>
      <c r="H724" t="str">
        <f>_xlfn.XLOOKUP(C724,Customers!$A$2:$A$1001,Customers!$G$2:$G$1001)</f>
        <v>United States</v>
      </c>
      <c r="I724" t="str" cm="1">
        <f t="array" ref="I724:L724">_xlfn.XLOOKUP(D724,products!$A$2:$A$49,products!$B$2:$E$49)</f>
        <v>Exc</v>
      </c>
      <c r="J724" t="str">
        <v>D</v>
      </c>
      <c r="K724" s="8">
        <v>1</v>
      </c>
      <c r="L724" s="6">
        <v>12.15</v>
      </c>
      <c r="M724" s="7">
        <f t="shared" si="33"/>
        <v>24.3</v>
      </c>
      <c r="N724" t="str">
        <f t="shared" si="34"/>
        <v>Excelsa</v>
      </c>
      <c r="O724" t="str">
        <f t="shared" si="35"/>
        <v>Dark</v>
      </c>
      <c r="P724" t="str">
        <f>_xlfn.XLOOKUP(Orders!C724,Customers!$A$2:$A$1001,Customers!$I$2:$I$1001)</f>
        <v>No</v>
      </c>
    </row>
    <row r="725" spans="1:16" x14ac:dyDescent="0.3">
      <c r="A725" t="s">
        <v>1410</v>
      </c>
      <c r="B725" s="11">
        <v>44470</v>
      </c>
      <c r="C725" t="s">
        <v>1411</v>
      </c>
      <c r="D725" t="s">
        <v>117</v>
      </c>
      <c r="E725">
        <v>2</v>
      </c>
      <c r="F725" t="str">
        <f>_xlfn.XLOOKUP(C725,Customers!$A$2:$A$1001,Customers!$B$2:$B$1001)</f>
        <v>Gay Eilhersen</v>
      </c>
      <c r="G725" t="str">
        <f>_xlfn.XLOOKUP(C725,Customers!$A$2:$A$1001,Customers!$C$2:$C$1001)</f>
        <v>geilhersenk3@networksolutions.com</v>
      </c>
      <c r="H725" t="str">
        <f>_xlfn.XLOOKUP(C725,Customers!$A$2:$A$1001,Customers!$G$2:$G$1001)</f>
        <v>United States</v>
      </c>
      <c r="I725" t="str" cm="1">
        <f t="array" ref="I725:L725">_xlfn.XLOOKUP(D725,products!$A$2:$A$49,products!$B$2:$E$49)</f>
        <v>Exc</v>
      </c>
      <c r="J725" t="str">
        <v>M</v>
      </c>
      <c r="K725" s="8">
        <v>2.5</v>
      </c>
      <c r="L725" s="6">
        <v>31.624999999999996</v>
      </c>
      <c r="M725" s="7">
        <f t="shared" si="33"/>
        <v>63.249999999999993</v>
      </c>
      <c r="N725" t="str">
        <f t="shared" si="34"/>
        <v>Excelsa</v>
      </c>
      <c r="O725" t="str">
        <f t="shared" si="35"/>
        <v>Medium</v>
      </c>
      <c r="P725" t="str">
        <f>_xlfn.XLOOKUP(Orders!C725,Customers!$A$2:$A$1001,Customers!$I$2:$I$1001)</f>
        <v>No</v>
      </c>
    </row>
    <row r="726" spans="1:16" x14ac:dyDescent="0.3">
      <c r="A726" t="s">
        <v>1412</v>
      </c>
      <c r="B726" s="11">
        <v>44076</v>
      </c>
      <c r="C726" t="s">
        <v>1413</v>
      </c>
      <c r="D726" t="s">
        <v>49</v>
      </c>
      <c r="E726">
        <v>2</v>
      </c>
      <c r="F726" t="str">
        <f>_xlfn.XLOOKUP(C726,Customers!$A$2:$A$1001,Customers!$B$2:$B$1001)</f>
        <v>Nico Hubert</v>
      </c>
      <c r="G726">
        <f>_xlfn.XLOOKUP(C726,Customers!$A$2:$A$1001,Customers!$C$2:$C$1001)</f>
        <v>0</v>
      </c>
      <c r="H726" t="str">
        <f>_xlfn.XLOOKUP(C726,Customers!$A$2:$A$1001,Customers!$G$2:$G$1001)</f>
        <v>United States</v>
      </c>
      <c r="I726" t="str" cm="1">
        <f t="array" ref="I726:L726">_xlfn.XLOOKUP(D726,products!$A$2:$A$49,products!$B$2:$E$49)</f>
        <v>Ara</v>
      </c>
      <c r="J726" t="str">
        <v>M</v>
      </c>
      <c r="K726" s="8">
        <v>0.2</v>
      </c>
      <c r="L726" s="6">
        <v>3.375</v>
      </c>
      <c r="M726" s="7">
        <f t="shared" si="33"/>
        <v>6.75</v>
      </c>
      <c r="N726" t="str">
        <f t="shared" si="34"/>
        <v>Arasbica</v>
      </c>
      <c r="O726" t="str">
        <f t="shared" si="35"/>
        <v>Medium</v>
      </c>
      <c r="P726" t="str">
        <f>_xlfn.XLOOKUP(Orders!C726,Customers!$A$2:$A$1001,Customers!$I$2:$I$1001)</f>
        <v>Yes</v>
      </c>
    </row>
    <row r="727" spans="1:16" x14ac:dyDescent="0.3">
      <c r="A727" t="s">
        <v>1414</v>
      </c>
      <c r="B727" s="11">
        <v>44043</v>
      </c>
      <c r="C727" t="s">
        <v>1415</v>
      </c>
      <c r="D727" t="s">
        <v>120</v>
      </c>
      <c r="E727">
        <v>6</v>
      </c>
      <c r="F727" t="str">
        <f>_xlfn.XLOOKUP(C727,Customers!$A$2:$A$1001,Customers!$B$2:$B$1001)</f>
        <v>Cristina Aleixo</v>
      </c>
      <c r="G727" t="str">
        <f>_xlfn.XLOOKUP(C727,Customers!$A$2:$A$1001,Customers!$C$2:$C$1001)</f>
        <v>caleixok5@globo.com</v>
      </c>
      <c r="H727" t="str">
        <f>_xlfn.XLOOKUP(C727,Customers!$A$2:$A$1001,Customers!$G$2:$G$1001)</f>
        <v>United States</v>
      </c>
      <c r="I727" t="str" cm="1">
        <f t="array" ref="I727:L727">_xlfn.XLOOKUP(D727,products!$A$2:$A$49,products!$B$2:$E$49)</f>
        <v>Ara</v>
      </c>
      <c r="J727" t="str">
        <v>L</v>
      </c>
      <c r="K727" s="8">
        <v>0.2</v>
      </c>
      <c r="L727" s="6">
        <v>3.8849999999999998</v>
      </c>
      <c r="M727" s="7">
        <f t="shared" si="33"/>
        <v>23.31</v>
      </c>
      <c r="N727" t="str">
        <f t="shared" si="34"/>
        <v>Arasbica</v>
      </c>
      <c r="O727" t="str">
        <f t="shared" si="35"/>
        <v>Lite</v>
      </c>
      <c r="P727" t="str">
        <f>_xlfn.XLOOKUP(Orders!C727,Customers!$A$2:$A$1001,Customers!$I$2:$I$1001)</f>
        <v>No</v>
      </c>
    </row>
    <row r="728" spans="1:16" x14ac:dyDescent="0.3">
      <c r="A728" t="s">
        <v>1416</v>
      </c>
      <c r="B728" s="11">
        <v>44571</v>
      </c>
      <c r="C728" t="s">
        <v>1417</v>
      </c>
      <c r="D728" t="s">
        <v>109</v>
      </c>
      <c r="E728">
        <v>4</v>
      </c>
      <c r="F728" t="str">
        <f>_xlfn.XLOOKUP(C728,Customers!$A$2:$A$1001,Customers!$B$2:$B$1001)</f>
        <v>Derrek Allpress</v>
      </c>
      <c r="G728">
        <f>_xlfn.XLOOKUP(C728,Customers!$A$2:$A$1001,Customers!$C$2:$C$1001)</f>
        <v>0</v>
      </c>
      <c r="H728" t="str">
        <f>_xlfn.XLOOKUP(C728,Customers!$A$2:$A$1001,Customers!$G$2:$G$1001)</f>
        <v>United States</v>
      </c>
      <c r="I728" t="str" cm="1">
        <f t="array" ref="I728:L728">_xlfn.XLOOKUP(D728,products!$A$2:$A$49,products!$B$2:$E$49)</f>
        <v>Lib</v>
      </c>
      <c r="J728" t="str">
        <v>L</v>
      </c>
      <c r="K728" s="8">
        <v>2.5</v>
      </c>
      <c r="L728" s="6">
        <v>36.454999999999998</v>
      </c>
      <c r="M728" s="7">
        <f t="shared" si="33"/>
        <v>145.82</v>
      </c>
      <c r="N728" t="str">
        <f t="shared" si="34"/>
        <v>Liberica</v>
      </c>
      <c r="O728" t="str">
        <f t="shared" si="35"/>
        <v>Lite</v>
      </c>
      <c r="P728" t="str">
        <f>_xlfn.XLOOKUP(Orders!C728,Customers!$A$2:$A$1001,Customers!$I$2:$I$1001)</f>
        <v>No</v>
      </c>
    </row>
    <row r="729" spans="1:16" x14ac:dyDescent="0.3">
      <c r="A729" t="s">
        <v>1418</v>
      </c>
      <c r="B729" s="11">
        <v>44264</v>
      </c>
      <c r="C729" t="s">
        <v>1419</v>
      </c>
      <c r="D729" t="s">
        <v>27</v>
      </c>
      <c r="E729">
        <v>5</v>
      </c>
      <c r="F729" t="str">
        <f>_xlfn.XLOOKUP(C729,Customers!$A$2:$A$1001,Customers!$B$2:$B$1001)</f>
        <v>Rikki Tomkowicz</v>
      </c>
      <c r="G729" t="str">
        <f>_xlfn.XLOOKUP(C729,Customers!$A$2:$A$1001,Customers!$C$2:$C$1001)</f>
        <v>rtomkowiczk7@bravesites.com</v>
      </c>
      <c r="H729" t="str">
        <f>_xlfn.XLOOKUP(C729,Customers!$A$2:$A$1001,Customers!$G$2:$G$1001)</f>
        <v>Ireland</v>
      </c>
      <c r="I729" t="str" cm="1">
        <f t="array" ref="I729:L729">_xlfn.XLOOKUP(D729,products!$A$2:$A$49,products!$B$2:$E$49)</f>
        <v>Rob</v>
      </c>
      <c r="J729" t="str">
        <v>M</v>
      </c>
      <c r="K729" s="8">
        <v>0.5</v>
      </c>
      <c r="L729" s="6">
        <v>5.97</v>
      </c>
      <c r="M729" s="7">
        <f t="shared" si="33"/>
        <v>29.849999999999998</v>
      </c>
      <c r="N729" t="str">
        <f t="shared" si="34"/>
        <v>Robusta</v>
      </c>
      <c r="O729" t="str">
        <f t="shared" si="35"/>
        <v>Medium</v>
      </c>
      <c r="P729" t="str">
        <f>_xlfn.XLOOKUP(Orders!C729,Customers!$A$2:$A$1001,Customers!$I$2:$I$1001)</f>
        <v>Yes</v>
      </c>
    </row>
    <row r="730" spans="1:16" x14ac:dyDescent="0.3">
      <c r="A730" t="s">
        <v>1420</v>
      </c>
      <c r="B730" s="11">
        <v>44155</v>
      </c>
      <c r="C730" t="s">
        <v>1421</v>
      </c>
      <c r="D730" t="s">
        <v>21</v>
      </c>
      <c r="E730">
        <v>3</v>
      </c>
      <c r="F730" t="str">
        <f>_xlfn.XLOOKUP(C730,Customers!$A$2:$A$1001,Customers!$B$2:$B$1001)</f>
        <v>Rochette Huscroft</v>
      </c>
      <c r="G730" t="str">
        <f>_xlfn.XLOOKUP(C730,Customers!$A$2:$A$1001,Customers!$C$2:$C$1001)</f>
        <v>rhuscroftk8@jimdo.com</v>
      </c>
      <c r="H730" t="str">
        <f>_xlfn.XLOOKUP(C730,Customers!$A$2:$A$1001,Customers!$G$2:$G$1001)</f>
        <v>United States</v>
      </c>
      <c r="I730" t="str" cm="1">
        <f t="array" ref="I730:L730">_xlfn.XLOOKUP(D730,products!$A$2:$A$49,products!$B$2:$E$49)</f>
        <v>Exc</v>
      </c>
      <c r="J730" t="str">
        <v>D</v>
      </c>
      <c r="K730" s="8">
        <v>0.5</v>
      </c>
      <c r="L730" s="6">
        <v>7.29</v>
      </c>
      <c r="M730" s="7">
        <f t="shared" si="33"/>
        <v>21.87</v>
      </c>
      <c r="N730" t="str">
        <f t="shared" si="34"/>
        <v>Excelsa</v>
      </c>
      <c r="O730" t="str">
        <f t="shared" si="35"/>
        <v>Dark</v>
      </c>
      <c r="P730" t="str">
        <f>_xlfn.XLOOKUP(Orders!C730,Customers!$A$2:$A$1001,Customers!$I$2:$I$1001)</f>
        <v>Yes</v>
      </c>
    </row>
    <row r="731" spans="1:16" x14ac:dyDescent="0.3">
      <c r="A731" t="s">
        <v>1422</v>
      </c>
      <c r="B731" s="11">
        <v>44634</v>
      </c>
      <c r="C731" t="s">
        <v>1423</v>
      </c>
      <c r="D731" t="s">
        <v>82</v>
      </c>
      <c r="E731">
        <v>1</v>
      </c>
      <c r="F731" t="str">
        <f>_xlfn.XLOOKUP(C731,Customers!$A$2:$A$1001,Customers!$B$2:$B$1001)</f>
        <v>Selle Scurrer</v>
      </c>
      <c r="G731" t="str">
        <f>_xlfn.XLOOKUP(C731,Customers!$A$2:$A$1001,Customers!$C$2:$C$1001)</f>
        <v>sscurrerk9@flavors.me</v>
      </c>
      <c r="H731" t="str">
        <f>_xlfn.XLOOKUP(C731,Customers!$A$2:$A$1001,Customers!$G$2:$G$1001)</f>
        <v>United Kingdom</v>
      </c>
      <c r="I731" t="str" cm="1">
        <f t="array" ref="I731:L731">_xlfn.XLOOKUP(D731,products!$A$2:$A$49,products!$B$2:$E$49)</f>
        <v>Lib</v>
      </c>
      <c r="J731" t="str">
        <v>M</v>
      </c>
      <c r="K731" s="8">
        <v>0.2</v>
      </c>
      <c r="L731" s="6">
        <v>4.3650000000000002</v>
      </c>
      <c r="M731" s="7">
        <f t="shared" si="33"/>
        <v>4.3650000000000002</v>
      </c>
      <c r="N731" t="str">
        <f t="shared" si="34"/>
        <v>Liberica</v>
      </c>
      <c r="O731" t="str">
        <f t="shared" si="35"/>
        <v>Medium</v>
      </c>
      <c r="P731" t="str">
        <f>_xlfn.XLOOKUP(Orders!C731,Customers!$A$2:$A$1001,Customers!$I$2:$I$1001)</f>
        <v>No</v>
      </c>
    </row>
    <row r="732" spans="1:16" x14ac:dyDescent="0.3">
      <c r="A732" t="s">
        <v>1424</v>
      </c>
      <c r="B732" s="11">
        <v>43475</v>
      </c>
      <c r="C732" t="s">
        <v>1425</v>
      </c>
      <c r="D732" t="s">
        <v>109</v>
      </c>
      <c r="E732">
        <v>1</v>
      </c>
      <c r="F732" t="str">
        <f>_xlfn.XLOOKUP(C732,Customers!$A$2:$A$1001,Customers!$B$2:$B$1001)</f>
        <v>Andie Rudram</v>
      </c>
      <c r="G732" t="str">
        <f>_xlfn.XLOOKUP(C732,Customers!$A$2:$A$1001,Customers!$C$2:$C$1001)</f>
        <v>arudramka@prnewswire.com</v>
      </c>
      <c r="H732" t="str">
        <f>_xlfn.XLOOKUP(C732,Customers!$A$2:$A$1001,Customers!$G$2:$G$1001)</f>
        <v>United States</v>
      </c>
      <c r="I732" t="str" cm="1">
        <f t="array" ref="I732:L732">_xlfn.XLOOKUP(D732,products!$A$2:$A$49,products!$B$2:$E$49)</f>
        <v>Lib</v>
      </c>
      <c r="J732" t="str">
        <v>L</v>
      </c>
      <c r="K732" s="8">
        <v>2.5</v>
      </c>
      <c r="L732" s="6">
        <v>36.454999999999998</v>
      </c>
      <c r="M732" s="7">
        <f t="shared" si="33"/>
        <v>36.454999999999998</v>
      </c>
      <c r="N732" t="str">
        <f t="shared" si="34"/>
        <v>Liberica</v>
      </c>
      <c r="O732" t="str">
        <f t="shared" si="35"/>
        <v>Lite</v>
      </c>
      <c r="P732" t="str">
        <f>_xlfn.XLOOKUP(Orders!C732,Customers!$A$2:$A$1001,Customers!$I$2:$I$1001)</f>
        <v>No</v>
      </c>
    </row>
    <row r="733" spans="1:16" x14ac:dyDescent="0.3">
      <c r="A733" t="s">
        <v>1426</v>
      </c>
      <c r="B733" s="11">
        <v>44222</v>
      </c>
      <c r="C733" t="s">
        <v>1427</v>
      </c>
      <c r="D733" t="s">
        <v>43</v>
      </c>
      <c r="E733">
        <v>4</v>
      </c>
      <c r="F733" t="str">
        <f>_xlfn.XLOOKUP(C733,Customers!$A$2:$A$1001,Customers!$B$2:$B$1001)</f>
        <v>Leta Clarricoates</v>
      </c>
      <c r="G733">
        <f>_xlfn.XLOOKUP(C733,Customers!$A$2:$A$1001,Customers!$C$2:$C$1001)</f>
        <v>0</v>
      </c>
      <c r="H733" t="str">
        <f>_xlfn.XLOOKUP(C733,Customers!$A$2:$A$1001,Customers!$G$2:$G$1001)</f>
        <v>United States</v>
      </c>
      <c r="I733" t="str" cm="1">
        <f t="array" ref="I733:L733">_xlfn.XLOOKUP(D733,products!$A$2:$A$49,products!$B$2:$E$49)</f>
        <v>Lib</v>
      </c>
      <c r="J733" t="str">
        <v>D</v>
      </c>
      <c r="K733" s="8">
        <v>0.2</v>
      </c>
      <c r="L733" s="6">
        <v>3.8849999999999998</v>
      </c>
      <c r="M733" s="7">
        <f t="shared" si="33"/>
        <v>15.54</v>
      </c>
      <c r="N733" t="str">
        <f t="shared" si="34"/>
        <v>Liberica</v>
      </c>
      <c r="O733" t="str">
        <f t="shared" si="35"/>
        <v>Dark</v>
      </c>
      <c r="P733" t="str">
        <f>_xlfn.XLOOKUP(Orders!C733,Customers!$A$2:$A$1001,Customers!$I$2:$I$1001)</f>
        <v>Yes</v>
      </c>
    </row>
    <row r="734" spans="1:16" x14ac:dyDescent="0.3">
      <c r="A734" t="s">
        <v>1428</v>
      </c>
      <c r="B734" s="11">
        <v>44312</v>
      </c>
      <c r="C734" t="s">
        <v>1429</v>
      </c>
      <c r="D734" t="s">
        <v>259</v>
      </c>
      <c r="E734">
        <v>2</v>
      </c>
      <c r="F734" t="str">
        <f>_xlfn.XLOOKUP(C734,Customers!$A$2:$A$1001,Customers!$B$2:$B$1001)</f>
        <v>Jacquelyn Maha</v>
      </c>
      <c r="G734" t="str">
        <f>_xlfn.XLOOKUP(C734,Customers!$A$2:$A$1001,Customers!$C$2:$C$1001)</f>
        <v>jmahakc@cyberchimps.com</v>
      </c>
      <c r="H734" t="str">
        <f>_xlfn.XLOOKUP(C734,Customers!$A$2:$A$1001,Customers!$G$2:$G$1001)</f>
        <v>United States</v>
      </c>
      <c r="I734" t="str" cm="1">
        <f t="array" ref="I734:L734">_xlfn.XLOOKUP(D734,products!$A$2:$A$49,products!$B$2:$E$49)</f>
        <v>Exc</v>
      </c>
      <c r="J734" t="str">
        <v>L</v>
      </c>
      <c r="K734" s="8">
        <v>0.2</v>
      </c>
      <c r="L734" s="6">
        <v>4.4550000000000001</v>
      </c>
      <c r="M734" s="7">
        <f t="shared" si="33"/>
        <v>8.91</v>
      </c>
      <c r="N734" t="str">
        <f t="shared" si="34"/>
        <v>Excelsa</v>
      </c>
      <c r="O734" t="str">
        <f t="shared" si="35"/>
        <v>Lite</v>
      </c>
      <c r="P734" t="str">
        <f>_xlfn.XLOOKUP(Orders!C734,Customers!$A$2:$A$1001,Customers!$I$2:$I$1001)</f>
        <v>No</v>
      </c>
    </row>
    <row r="735" spans="1:16" x14ac:dyDescent="0.3">
      <c r="A735" t="s">
        <v>1430</v>
      </c>
      <c r="B735" s="11">
        <v>44565</v>
      </c>
      <c r="C735" t="s">
        <v>1431</v>
      </c>
      <c r="D735" t="s">
        <v>202</v>
      </c>
      <c r="E735">
        <v>3</v>
      </c>
      <c r="F735" t="str">
        <f>_xlfn.XLOOKUP(C735,Customers!$A$2:$A$1001,Customers!$B$2:$B$1001)</f>
        <v>Glory Clemon</v>
      </c>
      <c r="G735" t="str">
        <f>_xlfn.XLOOKUP(C735,Customers!$A$2:$A$1001,Customers!$C$2:$C$1001)</f>
        <v>gclemonkd@networksolutions.com</v>
      </c>
      <c r="H735" t="str">
        <f>_xlfn.XLOOKUP(C735,Customers!$A$2:$A$1001,Customers!$G$2:$G$1001)</f>
        <v>United States</v>
      </c>
      <c r="I735" t="str" cm="1">
        <f t="array" ref="I735:L735">_xlfn.XLOOKUP(D735,products!$A$2:$A$49,products!$B$2:$E$49)</f>
        <v>Lib</v>
      </c>
      <c r="J735" t="str">
        <v>M</v>
      </c>
      <c r="K735" s="8">
        <v>2.5</v>
      </c>
      <c r="L735" s="6">
        <v>33.464999999999996</v>
      </c>
      <c r="M735" s="7">
        <f t="shared" si="33"/>
        <v>100.39499999999998</v>
      </c>
      <c r="N735" t="str">
        <f t="shared" si="34"/>
        <v>Liberica</v>
      </c>
      <c r="O735" t="str">
        <f t="shared" si="35"/>
        <v>Medium</v>
      </c>
      <c r="P735" t="str">
        <f>_xlfn.XLOOKUP(Orders!C735,Customers!$A$2:$A$1001,Customers!$I$2:$I$1001)</f>
        <v>Yes</v>
      </c>
    </row>
    <row r="736" spans="1:16" x14ac:dyDescent="0.3">
      <c r="A736" t="s">
        <v>1432</v>
      </c>
      <c r="B736" s="11">
        <v>43697</v>
      </c>
      <c r="C736" t="s">
        <v>1433</v>
      </c>
      <c r="D736" t="s">
        <v>106</v>
      </c>
      <c r="E736">
        <v>5</v>
      </c>
      <c r="F736" t="str">
        <f>_xlfn.XLOOKUP(C736,Customers!$A$2:$A$1001,Customers!$B$2:$B$1001)</f>
        <v>Alica Kift</v>
      </c>
      <c r="G736">
        <f>_xlfn.XLOOKUP(C736,Customers!$A$2:$A$1001,Customers!$C$2:$C$1001)</f>
        <v>0</v>
      </c>
      <c r="H736" t="str">
        <f>_xlfn.XLOOKUP(C736,Customers!$A$2:$A$1001,Customers!$G$2:$G$1001)</f>
        <v>United States</v>
      </c>
      <c r="I736" t="str" cm="1">
        <f t="array" ref="I736:L736">_xlfn.XLOOKUP(D736,products!$A$2:$A$49,products!$B$2:$E$49)</f>
        <v>Rob</v>
      </c>
      <c r="J736" t="str">
        <v>D</v>
      </c>
      <c r="K736" s="8">
        <v>0.2</v>
      </c>
      <c r="L736" s="6">
        <v>2.6849999999999996</v>
      </c>
      <c r="M736" s="7">
        <f t="shared" si="33"/>
        <v>13.424999999999997</v>
      </c>
      <c r="N736" t="str">
        <f t="shared" si="34"/>
        <v>Robusta</v>
      </c>
      <c r="O736" t="str">
        <f t="shared" si="35"/>
        <v>Dark</v>
      </c>
      <c r="P736" t="str">
        <f>_xlfn.XLOOKUP(Orders!C736,Customers!$A$2:$A$1001,Customers!$I$2:$I$1001)</f>
        <v>No</v>
      </c>
    </row>
    <row r="737" spans="1:16" x14ac:dyDescent="0.3">
      <c r="A737" t="s">
        <v>1434</v>
      </c>
      <c r="B737" s="11">
        <v>44757</v>
      </c>
      <c r="C737" t="s">
        <v>1435</v>
      </c>
      <c r="D737" t="s">
        <v>56</v>
      </c>
      <c r="E737">
        <v>6</v>
      </c>
      <c r="F737" t="str">
        <f>_xlfn.XLOOKUP(C737,Customers!$A$2:$A$1001,Customers!$B$2:$B$1001)</f>
        <v>Babb Pollins</v>
      </c>
      <c r="G737" t="str">
        <f>_xlfn.XLOOKUP(C737,Customers!$A$2:$A$1001,Customers!$C$2:$C$1001)</f>
        <v>bpollinskf@shinystat.com</v>
      </c>
      <c r="H737" t="str">
        <f>_xlfn.XLOOKUP(C737,Customers!$A$2:$A$1001,Customers!$G$2:$G$1001)</f>
        <v>United States</v>
      </c>
      <c r="I737" t="str" cm="1">
        <f t="array" ref="I737:L737">_xlfn.XLOOKUP(D737,products!$A$2:$A$49,products!$B$2:$E$49)</f>
        <v>Exc</v>
      </c>
      <c r="J737" t="str">
        <v>D</v>
      </c>
      <c r="K737" s="8">
        <v>0.2</v>
      </c>
      <c r="L737" s="6">
        <v>3.645</v>
      </c>
      <c r="M737" s="7">
        <f t="shared" si="33"/>
        <v>21.87</v>
      </c>
      <c r="N737" t="str">
        <f t="shared" si="34"/>
        <v>Excelsa</v>
      </c>
      <c r="O737" t="str">
        <f t="shared" si="35"/>
        <v>Dark</v>
      </c>
      <c r="P737" t="str">
        <f>_xlfn.XLOOKUP(Orders!C737,Customers!$A$2:$A$1001,Customers!$I$2:$I$1001)</f>
        <v>No</v>
      </c>
    </row>
    <row r="738" spans="1:16" x14ac:dyDescent="0.3">
      <c r="A738" t="s">
        <v>1436</v>
      </c>
      <c r="B738" s="11">
        <v>43508</v>
      </c>
      <c r="C738" t="s">
        <v>1437</v>
      </c>
      <c r="D738" t="s">
        <v>18</v>
      </c>
      <c r="E738">
        <v>2</v>
      </c>
      <c r="F738" t="str">
        <f>_xlfn.XLOOKUP(C738,Customers!$A$2:$A$1001,Customers!$B$2:$B$1001)</f>
        <v>Jarret Toye</v>
      </c>
      <c r="G738" t="str">
        <f>_xlfn.XLOOKUP(C738,Customers!$A$2:$A$1001,Customers!$C$2:$C$1001)</f>
        <v>jtoyekg@pinterest.com</v>
      </c>
      <c r="H738" t="str">
        <f>_xlfn.XLOOKUP(C738,Customers!$A$2:$A$1001,Customers!$G$2:$G$1001)</f>
        <v>Ireland</v>
      </c>
      <c r="I738" t="str" cm="1">
        <f t="array" ref="I738:L738">_xlfn.XLOOKUP(D738,products!$A$2:$A$49,products!$B$2:$E$49)</f>
        <v>Lib</v>
      </c>
      <c r="J738" t="str">
        <v>D</v>
      </c>
      <c r="K738" s="8">
        <v>1</v>
      </c>
      <c r="L738" s="6">
        <v>12.95</v>
      </c>
      <c r="M738" s="7">
        <f t="shared" si="33"/>
        <v>25.9</v>
      </c>
      <c r="N738" t="str">
        <f t="shared" si="34"/>
        <v>Liberica</v>
      </c>
      <c r="O738" t="str">
        <f t="shared" si="35"/>
        <v>Dark</v>
      </c>
      <c r="P738" t="str">
        <f>_xlfn.XLOOKUP(Orders!C738,Customers!$A$2:$A$1001,Customers!$I$2:$I$1001)</f>
        <v>Yes</v>
      </c>
    </row>
    <row r="739" spans="1:16" x14ac:dyDescent="0.3">
      <c r="A739" t="s">
        <v>1438</v>
      </c>
      <c r="B739" s="11">
        <v>44447</v>
      </c>
      <c r="C739" t="s">
        <v>1439</v>
      </c>
      <c r="D739" t="s">
        <v>66</v>
      </c>
      <c r="E739">
        <v>5</v>
      </c>
      <c r="F739" t="str">
        <f>_xlfn.XLOOKUP(C739,Customers!$A$2:$A$1001,Customers!$B$2:$B$1001)</f>
        <v>Carlie Linskill</v>
      </c>
      <c r="G739" t="str">
        <f>_xlfn.XLOOKUP(C739,Customers!$A$2:$A$1001,Customers!$C$2:$C$1001)</f>
        <v>clinskillkh@sphinn.com</v>
      </c>
      <c r="H739" t="str">
        <f>_xlfn.XLOOKUP(C739,Customers!$A$2:$A$1001,Customers!$G$2:$G$1001)</f>
        <v>United States</v>
      </c>
      <c r="I739" t="str" cm="1">
        <f t="array" ref="I739:L739">_xlfn.XLOOKUP(D739,products!$A$2:$A$49,products!$B$2:$E$49)</f>
        <v>Ara</v>
      </c>
      <c r="J739" t="str">
        <v>M</v>
      </c>
      <c r="K739" s="8">
        <v>1</v>
      </c>
      <c r="L739" s="6">
        <v>11.25</v>
      </c>
      <c r="M739" s="7">
        <f t="shared" si="33"/>
        <v>56.25</v>
      </c>
      <c r="N739" t="str">
        <f t="shared" si="34"/>
        <v>Arasbica</v>
      </c>
      <c r="O739" t="str">
        <f t="shared" si="35"/>
        <v>Medium</v>
      </c>
      <c r="P739" t="str">
        <f>_xlfn.XLOOKUP(Orders!C739,Customers!$A$2:$A$1001,Customers!$I$2:$I$1001)</f>
        <v>No</v>
      </c>
    </row>
    <row r="740" spans="1:16" x14ac:dyDescent="0.3">
      <c r="A740" t="s">
        <v>1440</v>
      </c>
      <c r="B740" s="11">
        <v>43812</v>
      </c>
      <c r="C740" t="s">
        <v>1441</v>
      </c>
      <c r="D740" t="s">
        <v>187</v>
      </c>
      <c r="E740">
        <v>3</v>
      </c>
      <c r="F740" t="str">
        <f>_xlfn.XLOOKUP(C740,Customers!$A$2:$A$1001,Customers!$B$2:$B$1001)</f>
        <v>Natal Vigrass</v>
      </c>
      <c r="G740" t="str">
        <f>_xlfn.XLOOKUP(C740,Customers!$A$2:$A$1001,Customers!$C$2:$C$1001)</f>
        <v>nvigrasski@ezinearticles.com</v>
      </c>
      <c r="H740" t="str">
        <f>_xlfn.XLOOKUP(C740,Customers!$A$2:$A$1001,Customers!$G$2:$G$1001)</f>
        <v>United Kingdom</v>
      </c>
      <c r="I740" t="str" cm="1">
        <f t="array" ref="I740:L740">_xlfn.XLOOKUP(D740,products!$A$2:$A$49,products!$B$2:$E$49)</f>
        <v>Rob</v>
      </c>
      <c r="J740" t="str">
        <v>L</v>
      </c>
      <c r="K740" s="8">
        <v>0.2</v>
      </c>
      <c r="L740" s="6">
        <v>3.5849999999999995</v>
      </c>
      <c r="M740" s="7">
        <f t="shared" si="33"/>
        <v>10.754999999999999</v>
      </c>
      <c r="N740" t="str">
        <f t="shared" si="34"/>
        <v>Robusta</v>
      </c>
      <c r="O740" t="str">
        <f t="shared" si="35"/>
        <v>Lite</v>
      </c>
      <c r="P740" t="str">
        <f>_xlfn.XLOOKUP(Orders!C740,Customers!$A$2:$A$1001,Customers!$I$2:$I$1001)</f>
        <v>No</v>
      </c>
    </row>
    <row r="741" spans="1:16" x14ac:dyDescent="0.3">
      <c r="A741" t="s">
        <v>1442</v>
      </c>
      <c r="B741" s="11">
        <v>44433</v>
      </c>
      <c r="C741" t="s">
        <v>1349</v>
      </c>
      <c r="D741" t="s">
        <v>56</v>
      </c>
      <c r="E741">
        <v>5</v>
      </c>
      <c r="F741" t="str">
        <f>_xlfn.XLOOKUP(C741,Customers!$A$2:$A$1001,Customers!$B$2:$B$1001)</f>
        <v>Jimmy Dymoke</v>
      </c>
      <c r="G741" t="str">
        <f>_xlfn.XLOOKUP(C741,Customers!$A$2:$A$1001,Customers!$C$2:$C$1001)</f>
        <v>jdymokeje@prnewswire.com</v>
      </c>
      <c r="H741" t="str">
        <f>_xlfn.XLOOKUP(C741,Customers!$A$2:$A$1001,Customers!$G$2:$G$1001)</f>
        <v>Ireland</v>
      </c>
      <c r="I741" t="str" cm="1">
        <f t="array" ref="I741:L741">_xlfn.XLOOKUP(D741,products!$A$2:$A$49,products!$B$2:$E$49)</f>
        <v>Exc</v>
      </c>
      <c r="J741" t="str">
        <v>D</v>
      </c>
      <c r="K741" s="8">
        <v>0.2</v>
      </c>
      <c r="L741" s="6">
        <v>3.645</v>
      </c>
      <c r="M741" s="7">
        <f t="shared" si="33"/>
        <v>18.225000000000001</v>
      </c>
      <c r="N741" t="str">
        <f t="shared" si="34"/>
        <v>Excelsa</v>
      </c>
      <c r="O741" t="str">
        <f t="shared" si="35"/>
        <v>Dark</v>
      </c>
      <c r="P741" t="str">
        <f>_xlfn.XLOOKUP(Orders!C741,Customers!$A$2:$A$1001,Customers!$I$2:$I$1001)</f>
        <v>No</v>
      </c>
    </row>
    <row r="742" spans="1:16" x14ac:dyDescent="0.3">
      <c r="A742" t="s">
        <v>1443</v>
      </c>
      <c r="B742" s="11">
        <v>44643</v>
      </c>
      <c r="C742" t="s">
        <v>1444</v>
      </c>
      <c r="D742" t="s">
        <v>162</v>
      </c>
      <c r="E742">
        <v>4</v>
      </c>
      <c r="F742" t="str">
        <f>_xlfn.XLOOKUP(C742,Customers!$A$2:$A$1001,Customers!$B$2:$B$1001)</f>
        <v>Kandace Cragell</v>
      </c>
      <c r="G742" t="str">
        <f>_xlfn.XLOOKUP(C742,Customers!$A$2:$A$1001,Customers!$C$2:$C$1001)</f>
        <v>kcragellkk@google.com</v>
      </c>
      <c r="H742" t="str">
        <f>_xlfn.XLOOKUP(C742,Customers!$A$2:$A$1001,Customers!$G$2:$G$1001)</f>
        <v>Ireland</v>
      </c>
      <c r="I742" t="str" cm="1">
        <f t="array" ref="I742:L742">_xlfn.XLOOKUP(D742,products!$A$2:$A$49,products!$B$2:$E$49)</f>
        <v>Rob</v>
      </c>
      <c r="J742" t="str">
        <v>L</v>
      </c>
      <c r="K742" s="8">
        <v>0.5</v>
      </c>
      <c r="L742" s="6">
        <v>7.169999999999999</v>
      </c>
      <c r="M742" s="7">
        <f t="shared" si="33"/>
        <v>28.679999999999996</v>
      </c>
      <c r="N742" t="str">
        <f t="shared" si="34"/>
        <v>Robusta</v>
      </c>
      <c r="O742" t="str">
        <f t="shared" si="35"/>
        <v>Lite</v>
      </c>
      <c r="P742" t="str">
        <f>_xlfn.XLOOKUP(Orders!C742,Customers!$A$2:$A$1001,Customers!$I$2:$I$1001)</f>
        <v>No</v>
      </c>
    </row>
    <row r="743" spans="1:16" x14ac:dyDescent="0.3">
      <c r="A743" t="s">
        <v>1445</v>
      </c>
      <c r="B743" s="11">
        <v>43566</v>
      </c>
      <c r="C743" t="s">
        <v>1446</v>
      </c>
      <c r="D743" t="s">
        <v>82</v>
      </c>
      <c r="E743">
        <v>2</v>
      </c>
      <c r="F743" t="str">
        <f>_xlfn.XLOOKUP(C743,Customers!$A$2:$A$1001,Customers!$B$2:$B$1001)</f>
        <v>Lyon Ibert</v>
      </c>
      <c r="G743" t="str">
        <f>_xlfn.XLOOKUP(C743,Customers!$A$2:$A$1001,Customers!$C$2:$C$1001)</f>
        <v>libertkl@huffingtonpost.com</v>
      </c>
      <c r="H743" t="str">
        <f>_xlfn.XLOOKUP(C743,Customers!$A$2:$A$1001,Customers!$G$2:$G$1001)</f>
        <v>United States</v>
      </c>
      <c r="I743" t="str" cm="1">
        <f t="array" ref="I743:L743">_xlfn.XLOOKUP(D743,products!$A$2:$A$49,products!$B$2:$E$49)</f>
        <v>Lib</v>
      </c>
      <c r="J743" t="str">
        <v>M</v>
      </c>
      <c r="K743" s="8">
        <v>0.2</v>
      </c>
      <c r="L743" s="6">
        <v>4.3650000000000002</v>
      </c>
      <c r="M743" s="7">
        <f t="shared" si="33"/>
        <v>8.73</v>
      </c>
      <c r="N743" t="str">
        <f t="shared" si="34"/>
        <v>Liberica</v>
      </c>
      <c r="O743" t="str">
        <f t="shared" si="35"/>
        <v>Medium</v>
      </c>
      <c r="P743" t="str">
        <f>_xlfn.XLOOKUP(Orders!C743,Customers!$A$2:$A$1001,Customers!$I$2:$I$1001)</f>
        <v>No</v>
      </c>
    </row>
    <row r="744" spans="1:16" x14ac:dyDescent="0.3">
      <c r="A744" t="s">
        <v>1447</v>
      </c>
      <c r="B744" s="11">
        <v>44133</v>
      </c>
      <c r="C744" t="s">
        <v>1448</v>
      </c>
      <c r="D744" t="s">
        <v>101</v>
      </c>
      <c r="E744">
        <v>4</v>
      </c>
      <c r="F744" t="str">
        <f>_xlfn.XLOOKUP(C744,Customers!$A$2:$A$1001,Customers!$B$2:$B$1001)</f>
        <v>Reese Lidgey</v>
      </c>
      <c r="G744" t="str">
        <f>_xlfn.XLOOKUP(C744,Customers!$A$2:$A$1001,Customers!$C$2:$C$1001)</f>
        <v>rlidgeykm@vimeo.com</v>
      </c>
      <c r="H744" t="str">
        <f>_xlfn.XLOOKUP(C744,Customers!$A$2:$A$1001,Customers!$G$2:$G$1001)</f>
        <v>United States</v>
      </c>
      <c r="I744" t="str" cm="1">
        <f t="array" ref="I744:L744">_xlfn.XLOOKUP(D744,products!$A$2:$A$49,products!$B$2:$E$49)</f>
        <v>Lib</v>
      </c>
      <c r="J744" t="str">
        <v>M</v>
      </c>
      <c r="K744" s="8">
        <v>1</v>
      </c>
      <c r="L744" s="6">
        <v>14.55</v>
      </c>
      <c r="M744" s="7">
        <f t="shared" si="33"/>
        <v>58.2</v>
      </c>
      <c r="N744" t="str">
        <f t="shared" si="34"/>
        <v>Liberica</v>
      </c>
      <c r="O744" t="str">
        <f t="shared" si="35"/>
        <v>Medium</v>
      </c>
      <c r="P744" t="str">
        <f>_xlfn.XLOOKUP(Orders!C744,Customers!$A$2:$A$1001,Customers!$I$2:$I$1001)</f>
        <v>No</v>
      </c>
    </row>
    <row r="745" spans="1:16" x14ac:dyDescent="0.3">
      <c r="A745" t="s">
        <v>1449</v>
      </c>
      <c r="B745" s="11">
        <v>44042</v>
      </c>
      <c r="C745" t="s">
        <v>1450</v>
      </c>
      <c r="D745" t="s">
        <v>77</v>
      </c>
      <c r="E745">
        <v>3</v>
      </c>
      <c r="F745" t="str">
        <f>_xlfn.XLOOKUP(C745,Customers!$A$2:$A$1001,Customers!$B$2:$B$1001)</f>
        <v>Tersina Castagne</v>
      </c>
      <c r="G745" t="str">
        <f>_xlfn.XLOOKUP(C745,Customers!$A$2:$A$1001,Customers!$C$2:$C$1001)</f>
        <v>tcastagnekn@wikia.com</v>
      </c>
      <c r="H745" t="str">
        <f>_xlfn.XLOOKUP(C745,Customers!$A$2:$A$1001,Customers!$G$2:$G$1001)</f>
        <v>United States</v>
      </c>
      <c r="I745" t="str" cm="1">
        <f t="array" ref="I745:L745">_xlfn.XLOOKUP(D745,products!$A$2:$A$49,products!$B$2:$E$49)</f>
        <v>Ara</v>
      </c>
      <c r="J745" t="str">
        <v>D</v>
      </c>
      <c r="K745" s="8">
        <v>0.5</v>
      </c>
      <c r="L745" s="6">
        <v>5.97</v>
      </c>
      <c r="M745" s="7">
        <f t="shared" si="33"/>
        <v>17.91</v>
      </c>
      <c r="N745" t="str">
        <f t="shared" si="34"/>
        <v>Arasbica</v>
      </c>
      <c r="O745" t="str">
        <f t="shared" si="35"/>
        <v>Dark</v>
      </c>
      <c r="P745" t="str">
        <f>_xlfn.XLOOKUP(Orders!C745,Customers!$A$2:$A$1001,Customers!$I$2:$I$1001)</f>
        <v>No</v>
      </c>
    </row>
    <row r="746" spans="1:16" x14ac:dyDescent="0.3">
      <c r="A746" t="s">
        <v>1451</v>
      </c>
      <c r="B746" s="11">
        <v>43539</v>
      </c>
      <c r="C746" t="s">
        <v>1452</v>
      </c>
      <c r="D746" t="s">
        <v>167</v>
      </c>
      <c r="E746">
        <v>6</v>
      </c>
      <c r="F746" t="str">
        <f>_xlfn.XLOOKUP(C746,Customers!$A$2:$A$1001,Customers!$B$2:$B$1001)</f>
        <v>Samuele Klaaassen</v>
      </c>
      <c r="G746">
        <f>_xlfn.XLOOKUP(C746,Customers!$A$2:$A$1001,Customers!$C$2:$C$1001)</f>
        <v>0</v>
      </c>
      <c r="H746" t="str">
        <f>_xlfn.XLOOKUP(C746,Customers!$A$2:$A$1001,Customers!$G$2:$G$1001)</f>
        <v>United States</v>
      </c>
      <c r="I746" t="str" cm="1">
        <f t="array" ref="I746:L746">_xlfn.XLOOKUP(D746,products!$A$2:$A$49,products!$B$2:$E$49)</f>
        <v>Rob</v>
      </c>
      <c r="J746" t="str">
        <v>M</v>
      </c>
      <c r="K746" s="8">
        <v>0.2</v>
      </c>
      <c r="L746" s="6">
        <v>2.9849999999999999</v>
      </c>
      <c r="M746" s="7">
        <f t="shared" si="33"/>
        <v>17.91</v>
      </c>
      <c r="N746" t="str">
        <f t="shared" si="34"/>
        <v>Robusta</v>
      </c>
      <c r="O746" t="str">
        <f t="shared" si="35"/>
        <v>Medium</v>
      </c>
      <c r="P746" t="str">
        <f>_xlfn.XLOOKUP(Orders!C746,Customers!$A$2:$A$1001,Customers!$I$2:$I$1001)</f>
        <v>Yes</v>
      </c>
    </row>
    <row r="747" spans="1:16" x14ac:dyDescent="0.3">
      <c r="A747" t="s">
        <v>1453</v>
      </c>
      <c r="B747" s="11">
        <v>44557</v>
      </c>
      <c r="C747" t="s">
        <v>1454</v>
      </c>
      <c r="D747" t="s">
        <v>21</v>
      </c>
      <c r="E747">
        <v>2</v>
      </c>
      <c r="F747" t="str">
        <f>_xlfn.XLOOKUP(C747,Customers!$A$2:$A$1001,Customers!$B$2:$B$1001)</f>
        <v>Jordana Halden</v>
      </c>
      <c r="G747" t="str">
        <f>_xlfn.XLOOKUP(C747,Customers!$A$2:$A$1001,Customers!$C$2:$C$1001)</f>
        <v>jhaldenkp@comcast.net</v>
      </c>
      <c r="H747" t="str">
        <f>_xlfn.XLOOKUP(C747,Customers!$A$2:$A$1001,Customers!$G$2:$G$1001)</f>
        <v>Ireland</v>
      </c>
      <c r="I747" t="str" cm="1">
        <f t="array" ref="I747:L747">_xlfn.XLOOKUP(D747,products!$A$2:$A$49,products!$B$2:$E$49)</f>
        <v>Exc</v>
      </c>
      <c r="J747" t="str">
        <v>D</v>
      </c>
      <c r="K747" s="8">
        <v>0.5</v>
      </c>
      <c r="L747" s="6">
        <v>7.29</v>
      </c>
      <c r="M747" s="7">
        <f t="shared" si="33"/>
        <v>14.58</v>
      </c>
      <c r="N747" t="str">
        <f t="shared" si="34"/>
        <v>Excelsa</v>
      </c>
      <c r="O747" t="str">
        <f t="shared" si="35"/>
        <v>Dark</v>
      </c>
      <c r="P747" t="str">
        <f>_xlfn.XLOOKUP(Orders!C747,Customers!$A$2:$A$1001,Customers!$I$2:$I$1001)</f>
        <v>No</v>
      </c>
    </row>
    <row r="748" spans="1:16" x14ac:dyDescent="0.3">
      <c r="A748" t="s">
        <v>1455</v>
      </c>
      <c r="B748" s="11">
        <v>43741</v>
      </c>
      <c r="C748" t="s">
        <v>1456</v>
      </c>
      <c r="D748" t="s">
        <v>66</v>
      </c>
      <c r="E748">
        <v>3</v>
      </c>
      <c r="F748" t="str">
        <f>_xlfn.XLOOKUP(C748,Customers!$A$2:$A$1001,Customers!$B$2:$B$1001)</f>
        <v>Hussein Olliff</v>
      </c>
      <c r="G748" t="str">
        <f>_xlfn.XLOOKUP(C748,Customers!$A$2:$A$1001,Customers!$C$2:$C$1001)</f>
        <v>holliffkq@sciencedirect.com</v>
      </c>
      <c r="H748" t="str">
        <f>_xlfn.XLOOKUP(C748,Customers!$A$2:$A$1001,Customers!$G$2:$G$1001)</f>
        <v>Ireland</v>
      </c>
      <c r="I748" t="str" cm="1">
        <f t="array" ref="I748:L748">_xlfn.XLOOKUP(D748,products!$A$2:$A$49,products!$B$2:$E$49)</f>
        <v>Ara</v>
      </c>
      <c r="J748" t="str">
        <v>M</v>
      </c>
      <c r="K748" s="8">
        <v>1</v>
      </c>
      <c r="L748" s="6">
        <v>11.25</v>
      </c>
      <c r="M748" s="7">
        <f t="shared" si="33"/>
        <v>33.75</v>
      </c>
      <c r="N748" t="str">
        <f t="shared" si="34"/>
        <v>Arasbica</v>
      </c>
      <c r="O748" t="str">
        <f t="shared" si="35"/>
        <v>Medium</v>
      </c>
      <c r="P748" t="str">
        <f>_xlfn.XLOOKUP(Orders!C748,Customers!$A$2:$A$1001,Customers!$I$2:$I$1001)</f>
        <v>No</v>
      </c>
    </row>
    <row r="749" spans="1:16" x14ac:dyDescent="0.3">
      <c r="A749" t="s">
        <v>1457</v>
      </c>
      <c r="B749" s="11">
        <v>43501</v>
      </c>
      <c r="C749" t="s">
        <v>1458</v>
      </c>
      <c r="D749" t="s">
        <v>83</v>
      </c>
      <c r="E749">
        <v>4</v>
      </c>
      <c r="F749" t="str">
        <f>_xlfn.XLOOKUP(C749,Customers!$A$2:$A$1001,Customers!$B$2:$B$1001)</f>
        <v>Teddi Quadri</v>
      </c>
      <c r="G749" t="str">
        <f>_xlfn.XLOOKUP(C749,Customers!$A$2:$A$1001,Customers!$C$2:$C$1001)</f>
        <v>tquadrikr@opensource.org</v>
      </c>
      <c r="H749" t="str">
        <f>_xlfn.XLOOKUP(C749,Customers!$A$2:$A$1001,Customers!$G$2:$G$1001)</f>
        <v>Ireland</v>
      </c>
      <c r="I749" t="str" cm="1">
        <f t="array" ref="I749:L749">_xlfn.XLOOKUP(D749,products!$A$2:$A$49,products!$B$2:$E$49)</f>
        <v>Lib</v>
      </c>
      <c r="J749" t="str">
        <v>M</v>
      </c>
      <c r="K749" s="8">
        <v>0.5</v>
      </c>
      <c r="L749" s="6">
        <v>8.73</v>
      </c>
      <c r="M749" s="7">
        <f t="shared" si="33"/>
        <v>34.92</v>
      </c>
      <c r="N749" t="str">
        <f t="shared" si="34"/>
        <v>Liberica</v>
      </c>
      <c r="O749" t="str">
        <f t="shared" si="35"/>
        <v>Medium</v>
      </c>
      <c r="P749" t="str">
        <f>_xlfn.XLOOKUP(Orders!C749,Customers!$A$2:$A$1001,Customers!$I$2:$I$1001)</f>
        <v>Yes</v>
      </c>
    </row>
    <row r="750" spans="1:16" x14ac:dyDescent="0.3">
      <c r="A750" t="s">
        <v>1459</v>
      </c>
      <c r="B750" s="11">
        <v>44074</v>
      </c>
      <c r="C750" t="s">
        <v>1460</v>
      </c>
      <c r="D750" t="s">
        <v>21</v>
      </c>
      <c r="E750">
        <v>2</v>
      </c>
      <c r="F750" t="str">
        <f>_xlfn.XLOOKUP(C750,Customers!$A$2:$A$1001,Customers!$B$2:$B$1001)</f>
        <v>Felita Eshmade</v>
      </c>
      <c r="G750" t="str">
        <f>_xlfn.XLOOKUP(C750,Customers!$A$2:$A$1001,Customers!$C$2:$C$1001)</f>
        <v>feshmadeks@umn.edu</v>
      </c>
      <c r="H750" t="str">
        <f>_xlfn.XLOOKUP(C750,Customers!$A$2:$A$1001,Customers!$G$2:$G$1001)</f>
        <v>United States</v>
      </c>
      <c r="I750" t="str" cm="1">
        <f t="array" ref="I750:L750">_xlfn.XLOOKUP(D750,products!$A$2:$A$49,products!$B$2:$E$49)</f>
        <v>Exc</v>
      </c>
      <c r="J750" t="str">
        <v>D</v>
      </c>
      <c r="K750" s="8">
        <v>0.5</v>
      </c>
      <c r="L750" s="6">
        <v>7.29</v>
      </c>
      <c r="M750" s="7">
        <f t="shared" si="33"/>
        <v>14.58</v>
      </c>
      <c r="N750" t="str">
        <f t="shared" si="34"/>
        <v>Excelsa</v>
      </c>
      <c r="O750" t="str">
        <f t="shared" si="35"/>
        <v>Dark</v>
      </c>
      <c r="P750" t="str">
        <f>_xlfn.XLOOKUP(Orders!C750,Customers!$A$2:$A$1001,Customers!$I$2:$I$1001)</f>
        <v>No</v>
      </c>
    </row>
    <row r="751" spans="1:16" x14ac:dyDescent="0.3">
      <c r="A751" t="s">
        <v>1461</v>
      </c>
      <c r="B751" s="11">
        <v>44209</v>
      </c>
      <c r="C751" t="s">
        <v>1462</v>
      </c>
      <c r="D751" t="s">
        <v>106</v>
      </c>
      <c r="E751">
        <v>2</v>
      </c>
      <c r="F751" t="str">
        <f>_xlfn.XLOOKUP(C751,Customers!$A$2:$A$1001,Customers!$B$2:$B$1001)</f>
        <v>Melodie OIlier</v>
      </c>
      <c r="G751" t="str">
        <f>_xlfn.XLOOKUP(C751,Customers!$A$2:$A$1001,Customers!$C$2:$C$1001)</f>
        <v>moilierkt@paginegialle.it</v>
      </c>
      <c r="H751" t="str">
        <f>_xlfn.XLOOKUP(C751,Customers!$A$2:$A$1001,Customers!$G$2:$G$1001)</f>
        <v>Ireland</v>
      </c>
      <c r="I751" t="str" cm="1">
        <f t="array" ref="I751:L751">_xlfn.XLOOKUP(D751,products!$A$2:$A$49,products!$B$2:$E$49)</f>
        <v>Rob</v>
      </c>
      <c r="J751" t="str">
        <v>D</v>
      </c>
      <c r="K751" s="8">
        <v>0.2</v>
      </c>
      <c r="L751" s="6">
        <v>2.6849999999999996</v>
      </c>
      <c r="M751" s="7">
        <f t="shared" si="33"/>
        <v>5.3699999999999992</v>
      </c>
      <c r="N751" t="str">
        <f t="shared" si="34"/>
        <v>Robusta</v>
      </c>
      <c r="O751" t="str">
        <f t="shared" si="35"/>
        <v>Dark</v>
      </c>
      <c r="P751" t="str">
        <f>_xlfn.XLOOKUP(Orders!C751,Customers!$A$2:$A$1001,Customers!$I$2:$I$1001)</f>
        <v>Yes</v>
      </c>
    </row>
    <row r="752" spans="1:16" x14ac:dyDescent="0.3">
      <c r="A752" t="s">
        <v>1463</v>
      </c>
      <c r="B752" s="11">
        <v>44277</v>
      </c>
      <c r="C752" t="s">
        <v>1464</v>
      </c>
      <c r="D752" t="s">
        <v>27</v>
      </c>
      <c r="E752">
        <v>1</v>
      </c>
      <c r="F752" t="str">
        <f>_xlfn.XLOOKUP(C752,Customers!$A$2:$A$1001,Customers!$B$2:$B$1001)</f>
        <v>Hazel Iacopini</v>
      </c>
      <c r="G752">
        <f>_xlfn.XLOOKUP(C752,Customers!$A$2:$A$1001,Customers!$C$2:$C$1001)</f>
        <v>0</v>
      </c>
      <c r="H752" t="str">
        <f>_xlfn.XLOOKUP(C752,Customers!$A$2:$A$1001,Customers!$G$2:$G$1001)</f>
        <v>United States</v>
      </c>
      <c r="I752" t="str" cm="1">
        <f t="array" ref="I752:L752">_xlfn.XLOOKUP(D752,products!$A$2:$A$49,products!$B$2:$E$49)</f>
        <v>Rob</v>
      </c>
      <c r="J752" t="str">
        <v>M</v>
      </c>
      <c r="K752" s="8">
        <v>0.5</v>
      </c>
      <c r="L752" s="6">
        <v>5.97</v>
      </c>
      <c r="M752" s="7">
        <f t="shared" si="33"/>
        <v>5.97</v>
      </c>
      <c r="N752" t="str">
        <f t="shared" si="34"/>
        <v>Robusta</v>
      </c>
      <c r="O752" t="str">
        <f t="shared" si="35"/>
        <v>Medium</v>
      </c>
      <c r="P752" t="str">
        <f>_xlfn.XLOOKUP(Orders!C752,Customers!$A$2:$A$1001,Customers!$I$2:$I$1001)</f>
        <v>Yes</v>
      </c>
    </row>
    <row r="753" spans="1:16" x14ac:dyDescent="0.3">
      <c r="A753" t="s">
        <v>1465</v>
      </c>
      <c r="B753" s="11">
        <v>43847</v>
      </c>
      <c r="C753" t="s">
        <v>1466</v>
      </c>
      <c r="D753" t="s">
        <v>88</v>
      </c>
      <c r="E753">
        <v>2</v>
      </c>
      <c r="F753" t="str">
        <f>_xlfn.XLOOKUP(C753,Customers!$A$2:$A$1001,Customers!$B$2:$B$1001)</f>
        <v>Vinny Shoebotham</v>
      </c>
      <c r="G753" t="str">
        <f>_xlfn.XLOOKUP(C753,Customers!$A$2:$A$1001,Customers!$C$2:$C$1001)</f>
        <v>vshoebothamkv@redcross.org</v>
      </c>
      <c r="H753" t="str">
        <f>_xlfn.XLOOKUP(C753,Customers!$A$2:$A$1001,Customers!$G$2:$G$1001)</f>
        <v>United States</v>
      </c>
      <c r="I753" t="str" cm="1">
        <f t="array" ref="I753:L753">_xlfn.XLOOKUP(D753,products!$A$2:$A$49,products!$B$2:$E$49)</f>
        <v>Lib</v>
      </c>
      <c r="J753" t="str">
        <v>L</v>
      </c>
      <c r="K753" s="8">
        <v>0.5</v>
      </c>
      <c r="L753" s="6">
        <v>9.51</v>
      </c>
      <c r="M753" s="7">
        <f t="shared" si="33"/>
        <v>19.02</v>
      </c>
      <c r="N753" t="str">
        <f t="shared" si="34"/>
        <v>Liberica</v>
      </c>
      <c r="O753" t="str">
        <f t="shared" si="35"/>
        <v>Lite</v>
      </c>
      <c r="P753" t="str">
        <f>_xlfn.XLOOKUP(Orders!C753,Customers!$A$2:$A$1001,Customers!$I$2:$I$1001)</f>
        <v>No</v>
      </c>
    </row>
    <row r="754" spans="1:16" x14ac:dyDescent="0.3">
      <c r="A754" t="s">
        <v>1467</v>
      </c>
      <c r="B754" s="11">
        <v>43648</v>
      </c>
      <c r="C754" t="s">
        <v>1468</v>
      </c>
      <c r="D754" t="s">
        <v>14</v>
      </c>
      <c r="E754">
        <v>2</v>
      </c>
      <c r="F754" t="str">
        <f>_xlfn.XLOOKUP(C754,Customers!$A$2:$A$1001,Customers!$B$2:$B$1001)</f>
        <v>Bran Sterke</v>
      </c>
      <c r="G754" t="str">
        <f>_xlfn.XLOOKUP(C754,Customers!$A$2:$A$1001,Customers!$C$2:$C$1001)</f>
        <v>bsterkekw@biblegateway.com</v>
      </c>
      <c r="H754" t="str">
        <f>_xlfn.XLOOKUP(C754,Customers!$A$2:$A$1001,Customers!$G$2:$G$1001)</f>
        <v>United States</v>
      </c>
      <c r="I754" t="str" cm="1">
        <f t="array" ref="I754:L754">_xlfn.XLOOKUP(D754,products!$A$2:$A$49,products!$B$2:$E$49)</f>
        <v>Exc</v>
      </c>
      <c r="J754" t="str">
        <v>M</v>
      </c>
      <c r="K754" s="8">
        <v>1</v>
      </c>
      <c r="L754" s="6">
        <v>13.75</v>
      </c>
      <c r="M754" s="7">
        <f t="shared" si="33"/>
        <v>27.5</v>
      </c>
      <c r="N754" t="str">
        <f t="shared" si="34"/>
        <v>Excelsa</v>
      </c>
      <c r="O754" t="str">
        <f t="shared" si="35"/>
        <v>Medium</v>
      </c>
      <c r="P754" t="str">
        <f>_xlfn.XLOOKUP(Orders!C754,Customers!$A$2:$A$1001,Customers!$I$2:$I$1001)</f>
        <v>Yes</v>
      </c>
    </row>
    <row r="755" spans="1:16" x14ac:dyDescent="0.3">
      <c r="A755" t="s">
        <v>1469</v>
      </c>
      <c r="B755" s="11">
        <v>44704</v>
      </c>
      <c r="C755" t="s">
        <v>1470</v>
      </c>
      <c r="D755" t="s">
        <v>77</v>
      </c>
      <c r="E755">
        <v>5</v>
      </c>
      <c r="F755" t="str">
        <f>_xlfn.XLOOKUP(C755,Customers!$A$2:$A$1001,Customers!$B$2:$B$1001)</f>
        <v>Simone Capon</v>
      </c>
      <c r="G755" t="str">
        <f>_xlfn.XLOOKUP(C755,Customers!$A$2:$A$1001,Customers!$C$2:$C$1001)</f>
        <v>scaponkx@craigslist.org</v>
      </c>
      <c r="H755" t="str">
        <f>_xlfn.XLOOKUP(C755,Customers!$A$2:$A$1001,Customers!$G$2:$G$1001)</f>
        <v>United States</v>
      </c>
      <c r="I755" t="str" cm="1">
        <f t="array" ref="I755:L755">_xlfn.XLOOKUP(D755,products!$A$2:$A$49,products!$B$2:$E$49)</f>
        <v>Ara</v>
      </c>
      <c r="J755" t="str">
        <v>D</v>
      </c>
      <c r="K755" s="8">
        <v>0.5</v>
      </c>
      <c r="L755" s="6">
        <v>5.97</v>
      </c>
      <c r="M755" s="7">
        <f t="shared" si="33"/>
        <v>29.849999999999998</v>
      </c>
      <c r="N755" t="str">
        <f t="shared" si="34"/>
        <v>Arasbica</v>
      </c>
      <c r="O755" t="str">
        <f t="shared" si="35"/>
        <v>Dark</v>
      </c>
      <c r="P755" t="str">
        <f>_xlfn.XLOOKUP(Orders!C755,Customers!$A$2:$A$1001,Customers!$I$2:$I$1001)</f>
        <v>No</v>
      </c>
    </row>
    <row r="756" spans="1:16" x14ac:dyDescent="0.3">
      <c r="A756" t="s">
        <v>1471</v>
      </c>
      <c r="B756" s="11">
        <v>44726</v>
      </c>
      <c r="C756" t="s">
        <v>1349</v>
      </c>
      <c r="D756" t="s">
        <v>59</v>
      </c>
      <c r="E756">
        <v>6</v>
      </c>
      <c r="F756" t="str">
        <f>_xlfn.XLOOKUP(C756,Customers!$A$2:$A$1001,Customers!$B$2:$B$1001)</f>
        <v>Jimmy Dymoke</v>
      </c>
      <c r="G756" t="str">
        <f>_xlfn.XLOOKUP(C756,Customers!$A$2:$A$1001,Customers!$C$2:$C$1001)</f>
        <v>jdymokeje@prnewswire.com</v>
      </c>
      <c r="H756" t="str">
        <f>_xlfn.XLOOKUP(C756,Customers!$A$2:$A$1001,Customers!$G$2:$G$1001)</f>
        <v>Ireland</v>
      </c>
      <c r="I756" t="str" cm="1">
        <f t="array" ref="I756:L756">_xlfn.XLOOKUP(D756,products!$A$2:$A$49,products!$B$2:$E$49)</f>
        <v>Ara</v>
      </c>
      <c r="J756" t="str">
        <v>D</v>
      </c>
      <c r="K756" s="8">
        <v>0.2</v>
      </c>
      <c r="L756" s="6">
        <v>2.9849999999999999</v>
      </c>
      <c r="M756" s="7">
        <f t="shared" si="33"/>
        <v>17.91</v>
      </c>
      <c r="N756" t="str">
        <f t="shared" si="34"/>
        <v>Arasbica</v>
      </c>
      <c r="O756" t="str">
        <f t="shared" si="35"/>
        <v>Dark</v>
      </c>
      <c r="P756" t="str">
        <f>_xlfn.XLOOKUP(Orders!C756,Customers!$A$2:$A$1001,Customers!$I$2:$I$1001)</f>
        <v>No</v>
      </c>
    </row>
    <row r="757" spans="1:16" x14ac:dyDescent="0.3">
      <c r="A757" t="s">
        <v>1472</v>
      </c>
      <c r="B757" s="11">
        <v>44397</v>
      </c>
      <c r="C757" t="s">
        <v>1473</v>
      </c>
      <c r="D757" t="s">
        <v>24</v>
      </c>
      <c r="E757">
        <v>6</v>
      </c>
      <c r="F757" t="str">
        <f>_xlfn.XLOOKUP(C757,Customers!$A$2:$A$1001,Customers!$B$2:$B$1001)</f>
        <v>Foster Constance</v>
      </c>
      <c r="G757" t="str">
        <f>_xlfn.XLOOKUP(C757,Customers!$A$2:$A$1001,Customers!$C$2:$C$1001)</f>
        <v>fconstancekz@ifeng.com</v>
      </c>
      <c r="H757" t="str">
        <f>_xlfn.XLOOKUP(C757,Customers!$A$2:$A$1001,Customers!$G$2:$G$1001)</f>
        <v>United States</v>
      </c>
      <c r="I757" t="str" cm="1">
        <f t="array" ref="I757:L757">_xlfn.XLOOKUP(D757,products!$A$2:$A$49,products!$B$2:$E$49)</f>
        <v>Lib</v>
      </c>
      <c r="J757" t="str">
        <v>L</v>
      </c>
      <c r="K757" s="8">
        <v>0.2</v>
      </c>
      <c r="L757" s="6">
        <v>4.7549999999999999</v>
      </c>
      <c r="M757" s="7">
        <f t="shared" si="33"/>
        <v>28.53</v>
      </c>
      <c r="N757" t="str">
        <f t="shared" si="34"/>
        <v>Liberica</v>
      </c>
      <c r="O757" t="str">
        <f t="shared" si="35"/>
        <v>Lite</v>
      </c>
      <c r="P757" t="str">
        <f>_xlfn.XLOOKUP(Orders!C757,Customers!$A$2:$A$1001,Customers!$I$2:$I$1001)</f>
        <v>No</v>
      </c>
    </row>
    <row r="758" spans="1:16" x14ac:dyDescent="0.3">
      <c r="A758" t="s">
        <v>1474</v>
      </c>
      <c r="B758" s="11">
        <v>44715</v>
      </c>
      <c r="C758" t="s">
        <v>1475</v>
      </c>
      <c r="D758" t="s">
        <v>184</v>
      </c>
      <c r="E758">
        <v>4</v>
      </c>
      <c r="F758" t="str">
        <f>_xlfn.XLOOKUP(C758,Customers!$A$2:$A$1001,Customers!$B$2:$B$1001)</f>
        <v>Fernando Sulman</v>
      </c>
      <c r="G758" t="str">
        <f>_xlfn.XLOOKUP(C758,Customers!$A$2:$A$1001,Customers!$C$2:$C$1001)</f>
        <v>fsulmanl0@washington.edu</v>
      </c>
      <c r="H758" t="str">
        <f>_xlfn.XLOOKUP(C758,Customers!$A$2:$A$1001,Customers!$G$2:$G$1001)</f>
        <v>United States</v>
      </c>
      <c r="I758" t="str" cm="1">
        <f t="array" ref="I758:L758">_xlfn.XLOOKUP(D758,products!$A$2:$A$49,products!$B$2:$E$49)</f>
        <v>Rob</v>
      </c>
      <c r="J758" t="str">
        <v>D</v>
      </c>
      <c r="K758" s="8">
        <v>1</v>
      </c>
      <c r="L758" s="6">
        <v>8.9499999999999993</v>
      </c>
      <c r="M758" s="7">
        <f t="shared" si="33"/>
        <v>35.799999999999997</v>
      </c>
      <c r="N758" t="str">
        <f t="shared" si="34"/>
        <v>Robusta</v>
      </c>
      <c r="O758" t="str">
        <f t="shared" si="35"/>
        <v>Dark</v>
      </c>
      <c r="P758" t="str">
        <f>_xlfn.XLOOKUP(Orders!C758,Customers!$A$2:$A$1001,Customers!$I$2:$I$1001)</f>
        <v>Yes</v>
      </c>
    </row>
    <row r="759" spans="1:16" x14ac:dyDescent="0.3">
      <c r="A759" t="s">
        <v>1476</v>
      </c>
      <c r="B759" s="11">
        <v>43977</v>
      </c>
      <c r="C759" t="s">
        <v>1477</v>
      </c>
      <c r="D759" t="s">
        <v>77</v>
      </c>
      <c r="E759">
        <v>3</v>
      </c>
      <c r="F759" t="str">
        <f>_xlfn.XLOOKUP(C759,Customers!$A$2:$A$1001,Customers!$B$2:$B$1001)</f>
        <v>Dorotea Hollyman</v>
      </c>
      <c r="G759" t="str">
        <f>_xlfn.XLOOKUP(C759,Customers!$A$2:$A$1001,Customers!$C$2:$C$1001)</f>
        <v>dhollymanl1@ibm.com</v>
      </c>
      <c r="H759" t="str">
        <f>_xlfn.XLOOKUP(C759,Customers!$A$2:$A$1001,Customers!$G$2:$G$1001)</f>
        <v>United States</v>
      </c>
      <c r="I759" t="str" cm="1">
        <f t="array" ref="I759:L759">_xlfn.XLOOKUP(D759,products!$A$2:$A$49,products!$B$2:$E$49)</f>
        <v>Ara</v>
      </c>
      <c r="J759" t="str">
        <v>D</v>
      </c>
      <c r="K759" s="8">
        <v>0.5</v>
      </c>
      <c r="L759" s="6">
        <v>5.97</v>
      </c>
      <c r="M759" s="7">
        <f t="shared" si="33"/>
        <v>17.91</v>
      </c>
      <c r="N759" t="str">
        <f t="shared" si="34"/>
        <v>Arasbica</v>
      </c>
      <c r="O759" t="str">
        <f t="shared" si="35"/>
        <v>Dark</v>
      </c>
      <c r="P759" t="str">
        <f>_xlfn.XLOOKUP(Orders!C759,Customers!$A$2:$A$1001,Customers!$I$2:$I$1001)</f>
        <v>Yes</v>
      </c>
    </row>
    <row r="760" spans="1:16" x14ac:dyDescent="0.3">
      <c r="A760" t="s">
        <v>1478</v>
      </c>
      <c r="B760" s="11">
        <v>43672</v>
      </c>
      <c r="C760" t="s">
        <v>1479</v>
      </c>
      <c r="D760" t="s">
        <v>184</v>
      </c>
      <c r="E760">
        <v>1</v>
      </c>
      <c r="F760" t="str">
        <f>_xlfn.XLOOKUP(C760,Customers!$A$2:$A$1001,Customers!$B$2:$B$1001)</f>
        <v>Lorelei Nardoni</v>
      </c>
      <c r="G760" t="str">
        <f>_xlfn.XLOOKUP(C760,Customers!$A$2:$A$1001,Customers!$C$2:$C$1001)</f>
        <v>lnardonil2@hao123.com</v>
      </c>
      <c r="H760" t="str">
        <f>_xlfn.XLOOKUP(C760,Customers!$A$2:$A$1001,Customers!$G$2:$G$1001)</f>
        <v>United States</v>
      </c>
      <c r="I760" t="str" cm="1">
        <f t="array" ref="I760:L760">_xlfn.XLOOKUP(D760,products!$A$2:$A$49,products!$B$2:$E$49)</f>
        <v>Rob</v>
      </c>
      <c r="J760" t="str">
        <v>D</v>
      </c>
      <c r="K760" s="8">
        <v>1</v>
      </c>
      <c r="L760" s="6">
        <v>8.9499999999999993</v>
      </c>
      <c r="M760" s="7">
        <f t="shared" si="33"/>
        <v>8.9499999999999993</v>
      </c>
      <c r="N760" t="str">
        <f t="shared" si="34"/>
        <v>Robusta</v>
      </c>
      <c r="O760" t="str">
        <f t="shared" si="35"/>
        <v>Dark</v>
      </c>
      <c r="P760" t="str">
        <f>_xlfn.XLOOKUP(Orders!C760,Customers!$A$2:$A$1001,Customers!$I$2:$I$1001)</f>
        <v>No</v>
      </c>
    </row>
    <row r="761" spans="1:16" x14ac:dyDescent="0.3">
      <c r="A761" t="s">
        <v>1480</v>
      </c>
      <c r="B761" s="11">
        <v>44126</v>
      </c>
      <c r="C761" t="s">
        <v>1481</v>
      </c>
      <c r="D761" t="s">
        <v>114</v>
      </c>
      <c r="E761">
        <v>1</v>
      </c>
      <c r="F761" t="str">
        <f>_xlfn.XLOOKUP(C761,Customers!$A$2:$A$1001,Customers!$B$2:$B$1001)</f>
        <v>Dallas Yarham</v>
      </c>
      <c r="G761" t="str">
        <f>_xlfn.XLOOKUP(C761,Customers!$A$2:$A$1001,Customers!$C$2:$C$1001)</f>
        <v>dyarhaml3@moonfruit.com</v>
      </c>
      <c r="H761" t="str">
        <f>_xlfn.XLOOKUP(C761,Customers!$A$2:$A$1001,Customers!$G$2:$G$1001)</f>
        <v>United States</v>
      </c>
      <c r="I761" t="str" cm="1">
        <f t="array" ref="I761:L761">_xlfn.XLOOKUP(D761,products!$A$2:$A$49,products!$B$2:$E$49)</f>
        <v>Lib</v>
      </c>
      <c r="J761" t="str">
        <v>D</v>
      </c>
      <c r="K761" s="8">
        <v>2.5</v>
      </c>
      <c r="L761" s="6">
        <v>29.784999999999997</v>
      </c>
      <c r="M761" s="7">
        <f t="shared" si="33"/>
        <v>29.784999999999997</v>
      </c>
      <c r="N761" t="str">
        <f t="shared" si="34"/>
        <v>Liberica</v>
      </c>
      <c r="O761" t="str">
        <f t="shared" si="35"/>
        <v>Dark</v>
      </c>
      <c r="P761" t="str">
        <f>_xlfn.XLOOKUP(Orders!C761,Customers!$A$2:$A$1001,Customers!$I$2:$I$1001)</f>
        <v>Yes</v>
      </c>
    </row>
    <row r="762" spans="1:16" x14ac:dyDescent="0.3">
      <c r="A762" t="s">
        <v>1482</v>
      </c>
      <c r="B762" s="11">
        <v>44189</v>
      </c>
      <c r="C762" t="s">
        <v>1483</v>
      </c>
      <c r="D762" t="s">
        <v>181</v>
      </c>
      <c r="E762">
        <v>5</v>
      </c>
      <c r="F762" t="str">
        <f>_xlfn.XLOOKUP(C762,Customers!$A$2:$A$1001,Customers!$B$2:$B$1001)</f>
        <v>Arlana Ferrea</v>
      </c>
      <c r="G762" t="str">
        <f>_xlfn.XLOOKUP(C762,Customers!$A$2:$A$1001,Customers!$C$2:$C$1001)</f>
        <v>aferreal4@wikia.com</v>
      </c>
      <c r="H762" t="str">
        <f>_xlfn.XLOOKUP(C762,Customers!$A$2:$A$1001,Customers!$G$2:$G$1001)</f>
        <v>United States</v>
      </c>
      <c r="I762" t="str" cm="1">
        <f t="array" ref="I762:L762">_xlfn.XLOOKUP(D762,products!$A$2:$A$49,products!$B$2:$E$49)</f>
        <v>Exc</v>
      </c>
      <c r="J762" t="str">
        <v>L</v>
      </c>
      <c r="K762" s="8">
        <v>0.5</v>
      </c>
      <c r="L762" s="6">
        <v>8.91</v>
      </c>
      <c r="M762" s="7">
        <f t="shared" si="33"/>
        <v>44.55</v>
      </c>
      <c r="N762" t="str">
        <f t="shared" si="34"/>
        <v>Excelsa</v>
      </c>
      <c r="O762" t="str">
        <f t="shared" si="35"/>
        <v>Lite</v>
      </c>
      <c r="P762" t="str">
        <f>_xlfn.XLOOKUP(Orders!C762,Customers!$A$2:$A$1001,Customers!$I$2:$I$1001)</f>
        <v>No</v>
      </c>
    </row>
    <row r="763" spans="1:16" x14ac:dyDescent="0.3">
      <c r="A763" t="s">
        <v>1484</v>
      </c>
      <c r="B763" s="11">
        <v>43714</v>
      </c>
      <c r="C763" t="s">
        <v>1485</v>
      </c>
      <c r="D763" t="s">
        <v>142</v>
      </c>
      <c r="E763">
        <v>6</v>
      </c>
      <c r="F763" t="str">
        <f>_xlfn.XLOOKUP(C763,Customers!$A$2:$A$1001,Customers!$B$2:$B$1001)</f>
        <v>Chuck Kendrick</v>
      </c>
      <c r="G763" t="str">
        <f>_xlfn.XLOOKUP(C763,Customers!$A$2:$A$1001,Customers!$C$2:$C$1001)</f>
        <v>ckendrickl5@webnode.com</v>
      </c>
      <c r="H763" t="str">
        <f>_xlfn.XLOOKUP(C763,Customers!$A$2:$A$1001,Customers!$G$2:$G$1001)</f>
        <v>United States</v>
      </c>
      <c r="I763" t="str" cm="1">
        <f t="array" ref="I763:L763">_xlfn.XLOOKUP(D763,products!$A$2:$A$49,products!$B$2:$E$49)</f>
        <v>Exc</v>
      </c>
      <c r="J763" t="str">
        <v>L</v>
      </c>
      <c r="K763" s="8">
        <v>1</v>
      </c>
      <c r="L763" s="6">
        <v>14.85</v>
      </c>
      <c r="M763" s="7">
        <f t="shared" si="33"/>
        <v>89.1</v>
      </c>
      <c r="N763" t="str">
        <f t="shared" si="34"/>
        <v>Excelsa</v>
      </c>
      <c r="O763" t="str">
        <f t="shared" si="35"/>
        <v>Lite</v>
      </c>
      <c r="P763" t="str">
        <f>_xlfn.XLOOKUP(Orders!C763,Customers!$A$2:$A$1001,Customers!$I$2:$I$1001)</f>
        <v>Yes</v>
      </c>
    </row>
    <row r="764" spans="1:16" x14ac:dyDescent="0.3">
      <c r="A764" t="s">
        <v>1486</v>
      </c>
      <c r="B764" s="11">
        <v>43563</v>
      </c>
      <c r="C764" t="s">
        <v>1487</v>
      </c>
      <c r="D764" t="s">
        <v>83</v>
      </c>
      <c r="E764">
        <v>5</v>
      </c>
      <c r="F764" t="str">
        <f>_xlfn.XLOOKUP(C764,Customers!$A$2:$A$1001,Customers!$B$2:$B$1001)</f>
        <v>Sharona Danilchik</v>
      </c>
      <c r="G764" t="str">
        <f>_xlfn.XLOOKUP(C764,Customers!$A$2:$A$1001,Customers!$C$2:$C$1001)</f>
        <v>sdanilchikl6@mit.edu</v>
      </c>
      <c r="H764" t="str">
        <f>_xlfn.XLOOKUP(C764,Customers!$A$2:$A$1001,Customers!$G$2:$G$1001)</f>
        <v>United Kingdom</v>
      </c>
      <c r="I764" t="str" cm="1">
        <f t="array" ref="I764:L764">_xlfn.XLOOKUP(D764,products!$A$2:$A$49,products!$B$2:$E$49)</f>
        <v>Lib</v>
      </c>
      <c r="J764" t="str">
        <v>M</v>
      </c>
      <c r="K764" s="8">
        <v>0.5</v>
      </c>
      <c r="L764" s="6">
        <v>8.73</v>
      </c>
      <c r="M764" s="7">
        <f t="shared" si="33"/>
        <v>43.650000000000006</v>
      </c>
      <c r="N764" t="str">
        <f t="shared" si="34"/>
        <v>Liberica</v>
      </c>
      <c r="O764" t="str">
        <f t="shared" si="35"/>
        <v>Medium</v>
      </c>
      <c r="P764" t="str">
        <f>_xlfn.XLOOKUP(Orders!C764,Customers!$A$2:$A$1001,Customers!$I$2:$I$1001)</f>
        <v>No</v>
      </c>
    </row>
    <row r="765" spans="1:16" x14ac:dyDescent="0.3">
      <c r="A765" t="s">
        <v>1488</v>
      </c>
      <c r="B765" s="11">
        <v>44587</v>
      </c>
      <c r="C765" t="s">
        <v>1489</v>
      </c>
      <c r="D765" t="s">
        <v>197</v>
      </c>
      <c r="E765">
        <v>3</v>
      </c>
      <c r="F765" t="str">
        <f>_xlfn.XLOOKUP(C765,Customers!$A$2:$A$1001,Customers!$B$2:$B$1001)</f>
        <v>Sarajane Potter</v>
      </c>
      <c r="G765">
        <f>_xlfn.XLOOKUP(C765,Customers!$A$2:$A$1001,Customers!$C$2:$C$1001)</f>
        <v>0</v>
      </c>
      <c r="H765" t="str">
        <f>_xlfn.XLOOKUP(C765,Customers!$A$2:$A$1001,Customers!$G$2:$G$1001)</f>
        <v>United States</v>
      </c>
      <c r="I765" t="str" cm="1">
        <f t="array" ref="I765:L765">_xlfn.XLOOKUP(D765,products!$A$2:$A$49,products!$B$2:$E$49)</f>
        <v>Ara</v>
      </c>
      <c r="J765" t="str">
        <v>L</v>
      </c>
      <c r="K765" s="8">
        <v>0.5</v>
      </c>
      <c r="L765" s="6">
        <v>7.77</v>
      </c>
      <c r="M765" s="7">
        <f t="shared" si="33"/>
        <v>23.31</v>
      </c>
      <c r="N765" t="str">
        <f t="shared" si="34"/>
        <v>Arasbica</v>
      </c>
      <c r="O765" t="str">
        <f t="shared" si="35"/>
        <v>Lite</v>
      </c>
      <c r="P765" t="str">
        <f>_xlfn.XLOOKUP(Orders!C765,Customers!$A$2:$A$1001,Customers!$I$2:$I$1001)</f>
        <v>No</v>
      </c>
    </row>
    <row r="766" spans="1:16" x14ac:dyDescent="0.3">
      <c r="A766" t="s">
        <v>1490</v>
      </c>
      <c r="B766" s="11">
        <v>43797</v>
      </c>
      <c r="C766" t="s">
        <v>1491</v>
      </c>
      <c r="D766" t="s">
        <v>209</v>
      </c>
      <c r="E766">
        <v>6</v>
      </c>
      <c r="F766" t="str">
        <f>_xlfn.XLOOKUP(C766,Customers!$A$2:$A$1001,Customers!$B$2:$B$1001)</f>
        <v>Bobby Folomkin</v>
      </c>
      <c r="G766" t="str">
        <f>_xlfn.XLOOKUP(C766,Customers!$A$2:$A$1001,Customers!$C$2:$C$1001)</f>
        <v>bfolomkinl8@yolasite.com</v>
      </c>
      <c r="H766" t="str">
        <f>_xlfn.XLOOKUP(C766,Customers!$A$2:$A$1001,Customers!$G$2:$G$1001)</f>
        <v>United States</v>
      </c>
      <c r="I766" t="str" cm="1">
        <f t="array" ref="I766:L766">_xlfn.XLOOKUP(D766,products!$A$2:$A$49,products!$B$2:$E$49)</f>
        <v>Ara</v>
      </c>
      <c r="J766" t="str">
        <v>L</v>
      </c>
      <c r="K766" s="8">
        <v>2.5</v>
      </c>
      <c r="L766" s="6">
        <v>29.784999999999997</v>
      </c>
      <c r="M766" s="7">
        <f t="shared" si="33"/>
        <v>178.70999999999998</v>
      </c>
      <c r="N766" t="str">
        <f t="shared" si="34"/>
        <v>Arasbica</v>
      </c>
      <c r="O766" t="str">
        <f t="shared" si="35"/>
        <v>Lite</v>
      </c>
      <c r="P766" t="str">
        <f>_xlfn.XLOOKUP(Orders!C766,Customers!$A$2:$A$1001,Customers!$I$2:$I$1001)</f>
        <v>Yes</v>
      </c>
    </row>
    <row r="767" spans="1:16" x14ac:dyDescent="0.3">
      <c r="A767" t="s">
        <v>1492</v>
      </c>
      <c r="B767" s="11">
        <v>43667</v>
      </c>
      <c r="C767" t="s">
        <v>1493</v>
      </c>
      <c r="D767" t="s">
        <v>7</v>
      </c>
      <c r="E767">
        <v>6</v>
      </c>
      <c r="F767" t="str">
        <f>_xlfn.XLOOKUP(C767,Customers!$A$2:$A$1001,Customers!$B$2:$B$1001)</f>
        <v>Rafferty Pursglove</v>
      </c>
      <c r="G767" t="str">
        <f>_xlfn.XLOOKUP(C767,Customers!$A$2:$A$1001,Customers!$C$2:$C$1001)</f>
        <v>rpursglovel9@biblegateway.com</v>
      </c>
      <c r="H767" t="str">
        <f>_xlfn.XLOOKUP(C767,Customers!$A$2:$A$1001,Customers!$G$2:$G$1001)</f>
        <v>United States</v>
      </c>
      <c r="I767" t="str" cm="1">
        <f t="array" ref="I767:L767">_xlfn.XLOOKUP(D767,products!$A$2:$A$49,products!$B$2:$E$49)</f>
        <v>Rob</v>
      </c>
      <c r="J767" t="str">
        <v>M</v>
      </c>
      <c r="K767" s="8">
        <v>1</v>
      </c>
      <c r="L767" s="6">
        <v>9.9499999999999993</v>
      </c>
      <c r="M767" s="7">
        <f t="shared" si="33"/>
        <v>59.699999999999996</v>
      </c>
      <c r="N767" t="str">
        <f t="shared" si="34"/>
        <v>Robusta</v>
      </c>
      <c r="O767" t="str">
        <f t="shared" si="35"/>
        <v>Medium</v>
      </c>
      <c r="P767" t="str">
        <f>_xlfn.XLOOKUP(Orders!C767,Customers!$A$2:$A$1001,Customers!$I$2:$I$1001)</f>
        <v>Yes</v>
      </c>
    </row>
    <row r="768" spans="1:16" x14ac:dyDescent="0.3">
      <c r="A768" t="s">
        <v>1492</v>
      </c>
      <c r="B768" s="11">
        <v>43667</v>
      </c>
      <c r="C768" t="s">
        <v>1493</v>
      </c>
      <c r="D768" t="s">
        <v>197</v>
      </c>
      <c r="E768">
        <v>2</v>
      </c>
      <c r="F768" t="str">
        <f>_xlfn.XLOOKUP(C768,Customers!$A$2:$A$1001,Customers!$B$2:$B$1001)</f>
        <v>Rafferty Pursglove</v>
      </c>
      <c r="G768" t="str">
        <f>_xlfn.XLOOKUP(C768,Customers!$A$2:$A$1001,Customers!$C$2:$C$1001)</f>
        <v>rpursglovel9@biblegateway.com</v>
      </c>
      <c r="H768" t="str">
        <f>_xlfn.XLOOKUP(C768,Customers!$A$2:$A$1001,Customers!$G$2:$G$1001)</f>
        <v>United States</v>
      </c>
      <c r="I768" t="str" cm="1">
        <f t="array" ref="I768:L768">_xlfn.XLOOKUP(D768,products!$A$2:$A$49,products!$B$2:$E$49)</f>
        <v>Ara</v>
      </c>
      <c r="J768" t="str">
        <v>L</v>
      </c>
      <c r="K768" s="8">
        <v>0.5</v>
      </c>
      <c r="L768" s="6">
        <v>7.77</v>
      </c>
      <c r="M768" s="7">
        <f t="shared" si="33"/>
        <v>15.54</v>
      </c>
      <c r="N768" t="str">
        <f t="shared" si="34"/>
        <v>Arasbica</v>
      </c>
      <c r="O768" t="str">
        <f t="shared" si="35"/>
        <v>Lite</v>
      </c>
      <c r="P768" t="str">
        <f>_xlfn.XLOOKUP(Orders!C768,Customers!$A$2:$A$1001,Customers!$I$2:$I$1001)</f>
        <v>Yes</v>
      </c>
    </row>
    <row r="769" spans="1:16" x14ac:dyDescent="0.3">
      <c r="A769" t="s">
        <v>1494</v>
      </c>
      <c r="B769" s="11">
        <v>44267</v>
      </c>
      <c r="C769" t="s">
        <v>1473</v>
      </c>
      <c r="D769" t="s">
        <v>209</v>
      </c>
      <c r="E769">
        <v>3</v>
      </c>
      <c r="F769" t="str">
        <f>_xlfn.XLOOKUP(C769,Customers!$A$2:$A$1001,Customers!$B$2:$B$1001)</f>
        <v>Foster Constance</v>
      </c>
      <c r="G769" t="str">
        <f>_xlfn.XLOOKUP(C769,Customers!$A$2:$A$1001,Customers!$C$2:$C$1001)</f>
        <v>fconstancekz@ifeng.com</v>
      </c>
      <c r="H769" t="str">
        <f>_xlfn.XLOOKUP(C769,Customers!$A$2:$A$1001,Customers!$G$2:$G$1001)</f>
        <v>United States</v>
      </c>
      <c r="I769" t="str" cm="1">
        <f t="array" ref="I769:L769">_xlfn.XLOOKUP(D769,products!$A$2:$A$49,products!$B$2:$E$49)</f>
        <v>Ara</v>
      </c>
      <c r="J769" t="str">
        <v>L</v>
      </c>
      <c r="K769" s="8">
        <v>2.5</v>
      </c>
      <c r="L769" s="6">
        <v>29.784999999999997</v>
      </c>
      <c r="M769" s="7">
        <f t="shared" si="33"/>
        <v>89.35499999999999</v>
      </c>
      <c r="N769" t="str">
        <f t="shared" si="34"/>
        <v>Arasbica</v>
      </c>
      <c r="O769" t="str">
        <f t="shared" si="35"/>
        <v>Lite</v>
      </c>
      <c r="P769" t="str">
        <f>_xlfn.XLOOKUP(Orders!C769,Customers!$A$2:$A$1001,Customers!$I$2:$I$1001)</f>
        <v>No</v>
      </c>
    </row>
    <row r="770" spans="1:16" x14ac:dyDescent="0.3">
      <c r="A770" t="s">
        <v>1495</v>
      </c>
      <c r="B770" s="11">
        <v>44562</v>
      </c>
      <c r="C770" t="s">
        <v>1473</v>
      </c>
      <c r="D770" t="s">
        <v>194</v>
      </c>
      <c r="E770">
        <v>2</v>
      </c>
      <c r="F770" t="str">
        <f>_xlfn.XLOOKUP(C770,Customers!$A$2:$A$1001,Customers!$B$2:$B$1001)</f>
        <v>Foster Constance</v>
      </c>
      <c r="G770" t="str">
        <f>_xlfn.XLOOKUP(C770,Customers!$A$2:$A$1001,Customers!$C$2:$C$1001)</f>
        <v>fconstancekz@ifeng.com</v>
      </c>
      <c r="H770" t="str">
        <f>_xlfn.XLOOKUP(C770,Customers!$A$2:$A$1001,Customers!$G$2:$G$1001)</f>
        <v>United States</v>
      </c>
      <c r="I770" t="str" cm="1">
        <f t="array" ref="I770:L770">_xlfn.XLOOKUP(D770,products!$A$2:$A$49,products!$B$2:$E$49)</f>
        <v>Rob</v>
      </c>
      <c r="J770" t="str">
        <v>L</v>
      </c>
      <c r="K770" s="8">
        <v>1</v>
      </c>
      <c r="L770" s="6">
        <v>11.95</v>
      </c>
      <c r="M770" s="7">
        <f t="shared" si="33"/>
        <v>23.9</v>
      </c>
      <c r="N770" t="str">
        <f t="shared" si="34"/>
        <v>Robusta</v>
      </c>
      <c r="O770" t="str">
        <f t="shared" si="35"/>
        <v>Lite</v>
      </c>
      <c r="P770" t="str">
        <f>_xlfn.XLOOKUP(Orders!C770,Customers!$A$2:$A$1001,Customers!$I$2:$I$1001)</f>
        <v>No</v>
      </c>
    </row>
    <row r="771" spans="1:16" x14ac:dyDescent="0.3">
      <c r="A771" t="s">
        <v>1496</v>
      </c>
      <c r="B771" s="11">
        <v>43912</v>
      </c>
      <c r="C771" t="s">
        <v>1497</v>
      </c>
      <c r="D771" t="s">
        <v>46</v>
      </c>
      <c r="E771">
        <v>6</v>
      </c>
      <c r="F771" t="str">
        <f>_xlfn.XLOOKUP(C771,Customers!$A$2:$A$1001,Customers!$B$2:$B$1001)</f>
        <v>Dalia Eburah</v>
      </c>
      <c r="G771" t="str">
        <f>_xlfn.XLOOKUP(C771,Customers!$A$2:$A$1001,Customers!$C$2:$C$1001)</f>
        <v>deburahld@google.co.jp</v>
      </c>
      <c r="H771" t="str">
        <f>_xlfn.XLOOKUP(C771,Customers!$A$2:$A$1001,Customers!$G$2:$G$1001)</f>
        <v>United Kingdom</v>
      </c>
      <c r="I771" t="str" cm="1">
        <f t="array" ref="I771:L771">_xlfn.XLOOKUP(D771,products!$A$2:$A$49,products!$B$2:$E$49)</f>
        <v>Rob</v>
      </c>
      <c r="J771" t="str">
        <v>M</v>
      </c>
      <c r="K771" s="8">
        <v>2.5</v>
      </c>
      <c r="L771" s="6">
        <v>22.884999999999998</v>
      </c>
      <c r="M771" s="7">
        <f t="shared" ref="M771:M834" si="36">E771*L771</f>
        <v>137.31</v>
      </c>
      <c r="N771" t="str">
        <f t="shared" ref="N771:N834" si="37">IF(I771="rob","Robusta",IF(I771="Exc","Excelsa",IF(I771="Ara","Arasbica",IF(I771="Lib","Liberica"))))</f>
        <v>Robusta</v>
      </c>
      <c r="O771" t="str">
        <f t="shared" ref="O771:O834" si="38">IF(J771="M","Medium",IF(J771="L","Lite",IF(J771="D","Dark")))</f>
        <v>Medium</v>
      </c>
      <c r="P771" t="str">
        <f>_xlfn.XLOOKUP(Orders!C771,Customers!$A$2:$A$1001,Customers!$I$2:$I$1001)</f>
        <v>No</v>
      </c>
    </row>
    <row r="772" spans="1:16" x14ac:dyDescent="0.3">
      <c r="A772" t="s">
        <v>1498</v>
      </c>
      <c r="B772" s="11">
        <v>44092</v>
      </c>
      <c r="C772" t="s">
        <v>1499</v>
      </c>
      <c r="D772" t="s">
        <v>32</v>
      </c>
      <c r="E772">
        <v>1</v>
      </c>
      <c r="F772" t="str">
        <f>_xlfn.XLOOKUP(C772,Customers!$A$2:$A$1001,Customers!$B$2:$B$1001)</f>
        <v>Martie Brimilcombe</v>
      </c>
      <c r="G772" t="str">
        <f>_xlfn.XLOOKUP(C772,Customers!$A$2:$A$1001,Customers!$C$2:$C$1001)</f>
        <v>mbrimilcombele@cnn.com</v>
      </c>
      <c r="H772" t="str">
        <f>_xlfn.XLOOKUP(C772,Customers!$A$2:$A$1001,Customers!$G$2:$G$1001)</f>
        <v>United States</v>
      </c>
      <c r="I772" t="str" cm="1">
        <f t="array" ref="I772:L772">_xlfn.XLOOKUP(D772,products!$A$2:$A$49,products!$B$2:$E$49)</f>
        <v>Ara</v>
      </c>
      <c r="J772" t="str">
        <v>D</v>
      </c>
      <c r="K772" s="8">
        <v>1</v>
      </c>
      <c r="L772" s="6">
        <v>9.9499999999999993</v>
      </c>
      <c r="M772" s="7">
        <f t="shared" si="36"/>
        <v>9.9499999999999993</v>
      </c>
      <c r="N772" t="str">
        <f t="shared" si="37"/>
        <v>Arasbica</v>
      </c>
      <c r="O772" t="str">
        <f t="shared" si="38"/>
        <v>Dark</v>
      </c>
      <c r="P772" t="str">
        <f>_xlfn.XLOOKUP(Orders!C772,Customers!$A$2:$A$1001,Customers!$I$2:$I$1001)</f>
        <v>No</v>
      </c>
    </row>
    <row r="773" spans="1:16" x14ac:dyDescent="0.3">
      <c r="A773" t="s">
        <v>1500</v>
      </c>
      <c r="B773" s="11">
        <v>43468</v>
      </c>
      <c r="C773" t="s">
        <v>1501</v>
      </c>
      <c r="D773" t="s">
        <v>162</v>
      </c>
      <c r="E773">
        <v>3</v>
      </c>
      <c r="F773" t="str">
        <f>_xlfn.XLOOKUP(C773,Customers!$A$2:$A$1001,Customers!$B$2:$B$1001)</f>
        <v>Suzanna Bollam</v>
      </c>
      <c r="G773" t="str">
        <f>_xlfn.XLOOKUP(C773,Customers!$A$2:$A$1001,Customers!$C$2:$C$1001)</f>
        <v>sbollamlf@list-manage.com</v>
      </c>
      <c r="H773" t="str">
        <f>_xlfn.XLOOKUP(C773,Customers!$A$2:$A$1001,Customers!$G$2:$G$1001)</f>
        <v>United States</v>
      </c>
      <c r="I773" t="str" cm="1">
        <f t="array" ref="I773:L773">_xlfn.XLOOKUP(D773,products!$A$2:$A$49,products!$B$2:$E$49)</f>
        <v>Rob</v>
      </c>
      <c r="J773" t="str">
        <v>L</v>
      </c>
      <c r="K773" s="8">
        <v>0.5</v>
      </c>
      <c r="L773" s="6">
        <v>7.169999999999999</v>
      </c>
      <c r="M773" s="7">
        <f t="shared" si="36"/>
        <v>21.509999999999998</v>
      </c>
      <c r="N773" t="str">
        <f t="shared" si="37"/>
        <v>Robusta</v>
      </c>
      <c r="O773" t="str">
        <f t="shared" si="38"/>
        <v>Lite</v>
      </c>
      <c r="P773" t="str">
        <f>_xlfn.XLOOKUP(Orders!C773,Customers!$A$2:$A$1001,Customers!$I$2:$I$1001)</f>
        <v>No</v>
      </c>
    </row>
    <row r="774" spans="1:16" x14ac:dyDescent="0.3">
      <c r="A774" t="s">
        <v>1502</v>
      </c>
      <c r="B774" s="11">
        <v>44468</v>
      </c>
      <c r="C774" t="s">
        <v>1503</v>
      </c>
      <c r="D774" t="s">
        <v>14</v>
      </c>
      <c r="E774">
        <v>6</v>
      </c>
      <c r="F774" t="str">
        <f>_xlfn.XLOOKUP(C774,Customers!$A$2:$A$1001,Customers!$B$2:$B$1001)</f>
        <v>Mellisa Mebes</v>
      </c>
      <c r="G774">
        <f>_xlfn.XLOOKUP(C774,Customers!$A$2:$A$1001,Customers!$C$2:$C$1001)</f>
        <v>0</v>
      </c>
      <c r="H774" t="str">
        <f>_xlfn.XLOOKUP(C774,Customers!$A$2:$A$1001,Customers!$G$2:$G$1001)</f>
        <v>United States</v>
      </c>
      <c r="I774" t="str" cm="1">
        <f t="array" ref="I774:L774">_xlfn.XLOOKUP(D774,products!$A$2:$A$49,products!$B$2:$E$49)</f>
        <v>Exc</v>
      </c>
      <c r="J774" t="str">
        <v>M</v>
      </c>
      <c r="K774" s="8">
        <v>1</v>
      </c>
      <c r="L774" s="6">
        <v>13.75</v>
      </c>
      <c r="M774" s="7">
        <f t="shared" si="36"/>
        <v>82.5</v>
      </c>
      <c r="N774" t="str">
        <f t="shared" si="37"/>
        <v>Excelsa</v>
      </c>
      <c r="O774" t="str">
        <f t="shared" si="38"/>
        <v>Medium</v>
      </c>
      <c r="P774" t="str">
        <f>_xlfn.XLOOKUP(Orders!C774,Customers!$A$2:$A$1001,Customers!$I$2:$I$1001)</f>
        <v>No</v>
      </c>
    </row>
    <row r="775" spans="1:16" x14ac:dyDescent="0.3">
      <c r="A775" t="s">
        <v>1504</v>
      </c>
      <c r="B775" s="11">
        <v>44488</v>
      </c>
      <c r="C775" t="s">
        <v>1505</v>
      </c>
      <c r="D775" t="s">
        <v>82</v>
      </c>
      <c r="E775">
        <v>2</v>
      </c>
      <c r="F775" t="str">
        <f>_xlfn.XLOOKUP(C775,Customers!$A$2:$A$1001,Customers!$B$2:$B$1001)</f>
        <v>Alva Filipczak</v>
      </c>
      <c r="G775" t="str">
        <f>_xlfn.XLOOKUP(C775,Customers!$A$2:$A$1001,Customers!$C$2:$C$1001)</f>
        <v>afilipczaklh@ning.com</v>
      </c>
      <c r="H775" t="str">
        <f>_xlfn.XLOOKUP(C775,Customers!$A$2:$A$1001,Customers!$G$2:$G$1001)</f>
        <v>Ireland</v>
      </c>
      <c r="I775" t="str" cm="1">
        <f t="array" ref="I775:L775">_xlfn.XLOOKUP(D775,products!$A$2:$A$49,products!$B$2:$E$49)</f>
        <v>Lib</v>
      </c>
      <c r="J775" t="str">
        <v>M</v>
      </c>
      <c r="K775" s="8">
        <v>0.2</v>
      </c>
      <c r="L775" s="6">
        <v>4.3650000000000002</v>
      </c>
      <c r="M775" s="7">
        <f t="shared" si="36"/>
        <v>8.73</v>
      </c>
      <c r="N775" t="str">
        <f t="shared" si="37"/>
        <v>Liberica</v>
      </c>
      <c r="O775" t="str">
        <f t="shared" si="38"/>
        <v>Medium</v>
      </c>
      <c r="P775" t="str">
        <f>_xlfn.XLOOKUP(Orders!C775,Customers!$A$2:$A$1001,Customers!$I$2:$I$1001)</f>
        <v>No</v>
      </c>
    </row>
    <row r="776" spans="1:16" x14ac:dyDescent="0.3">
      <c r="A776" t="s">
        <v>1506</v>
      </c>
      <c r="B776" s="11">
        <v>44756</v>
      </c>
      <c r="C776" t="s">
        <v>1507</v>
      </c>
      <c r="D776" t="s">
        <v>7</v>
      </c>
      <c r="E776">
        <v>2</v>
      </c>
      <c r="F776" t="str">
        <f>_xlfn.XLOOKUP(C776,Customers!$A$2:$A$1001,Customers!$B$2:$B$1001)</f>
        <v>Dorette Hinemoor</v>
      </c>
      <c r="G776">
        <f>_xlfn.XLOOKUP(C776,Customers!$A$2:$A$1001,Customers!$C$2:$C$1001)</f>
        <v>0</v>
      </c>
      <c r="H776" t="str">
        <f>_xlfn.XLOOKUP(C776,Customers!$A$2:$A$1001,Customers!$G$2:$G$1001)</f>
        <v>United States</v>
      </c>
      <c r="I776" t="str" cm="1">
        <f t="array" ref="I776:L776">_xlfn.XLOOKUP(D776,products!$A$2:$A$49,products!$B$2:$E$49)</f>
        <v>Rob</v>
      </c>
      <c r="J776" t="str">
        <v>M</v>
      </c>
      <c r="K776" s="8">
        <v>1</v>
      </c>
      <c r="L776" s="6">
        <v>9.9499999999999993</v>
      </c>
      <c r="M776" s="7">
        <f t="shared" si="36"/>
        <v>19.899999999999999</v>
      </c>
      <c r="N776" t="str">
        <f t="shared" si="37"/>
        <v>Robusta</v>
      </c>
      <c r="O776" t="str">
        <f t="shared" si="38"/>
        <v>Medium</v>
      </c>
      <c r="P776" t="str">
        <f>_xlfn.XLOOKUP(Orders!C776,Customers!$A$2:$A$1001,Customers!$I$2:$I$1001)</f>
        <v>Yes</v>
      </c>
    </row>
    <row r="777" spans="1:16" x14ac:dyDescent="0.3">
      <c r="A777" t="s">
        <v>1508</v>
      </c>
      <c r="B777" s="11">
        <v>44396</v>
      </c>
      <c r="C777" t="s">
        <v>1509</v>
      </c>
      <c r="D777" t="s">
        <v>181</v>
      </c>
      <c r="E777">
        <v>2</v>
      </c>
      <c r="F777" t="str">
        <f>_xlfn.XLOOKUP(C777,Customers!$A$2:$A$1001,Customers!$B$2:$B$1001)</f>
        <v>Rhetta Elnaugh</v>
      </c>
      <c r="G777" t="str">
        <f>_xlfn.XLOOKUP(C777,Customers!$A$2:$A$1001,Customers!$C$2:$C$1001)</f>
        <v>relnaughlj@comsenz.com</v>
      </c>
      <c r="H777" t="str">
        <f>_xlfn.XLOOKUP(C777,Customers!$A$2:$A$1001,Customers!$G$2:$G$1001)</f>
        <v>United States</v>
      </c>
      <c r="I777" t="str" cm="1">
        <f t="array" ref="I777:L777">_xlfn.XLOOKUP(D777,products!$A$2:$A$49,products!$B$2:$E$49)</f>
        <v>Exc</v>
      </c>
      <c r="J777" t="str">
        <v>L</v>
      </c>
      <c r="K777" s="8">
        <v>0.5</v>
      </c>
      <c r="L777" s="6">
        <v>8.91</v>
      </c>
      <c r="M777" s="7">
        <f t="shared" si="36"/>
        <v>17.82</v>
      </c>
      <c r="N777" t="str">
        <f t="shared" si="37"/>
        <v>Excelsa</v>
      </c>
      <c r="O777" t="str">
        <f t="shared" si="38"/>
        <v>Lite</v>
      </c>
      <c r="P777" t="str">
        <f>_xlfn.XLOOKUP(Orders!C777,Customers!$A$2:$A$1001,Customers!$I$2:$I$1001)</f>
        <v>Yes</v>
      </c>
    </row>
    <row r="778" spans="1:16" x14ac:dyDescent="0.3">
      <c r="A778" t="s">
        <v>1510</v>
      </c>
      <c r="B778" s="11">
        <v>44540</v>
      </c>
      <c r="C778" t="s">
        <v>1511</v>
      </c>
      <c r="D778" t="s">
        <v>72</v>
      </c>
      <c r="E778">
        <v>3</v>
      </c>
      <c r="F778" t="str">
        <f>_xlfn.XLOOKUP(C778,Customers!$A$2:$A$1001,Customers!$B$2:$B$1001)</f>
        <v>Jule Deehan</v>
      </c>
      <c r="G778" t="str">
        <f>_xlfn.XLOOKUP(C778,Customers!$A$2:$A$1001,Customers!$C$2:$C$1001)</f>
        <v>jdeehanlk@about.me</v>
      </c>
      <c r="H778" t="str">
        <f>_xlfn.XLOOKUP(C778,Customers!$A$2:$A$1001,Customers!$G$2:$G$1001)</f>
        <v>United States</v>
      </c>
      <c r="I778" t="str" cm="1">
        <f t="array" ref="I778:L778">_xlfn.XLOOKUP(D778,products!$A$2:$A$49,products!$B$2:$E$49)</f>
        <v>Ara</v>
      </c>
      <c r="J778" t="str">
        <v>M</v>
      </c>
      <c r="K778" s="8">
        <v>0.5</v>
      </c>
      <c r="L778" s="6">
        <v>6.75</v>
      </c>
      <c r="M778" s="7">
        <f t="shared" si="36"/>
        <v>20.25</v>
      </c>
      <c r="N778" t="str">
        <f t="shared" si="37"/>
        <v>Arasbica</v>
      </c>
      <c r="O778" t="str">
        <f t="shared" si="38"/>
        <v>Medium</v>
      </c>
      <c r="P778" t="str">
        <f>_xlfn.XLOOKUP(Orders!C778,Customers!$A$2:$A$1001,Customers!$I$2:$I$1001)</f>
        <v>No</v>
      </c>
    </row>
    <row r="779" spans="1:16" x14ac:dyDescent="0.3">
      <c r="A779" t="s">
        <v>1512</v>
      </c>
      <c r="B779" s="11">
        <v>43541</v>
      </c>
      <c r="C779" t="s">
        <v>1513</v>
      </c>
      <c r="D779" t="s">
        <v>209</v>
      </c>
      <c r="E779">
        <v>2</v>
      </c>
      <c r="F779" t="str">
        <f>_xlfn.XLOOKUP(C779,Customers!$A$2:$A$1001,Customers!$B$2:$B$1001)</f>
        <v>Janella Eden</v>
      </c>
      <c r="G779" t="str">
        <f>_xlfn.XLOOKUP(C779,Customers!$A$2:$A$1001,Customers!$C$2:$C$1001)</f>
        <v>jedenll@e-recht24.de</v>
      </c>
      <c r="H779" t="str">
        <f>_xlfn.XLOOKUP(C779,Customers!$A$2:$A$1001,Customers!$G$2:$G$1001)</f>
        <v>United States</v>
      </c>
      <c r="I779" t="str" cm="1">
        <f t="array" ref="I779:L779">_xlfn.XLOOKUP(D779,products!$A$2:$A$49,products!$B$2:$E$49)</f>
        <v>Ara</v>
      </c>
      <c r="J779" t="str">
        <v>L</v>
      </c>
      <c r="K779" s="8">
        <v>2.5</v>
      </c>
      <c r="L779" s="6">
        <v>29.784999999999997</v>
      </c>
      <c r="M779" s="7">
        <f t="shared" si="36"/>
        <v>59.569999999999993</v>
      </c>
      <c r="N779" t="str">
        <f t="shared" si="37"/>
        <v>Arasbica</v>
      </c>
      <c r="O779" t="str">
        <f t="shared" si="38"/>
        <v>Lite</v>
      </c>
      <c r="P779" t="str">
        <f>_xlfn.XLOOKUP(Orders!C779,Customers!$A$2:$A$1001,Customers!$I$2:$I$1001)</f>
        <v>No</v>
      </c>
    </row>
    <row r="780" spans="1:16" x14ac:dyDescent="0.3">
      <c r="A780" t="s">
        <v>1514</v>
      </c>
      <c r="B780" s="11">
        <v>43889</v>
      </c>
      <c r="C780" t="s">
        <v>1515</v>
      </c>
      <c r="D780" t="s">
        <v>88</v>
      </c>
      <c r="E780">
        <v>2</v>
      </c>
      <c r="F780" t="str">
        <f>_xlfn.XLOOKUP(C780,Customers!$A$2:$A$1001,Customers!$B$2:$B$1001)</f>
        <v>Cam Jewster</v>
      </c>
      <c r="G780" t="str">
        <f>_xlfn.XLOOKUP(C780,Customers!$A$2:$A$1001,Customers!$C$2:$C$1001)</f>
        <v>cjewsterlu@moonfruit.com</v>
      </c>
      <c r="H780" t="str">
        <f>_xlfn.XLOOKUP(C780,Customers!$A$2:$A$1001,Customers!$G$2:$G$1001)</f>
        <v>United States</v>
      </c>
      <c r="I780" t="str" cm="1">
        <f t="array" ref="I780:L780">_xlfn.XLOOKUP(D780,products!$A$2:$A$49,products!$B$2:$E$49)</f>
        <v>Lib</v>
      </c>
      <c r="J780" t="str">
        <v>L</v>
      </c>
      <c r="K780" s="8">
        <v>0.5</v>
      </c>
      <c r="L780" s="6">
        <v>9.51</v>
      </c>
      <c r="M780" s="7">
        <f t="shared" si="36"/>
        <v>19.02</v>
      </c>
      <c r="N780" t="str">
        <f t="shared" si="37"/>
        <v>Liberica</v>
      </c>
      <c r="O780" t="str">
        <f t="shared" si="38"/>
        <v>Lite</v>
      </c>
      <c r="P780" t="str">
        <f>_xlfn.XLOOKUP(Orders!C780,Customers!$A$2:$A$1001,Customers!$I$2:$I$1001)</f>
        <v>Yes</v>
      </c>
    </row>
    <row r="781" spans="1:16" x14ac:dyDescent="0.3">
      <c r="A781" t="s">
        <v>1516</v>
      </c>
      <c r="B781" s="11">
        <v>43985</v>
      </c>
      <c r="C781" t="s">
        <v>1517</v>
      </c>
      <c r="D781" t="s">
        <v>18</v>
      </c>
      <c r="E781">
        <v>6</v>
      </c>
      <c r="F781" t="str">
        <f>_xlfn.XLOOKUP(C781,Customers!$A$2:$A$1001,Customers!$B$2:$B$1001)</f>
        <v>Ugo Southerden</v>
      </c>
      <c r="G781" t="str">
        <f>_xlfn.XLOOKUP(C781,Customers!$A$2:$A$1001,Customers!$C$2:$C$1001)</f>
        <v>usoutherdenln@hao123.com</v>
      </c>
      <c r="H781" t="str">
        <f>_xlfn.XLOOKUP(C781,Customers!$A$2:$A$1001,Customers!$G$2:$G$1001)</f>
        <v>United States</v>
      </c>
      <c r="I781" t="str" cm="1">
        <f t="array" ref="I781:L781">_xlfn.XLOOKUP(D781,products!$A$2:$A$49,products!$B$2:$E$49)</f>
        <v>Lib</v>
      </c>
      <c r="J781" t="str">
        <v>D</v>
      </c>
      <c r="K781" s="8">
        <v>1</v>
      </c>
      <c r="L781" s="6">
        <v>12.95</v>
      </c>
      <c r="M781" s="7">
        <f t="shared" si="36"/>
        <v>77.699999999999989</v>
      </c>
      <c r="N781" t="str">
        <f t="shared" si="37"/>
        <v>Liberica</v>
      </c>
      <c r="O781" t="str">
        <f t="shared" si="38"/>
        <v>Dark</v>
      </c>
      <c r="P781" t="str">
        <f>_xlfn.XLOOKUP(Orders!C781,Customers!$A$2:$A$1001,Customers!$I$2:$I$1001)</f>
        <v>Yes</v>
      </c>
    </row>
    <row r="782" spans="1:16" x14ac:dyDescent="0.3">
      <c r="A782" t="s">
        <v>1518</v>
      </c>
      <c r="B782" s="11">
        <v>43883</v>
      </c>
      <c r="C782" t="s">
        <v>1519</v>
      </c>
      <c r="D782" t="s">
        <v>14</v>
      </c>
      <c r="E782">
        <v>3</v>
      </c>
      <c r="F782" t="str">
        <f>_xlfn.XLOOKUP(C782,Customers!$A$2:$A$1001,Customers!$B$2:$B$1001)</f>
        <v>Verne Dunkerley</v>
      </c>
      <c r="G782">
        <f>_xlfn.XLOOKUP(C782,Customers!$A$2:$A$1001,Customers!$C$2:$C$1001)</f>
        <v>0</v>
      </c>
      <c r="H782" t="str">
        <f>_xlfn.XLOOKUP(C782,Customers!$A$2:$A$1001,Customers!$G$2:$G$1001)</f>
        <v>United States</v>
      </c>
      <c r="I782" t="str" cm="1">
        <f t="array" ref="I782:L782">_xlfn.XLOOKUP(D782,products!$A$2:$A$49,products!$B$2:$E$49)</f>
        <v>Exc</v>
      </c>
      <c r="J782" t="str">
        <v>M</v>
      </c>
      <c r="K782" s="8">
        <v>1</v>
      </c>
      <c r="L782" s="6">
        <v>13.75</v>
      </c>
      <c r="M782" s="7">
        <f t="shared" si="36"/>
        <v>41.25</v>
      </c>
      <c r="N782" t="str">
        <f t="shared" si="37"/>
        <v>Excelsa</v>
      </c>
      <c r="O782" t="str">
        <f t="shared" si="38"/>
        <v>Medium</v>
      </c>
      <c r="P782" t="str">
        <f>_xlfn.XLOOKUP(Orders!C782,Customers!$A$2:$A$1001,Customers!$I$2:$I$1001)</f>
        <v>No</v>
      </c>
    </row>
    <row r="783" spans="1:16" x14ac:dyDescent="0.3">
      <c r="A783" t="s">
        <v>1520</v>
      </c>
      <c r="B783" s="11">
        <v>43778</v>
      </c>
      <c r="C783" t="s">
        <v>1521</v>
      </c>
      <c r="D783" t="s">
        <v>109</v>
      </c>
      <c r="E783">
        <v>4</v>
      </c>
      <c r="F783" t="str">
        <f>_xlfn.XLOOKUP(C783,Customers!$A$2:$A$1001,Customers!$B$2:$B$1001)</f>
        <v>Lacee Burtenshaw</v>
      </c>
      <c r="G783" t="str">
        <f>_xlfn.XLOOKUP(C783,Customers!$A$2:$A$1001,Customers!$C$2:$C$1001)</f>
        <v>lburtenshawlp@shinystat.com</v>
      </c>
      <c r="H783" t="str">
        <f>_xlfn.XLOOKUP(C783,Customers!$A$2:$A$1001,Customers!$G$2:$G$1001)</f>
        <v>United States</v>
      </c>
      <c r="I783" t="str" cm="1">
        <f t="array" ref="I783:L783">_xlfn.XLOOKUP(D783,products!$A$2:$A$49,products!$B$2:$E$49)</f>
        <v>Lib</v>
      </c>
      <c r="J783" t="str">
        <v>L</v>
      </c>
      <c r="K783" s="8">
        <v>2.5</v>
      </c>
      <c r="L783" s="6">
        <v>36.454999999999998</v>
      </c>
      <c r="M783" s="7">
        <f t="shared" si="36"/>
        <v>145.82</v>
      </c>
      <c r="N783" t="str">
        <f t="shared" si="37"/>
        <v>Liberica</v>
      </c>
      <c r="O783" t="str">
        <f t="shared" si="38"/>
        <v>Lite</v>
      </c>
      <c r="P783" t="str">
        <f>_xlfn.XLOOKUP(Orders!C783,Customers!$A$2:$A$1001,Customers!$I$2:$I$1001)</f>
        <v>No</v>
      </c>
    </row>
    <row r="784" spans="1:16" x14ac:dyDescent="0.3">
      <c r="A784" t="s">
        <v>1522</v>
      </c>
      <c r="B784" s="11">
        <v>43897</v>
      </c>
      <c r="C784" t="s">
        <v>1523</v>
      </c>
      <c r="D784" t="s">
        <v>259</v>
      </c>
      <c r="E784">
        <v>6</v>
      </c>
      <c r="F784" t="str">
        <f>_xlfn.XLOOKUP(C784,Customers!$A$2:$A$1001,Customers!$B$2:$B$1001)</f>
        <v>Adorne Gregoratti</v>
      </c>
      <c r="G784" t="str">
        <f>_xlfn.XLOOKUP(C784,Customers!$A$2:$A$1001,Customers!$C$2:$C$1001)</f>
        <v>agregorattilq@vistaprint.com</v>
      </c>
      <c r="H784" t="str">
        <f>_xlfn.XLOOKUP(C784,Customers!$A$2:$A$1001,Customers!$G$2:$G$1001)</f>
        <v>Ireland</v>
      </c>
      <c r="I784" t="str" cm="1">
        <f t="array" ref="I784:L784">_xlfn.XLOOKUP(D784,products!$A$2:$A$49,products!$B$2:$E$49)</f>
        <v>Exc</v>
      </c>
      <c r="J784" t="str">
        <v>L</v>
      </c>
      <c r="K784" s="8">
        <v>0.2</v>
      </c>
      <c r="L784" s="6">
        <v>4.4550000000000001</v>
      </c>
      <c r="M784" s="7">
        <f t="shared" si="36"/>
        <v>26.73</v>
      </c>
      <c r="N784" t="str">
        <f t="shared" si="37"/>
        <v>Excelsa</v>
      </c>
      <c r="O784" t="str">
        <f t="shared" si="38"/>
        <v>Lite</v>
      </c>
      <c r="P784" t="str">
        <f>_xlfn.XLOOKUP(Orders!C784,Customers!$A$2:$A$1001,Customers!$I$2:$I$1001)</f>
        <v>No</v>
      </c>
    </row>
    <row r="785" spans="1:16" x14ac:dyDescent="0.3">
      <c r="A785" t="s">
        <v>1524</v>
      </c>
      <c r="B785" s="11">
        <v>44312</v>
      </c>
      <c r="C785" t="s">
        <v>1525</v>
      </c>
      <c r="D785" t="s">
        <v>83</v>
      </c>
      <c r="E785">
        <v>5</v>
      </c>
      <c r="F785" t="str">
        <f>_xlfn.XLOOKUP(C785,Customers!$A$2:$A$1001,Customers!$B$2:$B$1001)</f>
        <v>Chris Croster</v>
      </c>
      <c r="G785" t="str">
        <f>_xlfn.XLOOKUP(C785,Customers!$A$2:$A$1001,Customers!$C$2:$C$1001)</f>
        <v>ccrosterlr@gov.uk</v>
      </c>
      <c r="H785" t="str">
        <f>_xlfn.XLOOKUP(C785,Customers!$A$2:$A$1001,Customers!$G$2:$G$1001)</f>
        <v>United States</v>
      </c>
      <c r="I785" t="str" cm="1">
        <f t="array" ref="I785:L785">_xlfn.XLOOKUP(D785,products!$A$2:$A$49,products!$B$2:$E$49)</f>
        <v>Lib</v>
      </c>
      <c r="J785" t="str">
        <v>M</v>
      </c>
      <c r="K785" s="8">
        <v>0.5</v>
      </c>
      <c r="L785" s="6">
        <v>8.73</v>
      </c>
      <c r="M785" s="7">
        <f t="shared" si="36"/>
        <v>43.650000000000006</v>
      </c>
      <c r="N785" t="str">
        <f t="shared" si="37"/>
        <v>Liberica</v>
      </c>
      <c r="O785" t="str">
        <f t="shared" si="38"/>
        <v>Medium</v>
      </c>
      <c r="P785" t="str">
        <f>_xlfn.XLOOKUP(Orders!C785,Customers!$A$2:$A$1001,Customers!$I$2:$I$1001)</f>
        <v>Yes</v>
      </c>
    </row>
    <row r="786" spans="1:16" x14ac:dyDescent="0.3">
      <c r="A786" t="s">
        <v>1526</v>
      </c>
      <c r="B786" s="11">
        <v>44511</v>
      </c>
      <c r="C786" t="s">
        <v>1527</v>
      </c>
      <c r="D786" t="s">
        <v>137</v>
      </c>
      <c r="E786">
        <v>2</v>
      </c>
      <c r="F786" t="str">
        <f>_xlfn.XLOOKUP(C786,Customers!$A$2:$A$1001,Customers!$B$2:$B$1001)</f>
        <v>Graeme Whitehead</v>
      </c>
      <c r="G786" t="str">
        <f>_xlfn.XLOOKUP(C786,Customers!$A$2:$A$1001,Customers!$C$2:$C$1001)</f>
        <v>gwhiteheadls@hp.com</v>
      </c>
      <c r="H786" t="str">
        <f>_xlfn.XLOOKUP(C786,Customers!$A$2:$A$1001,Customers!$G$2:$G$1001)</f>
        <v>United States</v>
      </c>
      <c r="I786" t="str" cm="1">
        <f t="array" ref="I786:L786">_xlfn.XLOOKUP(D786,products!$A$2:$A$49,products!$B$2:$E$49)</f>
        <v>Lib</v>
      </c>
      <c r="J786" t="str">
        <v>L</v>
      </c>
      <c r="K786" s="8">
        <v>1</v>
      </c>
      <c r="L786" s="6">
        <v>15.85</v>
      </c>
      <c r="M786" s="7">
        <f t="shared" si="36"/>
        <v>31.7</v>
      </c>
      <c r="N786" t="str">
        <f t="shared" si="37"/>
        <v>Liberica</v>
      </c>
      <c r="O786" t="str">
        <f t="shared" si="38"/>
        <v>Lite</v>
      </c>
      <c r="P786" t="str">
        <f>_xlfn.XLOOKUP(Orders!C786,Customers!$A$2:$A$1001,Customers!$I$2:$I$1001)</f>
        <v>No</v>
      </c>
    </row>
    <row r="787" spans="1:16" x14ac:dyDescent="0.3">
      <c r="A787" t="s">
        <v>1528</v>
      </c>
      <c r="B787" s="11">
        <v>44362</v>
      </c>
      <c r="C787" t="s">
        <v>1529</v>
      </c>
      <c r="D787" t="s">
        <v>123</v>
      </c>
      <c r="E787">
        <v>1</v>
      </c>
      <c r="F787" t="str">
        <f>_xlfn.XLOOKUP(C787,Customers!$A$2:$A$1001,Customers!$B$2:$B$1001)</f>
        <v>Haslett Jodrelle</v>
      </c>
      <c r="G787" t="str">
        <f>_xlfn.XLOOKUP(C787,Customers!$A$2:$A$1001,Customers!$C$2:$C$1001)</f>
        <v>hjodrellelt@samsung.com</v>
      </c>
      <c r="H787" t="str">
        <f>_xlfn.XLOOKUP(C787,Customers!$A$2:$A$1001,Customers!$G$2:$G$1001)</f>
        <v>United States</v>
      </c>
      <c r="I787" t="str" cm="1">
        <f t="array" ref="I787:L787">_xlfn.XLOOKUP(D787,products!$A$2:$A$49,products!$B$2:$E$49)</f>
        <v>Ara</v>
      </c>
      <c r="J787" t="str">
        <v>D</v>
      </c>
      <c r="K787" s="8">
        <v>2.5</v>
      </c>
      <c r="L787" s="6">
        <v>22.884999999999998</v>
      </c>
      <c r="M787" s="7">
        <f t="shared" si="36"/>
        <v>22.884999999999998</v>
      </c>
      <c r="N787" t="str">
        <f t="shared" si="37"/>
        <v>Arasbica</v>
      </c>
      <c r="O787" t="str">
        <f t="shared" si="38"/>
        <v>Dark</v>
      </c>
      <c r="P787" t="str">
        <f>_xlfn.XLOOKUP(Orders!C787,Customers!$A$2:$A$1001,Customers!$I$2:$I$1001)</f>
        <v>No</v>
      </c>
    </row>
    <row r="788" spans="1:16" x14ac:dyDescent="0.3">
      <c r="A788" t="s">
        <v>1530</v>
      </c>
      <c r="B788" s="11">
        <v>43888</v>
      </c>
      <c r="C788" t="s">
        <v>1515</v>
      </c>
      <c r="D788" t="s">
        <v>535</v>
      </c>
      <c r="E788">
        <v>1</v>
      </c>
      <c r="F788" t="str">
        <f>_xlfn.XLOOKUP(C788,Customers!$A$2:$A$1001,Customers!$B$2:$B$1001)</f>
        <v>Cam Jewster</v>
      </c>
      <c r="G788" t="str">
        <f>_xlfn.XLOOKUP(C788,Customers!$A$2:$A$1001,Customers!$C$2:$C$1001)</f>
        <v>cjewsterlu@moonfruit.com</v>
      </c>
      <c r="H788" t="str">
        <f>_xlfn.XLOOKUP(C788,Customers!$A$2:$A$1001,Customers!$G$2:$G$1001)</f>
        <v>United States</v>
      </c>
      <c r="I788" t="str" cm="1">
        <f t="array" ref="I788:L788">_xlfn.XLOOKUP(D788,products!$A$2:$A$49,products!$B$2:$E$49)</f>
        <v>Exc</v>
      </c>
      <c r="J788" t="str">
        <v>D</v>
      </c>
      <c r="K788" s="8">
        <v>2.5</v>
      </c>
      <c r="L788" s="6">
        <v>27.945</v>
      </c>
      <c r="M788" s="7">
        <f t="shared" si="36"/>
        <v>27.945</v>
      </c>
      <c r="N788" t="str">
        <f t="shared" si="37"/>
        <v>Excelsa</v>
      </c>
      <c r="O788" t="str">
        <f t="shared" si="38"/>
        <v>Dark</v>
      </c>
      <c r="P788" t="str">
        <f>_xlfn.XLOOKUP(Orders!C788,Customers!$A$2:$A$1001,Customers!$I$2:$I$1001)</f>
        <v>Yes</v>
      </c>
    </row>
    <row r="789" spans="1:16" x14ac:dyDescent="0.3">
      <c r="A789" t="s">
        <v>1531</v>
      </c>
      <c r="B789" s="11">
        <v>44305</v>
      </c>
      <c r="C789" t="s">
        <v>1532</v>
      </c>
      <c r="D789" t="s">
        <v>14</v>
      </c>
      <c r="E789">
        <v>6</v>
      </c>
      <c r="F789" t="str">
        <f>_xlfn.XLOOKUP(C789,Customers!$A$2:$A$1001,Customers!$B$2:$B$1001)</f>
        <v>Beryl Osborn</v>
      </c>
      <c r="G789">
        <f>_xlfn.XLOOKUP(C789,Customers!$A$2:$A$1001,Customers!$C$2:$C$1001)</f>
        <v>0</v>
      </c>
      <c r="H789" t="str">
        <f>_xlfn.XLOOKUP(C789,Customers!$A$2:$A$1001,Customers!$G$2:$G$1001)</f>
        <v>United States</v>
      </c>
      <c r="I789" t="str" cm="1">
        <f t="array" ref="I789:L789">_xlfn.XLOOKUP(D789,products!$A$2:$A$49,products!$B$2:$E$49)</f>
        <v>Exc</v>
      </c>
      <c r="J789" t="str">
        <v>M</v>
      </c>
      <c r="K789" s="8">
        <v>1</v>
      </c>
      <c r="L789" s="6">
        <v>13.75</v>
      </c>
      <c r="M789" s="7">
        <f t="shared" si="36"/>
        <v>82.5</v>
      </c>
      <c r="N789" t="str">
        <f t="shared" si="37"/>
        <v>Excelsa</v>
      </c>
      <c r="O789" t="str">
        <f t="shared" si="38"/>
        <v>Medium</v>
      </c>
      <c r="P789" t="str">
        <f>_xlfn.XLOOKUP(Orders!C789,Customers!$A$2:$A$1001,Customers!$I$2:$I$1001)</f>
        <v>Yes</v>
      </c>
    </row>
    <row r="790" spans="1:16" x14ac:dyDescent="0.3">
      <c r="A790" t="s">
        <v>1533</v>
      </c>
      <c r="B790" s="11">
        <v>44771</v>
      </c>
      <c r="C790" t="s">
        <v>1534</v>
      </c>
      <c r="D790" t="s">
        <v>46</v>
      </c>
      <c r="E790">
        <v>2</v>
      </c>
      <c r="F790" t="str">
        <f>_xlfn.XLOOKUP(C790,Customers!$A$2:$A$1001,Customers!$B$2:$B$1001)</f>
        <v>Kaela Nottram</v>
      </c>
      <c r="G790" t="str">
        <f>_xlfn.XLOOKUP(C790,Customers!$A$2:$A$1001,Customers!$C$2:$C$1001)</f>
        <v>knottramlw@odnoklassniki.ru</v>
      </c>
      <c r="H790" t="str">
        <f>_xlfn.XLOOKUP(C790,Customers!$A$2:$A$1001,Customers!$G$2:$G$1001)</f>
        <v>Ireland</v>
      </c>
      <c r="I790" t="str" cm="1">
        <f t="array" ref="I790:L790">_xlfn.XLOOKUP(D790,products!$A$2:$A$49,products!$B$2:$E$49)</f>
        <v>Rob</v>
      </c>
      <c r="J790" t="str">
        <v>M</v>
      </c>
      <c r="K790" s="8">
        <v>2.5</v>
      </c>
      <c r="L790" s="6">
        <v>22.884999999999998</v>
      </c>
      <c r="M790" s="7">
        <f t="shared" si="36"/>
        <v>45.769999999999996</v>
      </c>
      <c r="N790" t="str">
        <f t="shared" si="37"/>
        <v>Robusta</v>
      </c>
      <c r="O790" t="str">
        <f t="shared" si="38"/>
        <v>Medium</v>
      </c>
      <c r="P790" t="str">
        <f>_xlfn.XLOOKUP(Orders!C790,Customers!$A$2:$A$1001,Customers!$I$2:$I$1001)</f>
        <v>Yes</v>
      </c>
    </row>
    <row r="791" spans="1:16" x14ac:dyDescent="0.3">
      <c r="A791" t="s">
        <v>1535</v>
      </c>
      <c r="B791" s="11">
        <v>43485</v>
      </c>
      <c r="C791" t="s">
        <v>1536</v>
      </c>
      <c r="D791" t="s">
        <v>11</v>
      </c>
      <c r="E791">
        <v>6</v>
      </c>
      <c r="F791" t="str">
        <f>_xlfn.XLOOKUP(C791,Customers!$A$2:$A$1001,Customers!$B$2:$B$1001)</f>
        <v>Nobe Buney</v>
      </c>
      <c r="G791" t="str">
        <f>_xlfn.XLOOKUP(C791,Customers!$A$2:$A$1001,Customers!$C$2:$C$1001)</f>
        <v>nbuneylx@jugem.jp</v>
      </c>
      <c r="H791" t="str">
        <f>_xlfn.XLOOKUP(C791,Customers!$A$2:$A$1001,Customers!$G$2:$G$1001)</f>
        <v>United States</v>
      </c>
      <c r="I791" t="str" cm="1">
        <f t="array" ref="I791:L791">_xlfn.XLOOKUP(D791,products!$A$2:$A$49,products!$B$2:$E$49)</f>
        <v>Ara</v>
      </c>
      <c r="J791" t="str">
        <v>L</v>
      </c>
      <c r="K791" s="8">
        <v>1</v>
      </c>
      <c r="L791" s="6">
        <v>12.95</v>
      </c>
      <c r="M791" s="7">
        <f t="shared" si="36"/>
        <v>77.699999999999989</v>
      </c>
      <c r="N791" t="str">
        <f t="shared" si="37"/>
        <v>Arasbica</v>
      </c>
      <c r="O791" t="str">
        <f t="shared" si="38"/>
        <v>Lite</v>
      </c>
      <c r="P791" t="str">
        <f>_xlfn.XLOOKUP(Orders!C791,Customers!$A$2:$A$1001,Customers!$I$2:$I$1001)</f>
        <v>No</v>
      </c>
    </row>
    <row r="792" spans="1:16" x14ac:dyDescent="0.3">
      <c r="A792" t="s">
        <v>1537</v>
      </c>
      <c r="B792" s="11">
        <v>44613</v>
      </c>
      <c r="C792" t="s">
        <v>1538</v>
      </c>
      <c r="D792" t="s">
        <v>197</v>
      </c>
      <c r="E792">
        <v>3</v>
      </c>
      <c r="F792" t="str">
        <f>_xlfn.XLOOKUP(C792,Customers!$A$2:$A$1001,Customers!$B$2:$B$1001)</f>
        <v>Silvan McShea</v>
      </c>
      <c r="G792" t="str">
        <f>_xlfn.XLOOKUP(C792,Customers!$A$2:$A$1001,Customers!$C$2:$C$1001)</f>
        <v>smcshealy@photobucket.com</v>
      </c>
      <c r="H792" t="str">
        <f>_xlfn.XLOOKUP(C792,Customers!$A$2:$A$1001,Customers!$G$2:$G$1001)</f>
        <v>United States</v>
      </c>
      <c r="I792" t="str" cm="1">
        <f t="array" ref="I792:L792">_xlfn.XLOOKUP(D792,products!$A$2:$A$49,products!$B$2:$E$49)</f>
        <v>Ara</v>
      </c>
      <c r="J792" t="str">
        <v>L</v>
      </c>
      <c r="K792" s="8">
        <v>0.5</v>
      </c>
      <c r="L792" s="6">
        <v>7.77</v>
      </c>
      <c r="M792" s="7">
        <f t="shared" si="36"/>
        <v>23.31</v>
      </c>
      <c r="N792" t="str">
        <f t="shared" si="37"/>
        <v>Arasbica</v>
      </c>
      <c r="O792" t="str">
        <f t="shared" si="38"/>
        <v>Lite</v>
      </c>
      <c r="P792" t="str">
        <f>_xlfn.XLOOKUP(Orders!C792,Customers!$A$2:$A$1001,Customers!$I$2:$I$1001)</f>
        <v>No</v>
      </c>
    </row>
    <row r="793" spans="1:16" x14ac:dyDescent="0.3">
      <c r="A793" t="s">
        <v>1539</v>
      </c>
      <c r="B793" s="11">
        <v>43954</v>
      </c>
      <c r="C793" t="s">
        <v>1540</v>
      </c>
      <c r="D793" t="s">
        <v>24</v>
      </c>
      <c r="E793">
        <v>5</v>
      </c>
      <c r="F793" t="str">
        <f>_xlfn.XLOOKUP(C793,Customers!$A$2:$A$1001,Customers!$B$2:$B$1001)</f>
        <v>Karylin Huddart</v>
      </c>
      <c r="G793" t="str">
        <f>_xlfn.XLOOKUP(C793,Customers!$A$2:$A$1001,Customers!$C$2:$C$1001)</f>
        <v>khuddartlz@about.com</v>
      </c>
      <c r="H793" t="str">
        <f>_xlfn.XLOOKUP(C793,Customers!$A$2:$A$1001,Customers!$G$2:$G$1001)</f>
        <v>United States</v>
      </c>
      <c r="I793" t="str" cm="1">
        <f t="array" ref="I793:L793">_xlfn.XLOOKUP(D793,products!$A$2:$A$49,products!$B$2:$E$49)</f>
        <v>Lib</v>
      </c>
      <c r="J793" t="str">
        <v>L</v>
      </c>
      <c r="K793" s="8">
        <v>0.2</v>
      </c>
      <c r="L793" s="6">
        <v>4.7549999999999999</v>
      </c>
      <c r="M793" s="7">
        <f t="shared" si="36"/>
        <v>23.774999999999999</v>
      </c>
      <c r="N793" t="str">
        <f t="shared" si="37"/>
        <v>Liberica</v>
      </c>
      <c r="O793" t="str">
        <f t="shared" si="38"/>
        <v>Lite</v>
      </c>
      <c r="P793" t="str">
        <f>_xlfn.XLOOKUP(Orders!C793,Customers!$A$2:$A$1001,Customers!$I$2:$I$1001)</f>
        <v>Yes</v>
      </c>
    </row>
    <row r="794" spans="1:16" x14ac:dyDescent="0.3">
      <c r="A794" t="s">
        <v>1541</v>
      </c>
      <c r="B794" s="11">
        <v>43545</v>
      </c>
      <c r="C794" t="s">
        <v>1542</v>
      </c>
      <c r="D794" t="s">
        <v>83</v>
      </c>
      <c r="E794">
        <v>6</v>
      </c>
      <c r="F794" t="str">
        <f>_xlfn.XLOOKUP(C794,Customers!$A$2:$A$1001,Customers!$B$2:$B$1001)</f>
        <v>Jereme Gippes</v>
      </c>
      <c r="G794" t="str">
        <f>_xlfn.XLOOKUP(C794,Customers!$A$2:$A$1001,Customers!$C$2:$C$1001)</f>
        <v>jgippesm0@cloudflare.com</v>
      </c>
      <c r="H794" t="str">
        <f>_xlfn.XLOOKUP(C794,Customers!$A$2:$A$1001,Customers!$G$2:$G$1001)</f>
        <v>United Kingdom</v>
      </c>
      <c r="I794" t="str" cm="1">
        <f t="array" ref="I794:L794">_xlfn.XLOOKUP(D794,products!$A$2:$A$49,products!$B$2:$E$49)</f>
        <v>Lib</v>
      </c>
      <c r="J794" t="str">
        <v>M</v>
      </c>
      <c r="K794" s="8">
        <v>0.5</v>
      </c>
      <c r="L794" s="6">
        <v>8.73</v>
      </c>
      <c r="M794" s="7">
        <f t="shared" si="36"/>
        <v>52.38</v>
      </c>
      <c r="N794" t="str">
        <f t="shared" si="37"/>
        <v>Liberica</v>
      </c>
      <c r="O794" t="str">
        <f t="shared" si="38"/>
        <v>Medium</v>
      </c>
      <c r="P794" t="str">
        <f>_xlfn.XLOOKUP(Orders!C794,Customers!$A$2:$A$1001,Customers!$I$2:$I$1001)</f>
        <v>Yes</v>
      </c>
    </row>
    <row r="795" spans="1:16" x14ac:dyDescent="0.3">
      <c r="A795" t="s">
        <v>1543</v>
      </c>
      <c r="B795" s="11">
        <v>43629</v>
      </c>
      <c r="C795" t="s">
        <v>1544</v>
      </c>
      <c r="D795" t="s">
        <v>187</v>
      </c>
      <c r="E795">
        <v>5</v>
      </c>
      <c r="F795" t="str">
        <f>_xlfn.XLOOKUP(C795,Customers!$A$2:$A$1001,Customers!$B$2:$B$1001)</f>
        <v>Lukas Whittlesee</v>
      </c>
      <c r="G795" t="str">
        <f>_xlfn.XLOOKUP(C795,Customers!$A$2:$A$1001,Customers!$C$2:$C$1001)</f>
        <v>lwhittleseem1@e-recht24.de</v>
      </c>
      <c r="H795" t="str">
        <f>_xlfn.XLOOKUP(C795,Customers!$A$2:$A$1001,Customers!$G$2:$G$1001)</f>
        <v>United States</v>
      </c>
      <c r="I795" t="str" cm="1">
        <f t="array" ref="I795:L795">_xlfn.XLOOKUP(D795,products!$A$2:$A$49,products!$B$2:$E$49)</f>
        <v>Rob</v>
      </c>
      <c r="J795" t="str">
        <v>L</v>
      </c>
      <c r="K795" s="8">
        <v>0.2</v>
      </c>
      <c r="L795" s="6">
        <v>3.5849999999999995</v>
      </c>
      <c r="M795" s="7">
        <f t="shared" si="36"/>
        <v>17.924999999999997</v>
      </c>
      <c r="N795" t="str">
        <f t="shared" si="37"/>
        <v>Robusta</v>
      </c>
      <c r="O795" t="str">
        <f t="shared" si="38"/>
        <v>Lite</v>
      </c>
      <c r="P795" t="str">
        <f>_xlfn.XLOOKUP(Orders!C795,Customers!$A$2:$A$1001,Customers!$I$2:$I$1001)</f>
        <v>No</v>
      </c>
    </row>
    <row r="796" spans="1:16" x14ac:dyDescent="0.3">
      <c r="A796" t="s">
        <v>1545</v>
      </c>
      <c r="B796" s="11">
        <v>43987</v>
      </c>
      <c r="C796" t="s">
        <v>1546</v>
      </c>
      <c r="D796" t="s">
        <v>209</v>
      </c>
      <c r="E796">
        <v>5</v>
      </c>
      <c r="F796" t="str">
        <f>_xlfn.XLOOKUP(C796,Customers!$A$2:$A$1001,Customers!$B$2:$B$1001)</f>
        <v>Gregorius Trengrove</v>
      </c>
      <c r="G796" t="str">
        <f>_xlfn.XLOOKUP(C796,Customers!$A$2:$A$1001,Customers!$C$2:$C$1001)</f>
        <v>gtrengrovem2@elpais.com</v>
      </c>
      <c r="H796" t="str">
        <f>_xlfn.XLOOKUP(C796,Customers!$A$2:$A$1001,Customers!$G$2:$G$1001)</f>
        <v>United States</v>
      </c>
      <c r="I796" t="str" cm="1">
        <f t="array" ref="I796:L796">_xlfn.XLOOKUP(D796,products!$A$2:$A$49,products!$B$2:$E$49)</f>
        <v>Ara</v>
      </c>
      <c r="J796" t="str">
        <v>L</v>
      </c>
      <c r="K796" s="8">
        <v>2.5</v>
      </c>
      <c r="L796" s="6">
        <v>29.784999999999997</v>
      </c>
      <c r="M796" s="7">
        <f t="shared" si="36"/>
        <v>148.92499999999998</v>
      </c>
      <c r="N796" t="str">
        <f t="shared" si="37"/>
        <v>Arasbica</v>
      </c>
      <c r="O796" t="str">
        <f t="shared" si="38"/>
        <v>Lite</v>
      </c>
      <c r="P796" t="str">
        <f>_xlfn.XLOOKUP(Orders!C796,Customers!$A$2:$A$1001,Customers!$I$2:$I$1001)</f>
        <v>No</v>
      </c>
    </row>
    <row r="797" spans="1:16" x14ac:dyDescent="0.3">
      <c r="A797" t="s">
        <v>1547</v>
      </c>
      <c r="B797" s="11">
        <v>43540</v>
      </c>
      <c r="C797" t="s">
        <v>1548</v>
      </c>
      <c r="D797" t="s">
        <v>162</v>
      </c>
      <c r="E797">
        <v>4</v>
      </c>
      <c r="F797" t="str">
        <f>_xlfn.XLOOKUP(C797,Customers!$A$2:$A$1001,Customers!$B$2:$B$1001)</f>
        <v>Wright Caldero</v>
      </c>
      <c r="G797" t="str">
        <f>_xlfn.XLOOKUP(C797,Customers!$A$2:$A$1001,Customers!$C$2:$C$1001)</f>
        <v>wcalderom3@stumbleupon.com</v>
      </c>
      <c r="H797" t="str">
        <f>_xlfn.XLOOKUP(C797,Customers!$A$2:$A$1001,Customers!$G$2:$G$1001)</f>
        <v>United States</v>
      </c>
      <c r="I797" t="str" cm="1">
        <f t="array" ref="I797:L797">_xlfn.XLOOKUP(D797,products!$A$2:$A$49,products!$B$2:$E$49)</f>
        <v>Rob</v>
      </c>
      <c r="J797" t="str">
        <v>L</v>
      </c>
      <c r="K797" s="8">
        <v>0.5</v>
      </c>
      <c r="L797" s="6">
        <v>7.169999999999999</v>
      </c>
      <c r="M797" s="7">
        <f t="shared" si="36"/>
        <v>28.679999999999996</v>
      </c>
      <c r="N797" t="str">
        <f t="shared" si="37"/>
        <v>Robusta</v>
      </c>
      <c r="O797" t="str">
        <f t="shared" si="38"/>
        <v>Lite</v>
      </c>
      <c r="P797" t="str">
        <f>_xlfn.XLOOKUP(Orders!C797,Customers!$A$2:$A$1001,Customers!$I$2:$I$1001)</f>
        <v>No</v>
      </c>
    </row>
    <row r="798" spans="1:16" x14ac:dyDescent="0.3">
      <c r="A798" t="s">
        <v>1549</v>
      </c>
      <c r="B798" s="11">
        <v>44533</v>
      </c>
      <c r="C798" t="s">
        <v>1550</v>
      </c>
      <c r="D798" t="s">
        <v>88</v>
      </c>
      <c r="E798">
        <v>1</v>
      </c>
      <c r="F798" t="str">
        <f>_xlfn.XLOOKUP(C798,Customers!$A$2:$A$1001,Customers!$B$2:$B$1001)</f>
        <v>Merell Zanazzi</v>
      </c>
      <c r="G798">
        <f>_xlfn.XLOOKUP(C798,Customers!$A$2:$A$1001,Customers!$C$2:$C$1001)</f>
        <v>0</v>
      </c>
      <c r="H798" t="str">
        <f>_xlfn.XLOOKUP(C798,Customers!$A$2:$A$1001,Customers!$G$2:$G$1001)</f>
        <v>United States</v>
      </c>
      <c r="I798" t="str" cm="1">
        <f t="array" ref="I798:L798">_xlfn.XLOOKUP(D798,products!$A$2:$A$49,products!$B$2:$E$49)</f>
        <v>Lib</v>
      </c>
      <c r="J798" t="str">
        <v>L</v>
      </c>
      <c r="K798" s="8">
        <v>0.5</v>
      </c>
      <c r="L798" s="6">
        <v>9.51</v>
      </c>
      <c r="M798" s="7">
        <f t="shared" si="36"/>
        <v>9.51</v>
      </c>
      <c r="N798" t="str">
        <f t="shared" si="37"/>
        <v>Liberica</v>
      </c>
      <c r="O798" t="str">
        <f t="shared" si="38"/>
        <v>Lite</v>
      </c>
      <c r="P798" t="str">
        <f>_xlfn.XLOOKUP(Orders!C798,Customers!$A$2:$A$1001,Customers!$I$2:$I$1001)</f>
        <v>No</v>
      </c>
    </row>
    <row r="799" spans="1:16" x14ac:dyDescent="0.3">
      <c r="A799" t="s">
        <v>1551</v>
      </c>
      <c r="B799" s="11">
        <v>44751</v>
      </c>
      <c r="C799" t="s">
        <v>1552</v>
      </c>
      <c r="D799" t="s">
        <v>197</v>
      </c>
      <c r="E799">
        <v>4</v>
      </c>
      <c r="F799" t="str">
        <f>_xlfn.XLOOKUP(C799,Customers!$A$2:$A$1001,Customers!$B$2:$B$1001)</f>
        <v>Jed Kennicott</v>
      </c>
      <c r="G799" t="str">
        <f>_xlfn.XLOOKUP(C799,Customers!$A$2:$A$1001,Customers!$C$2:$C$1001)</f>
        <v>jkennicottm5@yahoo.co.jp</v>
      </c>
      <c r="H799" t="str">
        <f>_xlfn.XLOOKUP(C799,Customers!$A$2:$A$1001,Customers!$G$2:$G$1001)</f>
        <v>United States</v>
      </c>
      <c r="I799" t="str" cm="1">
        <f t="array" ref="I799:L799">_xlfn.XLOOKUP(D799,products!$A$2:$A$49,products!$B$2:$E$49)</f>
        <v>Ara</v>
      </c>
      <c r="J799" t="str">
        <v>L</v>
      </c>
      <c r="K799" s="8">
        <v>0.5</v>
      </c>
      <c r="L799" s="6">
        <v>7.77</v>
      </c>
      <c r="M799" s="7">
        <f t="shared" si="36"/>
        <v>31.08</v>
      </c>
      <c r="N799" t="str">
        <f t="shared" si="37"/>
        <v>Arasbica</v>
      </c>
      <c r="O799" t="str">
        <f t="shared" si="38"/>
        <v>Lite</v>
      </c>
      <c r="P799" t="str">
        <f>_xlfn.XLOOKUP(Orders!C799,Customers!$A$2:$A$1001,Customers!$I$2:$I$1001)</f>
        <v>No</v>
      </c>
    </row>
    <row r="800" spans="1:16" x14ac:dyDescent="0.3">
      <c r="A800" t="s">
        <v>1553</v>
      </c>
      <c r="B800" s="11">
        <v>43950</v>
      </c>
      <c r="C800" t="s">
        <v>1554</v>
      </c>
      <c r="D800" t="s">
        <v>106</v>
      </c>
      <c r="E800">
        <v>3</v>
      </c>
      <c r="F800" t="str">
        <f>_xlfn.XLOOKUP(C800,Customers!$A$2:$A$1001,Customers!$B$2:$B$1001)</f>
        <v>Guenevere Ruggen</v>
      </c>
      <c r="G800" t="str">
        <f>_xlfn.XLOOKUP(C800,Customers!$A$2:$A$1001,Customers!$C$2:$C$1001)</f>
        <v>gruggenm6@nymag.com</v>
      </c>
      <c r="H800" t="str">
        <f>_xlfn.XLOOKUP(C800,Customers!$A$2:$A$1001,Customers!$G$2:$G$1001)</f>
        <v>United States</v>
      </c>
      <c r="I800" t="str" cm="1">
        <f t="array" ref="I800:L800">_xlfn.XLOOKUP(D800,products!$A$2:$A$49,products!$B$2:$E$49)</f>
        <v>Rob</v>
      </c>
      <c r="J800" t="str">
        <v>D</v>
      </c>
      <c r="K800" s="8">
        <v>0.2</v>
      </c>
      <c r="L800" s="6">
        <v>2.6849999999999996</v>
      </c>
      <c r="M800" s="7">
        <f t="shared" si="36"/>
        <v>8.0549999999999997</v>
      </c>
      <c r="N800" t="str">
        <f t="shared" si="37"/>
        <v>Robusta</v>
      </c>
      <c r="O800" t="str">
        <f t="shared" si="38"/>
        <v>Dark</v>
      </c>
      <c r="P800" t="str">
        <f>_xlfn.XLOOKUP(Orders!C800,Customers!$A$2:$A$1001,Customers!$I$2:$I$1001)</f>
        <v>Yes</v>
      </c>
    </row>
    <row r="801" spans="1:16" x14ac:dyDescent="0.3">
      <c r="A801" t="s">
        <v>1555</v>
      </c>
      <c r="B801" s="11">
        <v>44588</v>
      </c>
      <c r="C801" t="s">
        <v>1556</v>
      </c>
      <c r="D801" t="s">
        <v>250</v>
      </c>
      <c r="E801">
        <v>3</v>
      </c>
      <c r="F801" t="str">
        <f>_xlfn.XLOOKUP(C801,Customers!$A$2:$A$1001,Customers!$B$2:$B$1001)</f>
        <v>Gonzales Cicculi</v>
      </c>
      <c r="G801">
        <f>_xlfn.XLOOKUP(C801,Customers!$A$2:$A$1001,Customers!$C$2:$C$1001)</f>
        <v>0</v>
      </c>
      <c r="H801" t="str">
        <f>_xlfn.XLOOKUP(C801,Customers!$A$2:$A$1001,Customers!$G$2:$G$1001)</f>
        <v>United States</v>
      </c>
      <c r="I801" t="str" cm="1">
        <f t="array" ref="I801:L801">_xlfn.XLOOKUP(D801,products!$A$2:$A$49,products!$B$2:$E$49)</f>
        <v>Exc</v>
      </c>
      <c r="J801" t="str">
        <v>D</v>
      </c>
      <c r="K801" s="8">
        <v>1</v>
      </c>
      <c r="L801" s="6">
        <v>12.15</v>
      </c>
      <c r="M801" s="7">
        <f t="shared" si="36"/>
        <v>36.450000000000003</v>
      </c>
      <c r="N801" t="str">
        <f t="shared" si="37"/>
        <v>Excelsa</v>
      </c>
      <c r="O801" t="str">
        <f t="shared" si="38"/>
        <v>Dark</v>
      </c>
      <c r="P801" t="str">
        <f>_xlfn.XLOOKUP(Orders!C801,Customers!$A$2:$A$1001,Customers!$I$2:$I$1001)</f>
        <v>Yes</v>
      </c>
    </row>
    <row r="802" spans="1:16" x14ac:dyDescent="0.3">
      <c r="A802" t="s">
        <v>1557</v>
      </c>
      <c r="B802" s="11">
        <v>44240</v>
      </c>
      <c r="C802" t="s">
        <v>1558</v>
      </c>
      <c r="D802" t="s">
        <v>106</v>
      </c>
      <c r="E802">
        <v>6</v>
      </c>
      <c r="F802" t="str">
        <f>_xlfn.XLOOKUP(C802,Customers!$A$2:$A$1001,Customers!$B$2:$B$1001)</f>
        <v>Man Fright</v>
      </c>
      <c r="G802" t="str">
        <f>_xlfn.XLOOKUP(C802,Customers!$A$2:$A$1001,Customers!$C$2:$C$1001)</f>
        <v>mfrightm8@harvard.edu</v>
      </c>
      <c r="H802" t="str">
        <f>_xlfn.XLOOKUP(C802,Customers!$A$2:$A$1001,Customers!$G$2:$G$1001)</f>
        <v>Ireland</v>
      </c>
      <c r="I802" t="str" cm="1">
        <f t="array" ref="I802:L802">_xlfn.XLOOKUP(D802,products!$A$2:$A$49,products!$B$2:$E$49)</f>
        <v>Rob</v>
      </c>
      <c r="J802" t="str">
        <v>D</v>
      </c>
      <c r="K802" s="8">
        <v>0.2</v>
      </c>
      <c r="L802" s="6">
        <v>2.6849999999999996</v>
      </c>
      <c r="M802" s="7">
        <f t="shared" si="36"/>
        <v>16.11</v>
      </c>
      <c r="N802" t="str">
        <f t="shared" si="37"/>
        <v>Robusta</v>
      </c>
      <c r="O802" t="str">
        <f t="shared" si="38"/>
        <v>Dark</v>
      </c>
      <c r="P802" t="str">
        <f>_xlfn.XLOOKUP(Orders!C802,Customers!$A$2:$A$1001,Customers!$I$2:$I$1001)</f>
        <v>No</v>
      </c>
    </row>
    <row r="803" spans="1:16" x14ac:dyDescent="0.3">
      <c r="A803" t="s">
        <v>1559</v>
      </c>
      <c r="B803" s="11">
        <v>44025</v>
      </c>
      <c r="C803" t="s">
        <v>1560</v>
      </c>
      <c r="D803" t="s">
        <v>40</v>
      </c>
      <c r="E803">
        <v>2</v>
      </c>
      <c r="F803" t="str">
        <f>_xlfn.XLOOKUP(C803,Customers!$A$2:$A$1001,Customers!$B$2:$B$1001)</f>
        <v>Boyce Tarte</v>
      </c>
      <c r="G803" t="str">
        <f>_xlfn.XLOOKUP(C803,Customers!$A$2:$A$1001,Customers!$C$2:$C$1001)</f>
        <v>btartem9@aol.com</v>
      </c>
      <c r="H803" t="str">
        <f>_xlfn.XLOOKUP(C803,Customers!$A$2:$A$1001,Customers!$G$2:$G$1001)</f>
        <v>United States</v>
      </c>
      <c r="I803" t="str" cm="1">
        <f t="array" ref="I803:L803">_xlfn.XLOOKUP(D803,products!$A$2:$A$49,products!$B$2:$E$49)</f>
        <v>Rob</v>
      </c>
      <c r="J803" t="str">
        <v>D</v>
      </c>
      <c r="K803" s="8">
        <v>2.5</v>
      </c>
      <c r="L803" s="6">
        <v>20.584999999999997</v>
      </c>
      <c r="M803" s="7">
        <f t="shared" si="36"/>
        <v>41.169999999999995</v>
      </c>
      <c r="N803" t="str">
        <f t="shared" si="37"/>
        <v>Robusta</v>
      </c>
      <c r="O803" t="str">
        <f t="shared" si="38"/>
        <v>Dark</v>
      </c>
      <c r="P803" t="str">
        <f>_xlfn.XLOOKUP(Orders!C803,Customers!$A$2:$A$1001,Customers!$I$2:$I$1001)</f>
        <v>Yes</v>
      </c>
    </row>
    <row r="804" spans="1:16" x14ac:dyDescent="0.3">
      <c r="A804" t="s">
        <v>1561</v>
      </c>
      <c r="B804" s="11">
        <v>43902</v>
      </c>
      <c r="C804" t="s">
        <v>1562</v>
      </c>
      <c r="D804" t="s">
        <v>106</v>
      </c>
      <c r="E804">
        <v>4</v>
      </c>
      <c r="F804" t="str">
        <f>_xlfn.XLOOKUP(C804,Customers!$A$2:$A$1001,Customers!$B$2:$B$1001)</f>
        <v>Caddric Krzysztofiak</v>
      </c>
      <c r="G804" t="str">
        <f>_xlfn.XLOOKUP(C804,Customers!$A$2:$A$1001,Customers!$C$2:$C$1001)</f>
        <v>ckrzysztofiakma@skyrock.com</v>
      </c>
      <c r="H804" t="str">
        <f>_xlfn.XLOOKUP(C804,Customers!$A$2:$A$1001,Customers!$G$2:$G$1001)</f>
        <v>United States</v>
      </c>
      <c r="I804" t="str" cm="1">
        <f t="array" ref="I804:L804">_xlfn.XLOOKUP(D804,products!$A$2:$A$49,products!$B$2:$E$49)</f>
        <v>Rob</v>
      </c>
      <c r="J804" t="str">
        <v>D</v>
      </c>
      <c r="K804" s="8">
        <v>0.2</v>
      </c>
      <c r="L804" s="6">
        <v>2.6849999999999996</v>
      </c>
      <c r="M804" s="7">
        <f t="shared" si="36"/>
        <v>10.739999999999998</v>
      </c>
      <c r="N804" t="str">
        <f t="shared" si="37"/>
        <v>Robusta</v>
      </c>
      <c r="O804" t="str">
        <f t="shared" si="38"/>
        <v>Dark</v>
      </c>
      <c r="P804" t="str">
        <f>_xlfn.XLOOKUP(Orders!C804,Customers!$A$2:$A$1001,Customers!$I$2:$I$1001)</f>
        <v>No</v>
      </c>
    </row>
    <row r="805" spans="1:16" x14ac:dyDescent="0.3">
      <c r="A805" t="s">
        <v>1563</v>
      </c>
      <c r="B805" s="11">
        <v>43955</v>
      </c>
      <c r="C805" t="s">
        <v>1564</v>
      </c>
      <c r="D805" t="s">
        <v>117</v>
      </c>
      <c r="E805">
        <v>4</v>
      </c>
      <c r="F805" t="str">
        <f>_xlfn.XLOOKUP(C805,Customers!$A$2:$A$1001,Customers!$B$2:$B$1001)</f>
        <v>Darn Penquet</v>
      </c>
      <c r="G805" t="str">
        <f>_xlfn.XLOOKUP(C805,Customers!$A$2:$A$1001,Customers!$C$2:$C$1001)</f>
        <v>dpenquetmb@diigo.com</v>
      </c>
      <c r="H805" t="str">
        <f>_xlfn.XLOOKUP(C805,Customers!$A$2:$A$1001,Customers!$G$2:$G$1001)</f>
        <v>United States</v>
      </c>
      <c r="I805" t="str" cm="1">
        <f t="array" ref="I805:L805">_xlfn.XLOOKUP(D805,products!$A$2:$A$49,products!$B$2:$E$49)</f>
        <v>Exc</v>
      </c>
      <c r="J805" t="str">
        <v>M</v>
      </c>
      <c r="K805" s="8">
        <v>2.5</v>
      </c>
      <c r="L805" s="6">
        <v>31.624999999999996</v>
      </c>
      <c r="M805" s="7">
        <f t="shared" si="36"/>
        <v>126.49999999999999</v>
      </c>
      <c r="N805" t="str">
        <f t="shared" si="37"/>
        <v>Excelsa</v>
      </c>
      <c r="O805" t="str">
        <f t="shared" si="38"/>
        <v>Medium</v>
      </c>
      <c r="P805" t="str">
        <f>_xlfn.XLOOKUP(Orders!C805,Customers!$A$2:$A$1001,Customers!$I$2:$I$1001)</f>
        <v>No</v>
      </c>
    </row>
    <row r="806" spans="1:16" x14ac:dyDescent="0.3">
      <c r="A806" t="s">
        <v>1565</v>
      </c>
      <c r="B806" s="11">
        <v>44289</v>
      </c>
      <c r="C806" t="s">
        <v>1566</v>
      </c>
      <c r="D806" t="s">
        <v>194</v>
      </c>
      <c r="E806">
        <v>2</v>
      </c>
      <c r="F806" t="str">
        <f>_xlfn.XLOOKUP(C806,Customers!$A$2:$A$1001,Customers!$B$2:$B$1001)</f>
        <v>Jammie Cloke</v>
      </c>
      <c r="G806">
        <f>_xlfn.XLOOKUP(C806,Customers!$A$2:$A$1001,Customers!$C$2:$C$1001)</f>
        <v>0</v>
      </c>
      <c r="H806" t="str">
        <f>_xlfn.XLOOKUP(C806,Customers!$A$2:$A$1001,Customers!$G$2:$G$1001)</f>
        <v>United Kingdom</v>
      </c>
      <c r="I806" t="str" cm="1">
        <f t="array" ref="I806:L806">_xlfn.XLOOKUP(D806,products!$A$2:$A$49,products!$B$2:$E$49)</f>
        <v>Rob</v>
      </c>
      <c r="J806" t="str">
        <v>L</v>
      </c>
      <c r="K806" s="8">
        <v>1</v>
      </c>
      <c r="L806" s="6">
        <v>11.95</v>
      </c>
      <c r="M806" s="7">
        <f t="shared" si="36"/>
        <v>23.9</v>
      </c>
      <c r="N806" t="str">
        <f t="shared" si="37"/>
        <v>Robusta</v>
      </c>
      <c r="O806" t="str">
        <f t="shared" si="38"/>
        <v>Lite</v>
      </c>
      <c r="P806" t="str">
        <f>_xlfn.XLOOKUP(Orders!C806,Customers!$A$2:$A$1001,Customers!$I$2:$I$1001)</f>
        <v>No</v>
      </c>
    </row>
    <row r="807" spans="1:16" x14ac:dyDescent="0.3">
      <c r="A807" t="s">
        <v>1567</v>
      </c>
      <c r="B807" s="11">
        <v>44713</v>
      </c>
      <c r="C807" t="s">
        <v>1568</v>
      </c>
      <c r="D807" t="s">
        <v>27</v>
      </c>
      <c r="E807">
        <v>1</v>
      </c>
      <c r="F807" t="str">
        <f>_xlfn.XLOOKUP(C807,Customers!$A$2:$A$1001,Customers!$B$2:$B$1001)</f>
        <v>Chester Clowton</v>
      </c>
      <c r="G807">
        <f>_xlfn.XLOOKUP(C807,Customers!$A$2:$A$1001,Customers!$C$2:$C$1001)</f>
        <v>0</v>
      </c>
      <c r="H807" t="str">
        <f>_xlfn.XLOOKUP(C807,Customers!$A$2:$A$1001,Customers!$G$2:$G$1001)</f>
        <v>United States</v>
      </c>
      <c r="I807" t="str" cm="1">
        <f t="array" ref="I807:L807">_xlfn.XLOOKUP(D807,products!$A$2:$A$49,products!$B$2:$E$49)</f>
        <v>Rob</v>
      </c>
      <c r="J807" t="str">
        <v>M</v>
      </c>
      <c r="K807" s="8">
        <v>0.5</v>
      </c>
      <c r="L807" s="6">
        <v>5.97</v>
      </c>
      <c r="M807" s="7">
        <f t="shared" si="36"/>
        <v>5.97</v>
      </c>
      <c r="N807" t="str">
        <f t="shared" si="37"/>
        <v>Robusta</v>
      </c>
      <c r="O807" t="str">
        <f t="shared" si="38"/>
        <v>Medium</v>
      </c>
      <c r="P807" t="str">
        <f>_xlfn.XLOOKUP(Orders!C807,Customers!$A$2:$A$1001,Customers!$I$2:$I$1001)</f>
        <v>No</v>
      </c>
    </row>
    <row r="808" spans="1:16" x14ac:dyDescent="0.3">
      <c r="A808" t="s">
        <v>1569</v>
      </c>
      <c r="B808" s="11">
        <v>44241</v>
      </c>
      <c r="C808" t="s">
        <v>1570</v>
      </c>
      <c r="D808" t="s">
        <v>43</v>
      </c>
      <c r="E808">
        <v>2</v>
      </c>
      <c r="F808" t="str">
        <f>_xlfn.XLOOKUP(C808,Customers!$A$2:$A$1001,Customers!$B$2:$B$1001)</f>
        <v>Kathleen Diable</v>
      </c>
      <c r="G808">
        <f>_xlfn.XLOOKUP(C808,Customers!$A$2:$A$1001,Customers!$C$2:$C$1001)</f>
        <v>0</v>
      </c>
      <c r="H808" t="str">
        <f>_xlfn.XLOOKUP(C808,Customers!$A$2:$A$1001,Customers!$G$2:$G$1001)</f>
        <v>United Kingdom</v>
      </c>
      <c r="I808" t="str" cm="1">
        <f t="array" ref="I808:L808">_xlfn.XLOOKUP(D808,products!$A$2:$A$49,products!$B$2:$E$49)</f>
        <v>Lib</v>
      </c>
      <c r="J808" t="str">
        <v>D</v>
      </c>
      <c r="K808" s="8">
        <v>0.2</v>
      </c>
      <c r="L808" s="6">
        <v>3.8849999999999998</v>
      </c>
      <c r="M808" s="7">
        <f t="shared" si="36"/>
        <v>7.77</v>
      </c>
      <c r="N808" t="str">
        <f t="shared" si="37"/>
        <v>Liberica</v>
      </c>
      <c r="O808" t="str">
        <f t="shared" si="38"/>
        <v>Dark</v>
      </c>
      <c r="P808" t="str">
        <f>_xlfn.XLOOKUP(Orders!C808,Customers!$A$2:$A$1001,Customers!$I$2:$I$1001)</f>
        <v>Yes</v>
      </c>
    </row>
    <row r="809" spans="1:16" x14ac:dyDescent="0.3">
      <c r="A809" t="s">
        <v>1571</v>
      </c>
      <c r="B809" s="11">
        <v>44543</v>
      </c>
      <c r="C809" t="s">
        <v>1572</v>
      </c>
      <c r="D809" t="s">
        <v>128</v>
      </c>
      <c r="E809">
        <v>3</v>
      </c>
      <c r="F809" t="str">
        <f>_xlfn.XLOOKUP(C809,Customers!$A$2:$A$1001,Customers!$B$2:$B$1001)</f>
        <v>Koren Ferretti</v>
      </c>
      <c r="G809" t="str">
        <f>_xlfn.XLOOKUP(C809,Customers!$A$2:$A$1001,Customers!$C$2:$C$1001)</f>
        <v>kferrettimf@huffingtonpost.com</v>
      </c>
      <c r="H809" t="str">
        <f>_xlfn.XLOOKUP(C809,Customers!$A$2:$A$1001,Customers!$G$2:$G$1001)</f>
        <v>Ireland</v>
      </c>
      <c r="I809" t="str" cm="1">
        <f t="array" ref="I809:L809">_xlfn.XLOOKUP(D809,products!$A$2:$A$49,products!$B$2:$E$49)</f>
        <v>Lib</v>
      </c>
      <c r="J809" t="str">
        <v>D</v>
      </c>
      <c r="K809" s="8">
        <v>0.5</v>
      </c>
      <c r="L809" s="6">
        <v>7.77</v>
      </c>
      <c r="M809" s="7">
        <f t="shared" si="36"/>
        <v>23.31</v>
      </c>
      <c r="N809" t="str">
        <f t="shared" si="37"/>
        <v>Liberica</v>
      </c>
      <c r="O809" t="str">
        <f t="shared" si="38"/>
        <v>Dark</v>
      </c>
      <c r="P809" t="str">
        <f>_xlfn.XLOOKUP(Orders!C809,Customers!$A$2:$A$1001,Customers!$I$2:$I$1001)</f>
        <v>No</v>
      </c>
    </row>
    <row r="810" spans="1:16" x14ac:dyDescent="0.3">
      <c r="A810" t="s">
        <v>1573</v>
      </c>
      <c r="B810" s="11">
        <v>43868</v>
      </c>
      <c r="C810" t="s">
        <v>1574</v>
      </c>
      <c r="D810" t="s">
        <v>15</v>
      </c>
      <c r="E810">
        <v>5</v>
      </c>
      <c r="F810" t="str">
        <f>_xlfn.XLOOKUP(C810,Customers!$A$2:$A$1001,Customers!$B$2:$B$1001)</f>
        <v>Allis Wilmore</v>
      </c>
      <c r="G810">
        <f>_xlfn.XLOOKUP(C810,Customers!$A$2:$A$1001,Customers!$C$2:$C$1001)</f>
        <v>0</v>
      </c>
      <c r="H810" t="str">
        <f>_xlfn.XLOOKUP(C810,Customers!$A$2:$A$1001,Customers!$G$2:$G$1001)</f>
        <v>United States</v>
      </c>
      <c r="I810" t="str" cm="1">
        <f t="array" ref="I810:L810">_xlfn.XLOOKUP(D810,products!$A$2:$A$49,products!$B$2:$E$49)</f>
        <v>Rob</v>
      </c>
      <c r="J810" t="str">
        <v>L</v>
      </c>
      <c r="K810" s="8">
        <v>2.5</v>
      </c>
      <c r="L810" s="6">
        <v>27.484999999999996</v>
      </c>
      <c r="M810" s="7">
        <f t="shared" si="36"/>
        <v>137.42499999999998</v>
      </c>
      <c r="N810" t="str">
        <f t="shared" si="37"/>
        <v>Robusta</v>
      </c>
      <c r="O810" t="str">
        <f t="shared" si="38"/>
        <v>Lite</v>
      </c>
      <c r="P810" t="str">
        <f>_xlfn.XLOOKUP(Orders!C810,Customers!$A$2:$A$1001,Customers!$I$2:$I$1001)</f>
        <v>No</v>
      </c>
    </row>
    <row r="811" spans="1:16" x14ac:dyDescent="0.3">
      <c r="A811" t="s">
        <v>1575</v>
      </c>
      <c r="B811" s="11">
        <v>44235</v>
      </c>
      <c r="C811" t="s">
        <v>1576</v>
      </c>
      <c r="D811" t="s">
        <v>106</v>
      </c>
      <c r="E811">
        <v>3</v>
      </c>
      <c r="F811" t="str">
        <f>_xlfn.XLOOKUP(C811,Customers!$A$2:$A$1001,Customers!$B$2:$B$1001)</f>
        <v>Chaddie Bennie</v>
      </c>
      <c r="G811">
        <f>_xlfn.XLOOKUP(C811,Customers!$A$2:$A$1001,Customers!$C$2:$C$1001)</f>
        <v>0</v>
      </c>
      <c r="H811" t="str">
        <f>_xlfn.XLOOKUP(C811,Customers!$A$2:$A$1001,Customers!$G$2:$G$1001)</f>
        <v>United States</v>
      </c>
      <c r="I811" t="str" cm="1">
        <f t="array" ref="I811:L811">_xlfn.XLOOKUP(D811,products!$A$2:$A$49,products!$B$2:$E$49)</f>
        <v>Rob</v>
      </c>
      <c r="J811" t="str">
        <v>D</v>
      </c>
      <c r="K811" s="8">
        <v>0.2</v>
      </c>
      <c r="L811" s="6">
        <v>2.6849999999999996</v>
      </c>
      <c r="M811" s="7">
        <f t="shared" si="36"/>
        <v>8.0549999999999997</v>
      </c>
      <c r="N811" t="str">
        <f t="shared" si="37"/>
        <v>Robusta</v>
      </c>
      <c r="O811" t="str">
        <f t="shared" si="38"/>
        <v>Dark</v>
      </c>
      <c r="P811" t="str">
        <f>_xlfn.XLOOKUP(Orders!C811,Customers!$A$2:$A$1001,Customers!$I$2:$I$1001)</f>
        <v>Yes</v>
      </c>
    </row>
    <row r="812" spans="1:16" x14ac:dyDescent="0.3">
      <c r="A812" t="s">
        <v>1577</v>
      </c>
      <c r="B812" s="11">
        <v>44054</v>
      </c>
      <c r="C812" t="s">
        <v>1578</v>
      </c>
      <c r="D812" t="s">
        <v>88</v>
      </c>
      <c r="E812">
        <v>3</v>
      </c>
      <c r="F812" t="str">
        <f>_xlfn.XLOOKUP(C812,Customers!$A$2:$A$1001,Customers!$B$2:$B$1001)</f>
        <v>Alberta Balsdone</v>
      </c>
      <c r="G812" t="str">
        <f>_xlfn.XLOOKUP(C812,Customers!$A$2:$A$1001,Customers!$C$2:$C$1001)</f>
        <v>abalsdonemi@toplist.cz</v>
      </c>
      <c r="H812" t="str">
        <f>_xlfn.XLOOKUP(C812,Customers!$A$2:$A$1001,Customers!$G$2:$G$1001)</f>
        <v>United States</v>
      </c>
      <c r="I812" t="str" cm="1">
        <f t="array" ref="I812:L812">_xlfn.XLOOKUP(D812,products!$A$2:$A$49,products!$B$2:$E$49)</f>
        <v>Lib</v>
      </c>
      <c r="J812" t="str">
        <v>L</v>
      </c>
      <c r="K812" s="8">
        <v>0.5</v>
      </c>
      <c r="L812" s="6">
        <v>9.51</v>
      </c>
      <c r="M812" s="7">
        <f t="shared" si="36"/>
        <v>28.53</v>
      </c>
      <c r="N812" t="str">
        <f t="shared" si="37"/>
        <v>Liberica</v>
      </c>
      <c r="O812" t="str">
        <f t="shared" si="38"/>
        <v>Lite</v>
      </c>
      <c r="P812" t="str">
        <f>_xlfn.XLOOKUP(Orders!C812,Customers!$A$2:$A$1001,Customers!$I$2:$I$1001)</f>
        <v>No</v>
      </c>
    </row>
    <row r="813" spans="1:16" x14ac:dyDescent="0.3">
      <c r="A813" t="s">
        <v>1579</v>
      </c>
      <c r="B813" s="11">
        <v>44114</v>
      </c>
      <c r="C813" t="s">
        <v>1580</v>
      </c>
      <c r="D813" t="s">
        <v>66</v>
      </c>
      <c r="E813">
        <v>6</v>
      </c>
      <c r="F813" t="str">
        <f>_xlfn.XLOOKUP(C813,Customers!$A$2:$A$1001,Customers!$B$2:$B$1001)</f>
        <v>Brice Romera</v>
      </c>
      <c r="G813" t="str">
        <f>_xlfn.XLOOKUP(C813,Customers!$A$2:$A$1001,Customers!$C$2:$C$1001)</f>
        <v>bromeramj@list-manage.com</v>
      </c>
      <c r="H813" t="str">
        <f>_xlfn.XLOOKUP(C813,Customers!$A$2:$A$1001,Customers!$G$2:$G$1001)</f>
        <v>Ireland</v>
      </c>
      <c r="I813" t="str" cm="1">
        <f t="array" ref="I813:L813">_xlfn.XLOOKUP(D813,products!$A$2:$A$49,products!$B$2:$E$49)</f>
        <v>Ara</v>
      </c>
      <c r="J813" t="str">
        <v>M</v>
      </c>
      <c r="K813" s="8">
        <v>1</v>
      </c>
      <c r="L813" s="6">
        <v>11.25</v>
      </c>
      <c r="M813" s="7">
        <f t="shared" si="36"/>
        <v>67.5</v>
      </c>
      <c r="N813" t="str">
        <f t="shared" si="37"/>
        <v>Arasbica</v>
      </c>
      <c r="O813" t="str">
        <f t="shared" si="38"/>
        <v>Medium</v>
      </c>
      <c r="P813" t="str">
        <f>_xlfn.XLOOKUP(Orders!C813,Customers!$A$2:$A$1001,Customers!$I$2:$I$1001)</f>
        <v>Yes</v>
      </c>
    </row>
    <row r="814" spans="1:16" x14ac:dyDescent="0.3">
      <c r="A814" t="s">
        <v>1579</v>
      </c>
      <c r="B814" s="11">
        <v>44114</v>
      </c>
      <c r="C814" t="s">
        <v>1580</v>
      </c>
      <c r="D814" t="s">
        <v>114</v>
      </c>
      <c r="E814">
        <v>6</v>
      </c>
      <c r="F814" t="str">
        <f>_xlfn.XLOOKUP(C814,Customers!$A$2:$A$1001,Customers!$B$2:$B$1001)</f>
        <v>Brice Romera</v>
      </c>
      <c r="G814" t="str">
        <f>_xlfn.XLOOKUP(C814,Customers!$A$2:$A$1001,Customers!$C$2:$C$1001)</f>
        <v>bromeramj@list-manage.com</v>
      </c>
      <c r="H814" t="str">
        <f>_xlfn.XLOOKUP(C814,Customers!$A$2:$A$1001,Customers!$G$2:$G$1001)</f>
        <v>Ireland</v>
      </c>
      <c r="I814" t="str" cm="1">
        <f t="array" ref="I814:L814">_xlfn.XLOOKUP(D814,products!$A$2:$A$49,products!$B$2:$E$49)</f>
        <v>Lib</v>
      </c>
      <c r="J814" t="str">
        <v>D</v>
      </c>
      <c r="K814" s="8">
        <v>2.5</v>
      </c>
      <c r="L814" s="6">
        <v>29.784999999999997</v>
      </c>
      <c r="M814" s="7">
        <f t="shared" si="36"/>
        <v>178.70999999999998</v>
      </c>
      <c r="N814" t="str">
        <f t="shared" si="37"/>
        <v>Liberica</v>
      </c>
      <c r="O814" t="str">
        <f t="shared" si="38"/>
        <v>Dark</v>
      </c>
      <c r="P814" t="str">
        <f>_xlfn.XLOOKUP(Orders!C814,Customers!$A$2:$A$1001,Customers!$I$2:$I$1001)</f>
        <v>Yes</v>
      </c>
    </row>
    <row r="815" spans="1:16" x14ac:dyDescent="0.3">
      <c r="A815" t="s">
        <v>1581</v>
      </c>
      <c r="B815" s="11">
        <v>44173</v>
      </c>
      <c r="C815" t="s">
        <v>1582</v>
      </c>
      <c r="D815" t="s">
        <v>117</v>
      </c>
      <c r="E815">
        <v>1</v>
      </c>
      <c r="F815" t="str">
        <f>_xlfn.XLOOKUP(C815,Customers!$A$2:$A$1001,Customers!$B$2:$B$1001)</f>
        <v>Conchita Bryde</v>
      </c>
      <c r="G815" t="str">
        <f>_xlfn.XLOOKUP(C815,Customers!$A$2:$A$1001,Customers!$C$2:$C$1001)</f>
        <v>cbrydeml@tuttocitta.it</v>
      </c>
      <c r="H815" t="str">
        <f>_xlfn.XLOOKUP(C815,Customers!$A$2:$A$1001,Customers!$G$2:$G$1001)</f>
        <v>United States</v>
      </c>
      <c r="I815" t="str" cm="1">
        <f t="array" ref="I815:L815">_xlfn.XLOOKUP(D815,products!$A$2:$A$49,products!$B$2:$E$49)</f>
        <v>Exc</v>
      </c>
      <c r="J815" t="str">
        <v>M</v>
      </c>
      <c r="K815" s="8">
        <v>2.5</v>
      </c>
      <c r="L815" s="6">
        <v>31.624999999999996</v>
      </c>
      <c r="M815" s="7">
        <f t="shared" si="36"/>
        <v>31.624999999999996</v>
      </c>
      <c r="N815" t="str">
        <f t="shared" si="37"/>
        <v>Excelsa</v>
      </c>
      <c r="O815" t="str">
        <f t="shared" si="38"/>
        <v>Medium</v>
      </c>
      <c r="P815" t="str">
        <f>_xlfn.XLOOKUP(Orders!C815,Customers!$A$2:$A$1001,Customers!$I$2:$I$1001)</f>
        <v>Yes</v>
      </c>
    </row>
    <row r="816" spans="1:16" x14ac:dyDescent="0.3">
      <c r="A816" t="s">
        <v>1583</v>
      </c>
      <c r="B816" s="11">
        <v>43573</v>
      </c>
      <c r="C816" t="s">
        <v>1584</v>
      </c>
      <c r="D816" t="s">
        <v>259</v>
      </c>
      <c r="E816">
        <v>2</v>
      </c>
      <c r="F816" t="str">
        <f>_xlfn.XLOOKUP(C816,Customers!$A$2:$A$1001,Customers!$B$2:$B$1001)</f>
        <v>Silvanus Enefer</v>
      </c>
      <c r="G816" t="str">
        <f>_xlfn.XLOOKUP(C816,Customers!$A$2:$A$1001,Customers!$C$2:$C$1001)</f>
        <v>senefermm@blog.com</v>
      </c>
      <c r="H816" t="str">
        <f>_xlfn.XLOOKUP(C816,Customers!$A$2:$A$1001,Customers!$G$2:$G$1001)</f>
        <v>United States</v>
      </c>
      <c r="I816" t="str" cm="1">
        <f t="array" ref="I816:L816">_xlfn.XLOOKUP(D816,products!$A$2:$A$49,products!$B$2:$E$49)</f>
        <v>Exc</v>
      </c>
      <c r="J816" t="str">
        <v>L</v>
      </c>
      <c r="K816" s="8">
        <v>0.2</v>
      </c>
      <c r="L816" s="6">
        <v>4.4550000000000001</v>
      </c>
      <c r="M816" s="7">
        <f t="shared" si="36"/>
        <v>8.91</v>
      </c>
      <c r="N816" t="str">
        <f t="shared" si="37"/>
        <v>Excelsa</v>
      </c>
      <c r="O816" t="str">
        <f t="shared" si="38"/>
        <v>Lite</v>
      </c>
      <c r="P816" t="str">
        <f>_xlfn.XLOOKUP(Orders!C816,Customers!$A$2:$A$1001,Customers!$I$2:$I$1001)</f>
        <v>No</v>
      </c>
    </row>
    <row r="817" spans="1:16" x14ac:dyDescent="0.3">
      <c r="A817" t="s">
        <v>1585</v>
      </c>
      <c r="B817" s="11">
        <v>44200</v>
      </c>
      <c r="C817" t="s">
        <v>1586</v>
      </c>
      <c r="D817" t="s">
        <v>27</v>
      </c>
      <c r="E817">
        <v>6</v>
      </c>
      <c r="F817" t="str">
        <f>_xlfn.XLOOKUP(C817,Customers!$A$2:$A$1001,Customers!$B$2:$B$1001)</f>
        <v>Lenci Haggerstone</v>
      </c>
      <c r="G817" t="str">
        <f>_xlfn.XLOOKUP(C817,Customers!$A$2:$A$1001,Customers!$C$2:$C$1001)</f>
        <v>lhaggerstonemn@independent.co.uk</v>
      </c>
      <c r="H817" t="str">
        <f>_xlfn.XLOOKUP(C817,Customers!$A$2:$A$1001,Customers!$G$2:$G$1001)</f>
        <v>United States</v>
      </c>
      <c r="I817" t="str" cm="1">
        <f t="array" ref="I817:L817">_xlfn.XLOOKUP(D817,products!$A$2:$A$49,products!$B$2:$E$49)</f>
        <v>Rob</v>
      </c>
      <c r="J817" t="str">
        <v>M</v>
      </c>
      <c r="K817" s="8">
        <v>0.5</v>
      </c>
      <c r="L817" s="6">
        <v>5.97</v>
      </c>
      <c r="M817" s="7">
        <f t="shared" si="36"/>
        <v>35.82</v>
      </c>
      <c r="N817" t="str">
        <f t="shared" si="37"/>
        <v>Robusta</v>
      </c>
      <c r="O817" t="str">
        <f t="shared" si="38"/>
        <v>Medium</v>
      </c>
      <c r="P817" t="str">
        <f>_xlfn.XLOOKUP(Orders!C817,Customers!$A$2:$A$1001,Customers!$I$2:$I$1001)</f>
        <v>No</v>
      </c>
    </row>
    <row r="818" spans="1:16" x14ac:dyDescent="0.3">
      <c r="A818" t="s">
        <v>1587</v>
      </c>
      <c r="B818" s="11">
        <v>43534</v>
      </c>
      <c r="C818" t="s">
        <v>1588</v>
      </c>
      <c r="D818" t="s">
        <v>88</v>
      </c>
      <c r="E818">
        <v>4</v>
      </c>
      <c r="F818" t="str">
        <f>_xlfn.XLOOKUP(C818,Customers!$A$2:$A$1001,Customers!$B$2:$B$1001)</f>
        <v>Marvin Gundry</v>
      </c>
      <c r="G818" t="str">
        <f>_xlfn.XLOOKUP(C818,Customers!$A$2:$A$1001,Customers!$C$2:$C$1001)</f>
        <v>mgundrymo@omniture.com</v>
      </c>
      <c r="H818" t="str">
        <f>_xlfn.XLOOKUP(C818,Customers!$A$2:$A$1001,Customers!$G$2:$G$1001)</f>
        <v>Ireland</v>
      </c>
      <c r="I818" t="str" cm="1">
        <f t="array" ref="I818:L818">_xlfn.XLOOKUP(D818,products!$A$2:$A$49,products!$B$2:$E$49)</f>
        <v>Lib</v>
      </c>
      <c r="J818" t="str">
        <v>L</v>
      </c>
      <c r="K818" s="8">
        <v>0.5</v>
      </c>
      <c r="L818" s="6">
        <v>9.51</v>
      </c>
      <c r="M818" s="7">
        <f t="shared" si="36"/>
        <v>38.04</v>
      </c>
      <c r="N818" t="str">
        <f t="shared" si="37"/>
        <v>Liberica</v>
      </c>
      <c r="O818" t="str">
        <f t="shared" si="38"/>
        <v>Lite</v>
      </c>
      <c r="P818" t="str">
        <f>_xlfn.XLOOKUP(Orders!C818,Customers!$A$2:$A$1001,Customers!$I$2:$I$1001)</f>
        <v>No</v>
      </c>
    </row>
    <row r="819" spans="1:16" x14ac:dyDescent="0.3">
      <c r="A819" t="s">
        <v>1589</v>
      </c>
      <c r="B819" s="11">
        <v>43798</v>
      </c>
      <c r="C819" t="s">
        <v>1590</v>
      </c>
      <c r="D819" t="s">
        <v>128</v>
      </c>
      <c r="E819">
        <v>2</v>
      </c>
      <c r="F819" t="str">
        <f>_xlfn.XLOOKUP(C819,Customers!$A$2:$A$1001,Customers!$B$2:$B$1001)</f>
        <v>Bayard Wellan</v>
      </c>
      <c r="G819" t="str">
        <f>_xlfn.XLOOKUP(C819,Customers!$A$2:$A$1001,Customers!$C$2:$C$1001)</f>
        <v>bwellanmp@cafepress.com</v>
      </c>
      <c r="H819" t="str">
        <f>_xlfn.XLOOKUP(C819,Customers!$A$2:$A$1001,Customers!$G$2:$G$1001)</f>
        <v>United States</v>
      </c>
      <c r="I819" t="str" cm="1">
        <f t="array" ref="I819:L819">_xlfn.XLOOKUP(D819,products!$A$2:$A$49,products!$B$2:$E$49)</f>
        <v>Lib</v>
      </c>
      <c r="J819" t="str">
        <v>D</v>
      </c>
      <c r="K819" s="8">
        <v>0.5</v>
      </c>
      <c r="L819" s="6">
        <v>7.77</v>
      </c>
      <c r="M819" s="7">
        <f t="shared" si="36"/>
        <v>15.54</v>
      </c>
      <c r="N819" t="str">
        <f t="shared" si="37"/>
        <v>Liberica</v>
      </c>
      <c r="O819" t="str">
        <f t="shared" si="38"/>
        <v>Dark</v>
      </c>
      <c r="P819" t="str">
        <f>_xlfn.XLOOKUP(Orders!C819,Customers!$A$2:$A$1001,Customers!$I$2:$I$1001)</f>
        <v>No</v>
      </c>
    </row>
    <row r="820" spans="1:16" x14ac:dyDescent="0.3">
      <c r="A820" t="s">
        <v>1591</v>
      </c>
      <c r="B820" s="11">
        <v>44761</v>
      </c>
      <c r="C820" t="s">
        <v>1574</v>
      </c>
      <c r="D820" t="s">
        <v>137</v>
      </c>
      <c r="E820">
        <v>5</v>
      </c>
      <c r="F820" t="str">
        <f>_xlfn.XLOOKUP(C820,Customers!$A$2:$A$1001,Customers!$B$2:$B$1001)</f>
        <v>Allis Wilmore</v>
      </c>
      <c r="G820">
        <f>_xlfn.XLOOKUP(C820,Customers!$A$2:$A$1001,Customers!$C$2:$C$1001)</f>
        <v>0</v>
      </c>
      <c r="H820" t="str">
        <f>_xlfn.XLOOKUP(C820,Customers!$A$2:$A$1001,Customers!$G$2:$G$1001)</f>
        <v>United States</v>
      </c>
      <c r="I820" t="str" cm="1">
        <f t="array" ref="I820:L820">_xlfn.XLOOKUP(D820,products!$A$2:$A$49,products!$B$2:$E$49)</f>
        <v>Lib</v>
      </c>
      <c r="J820" t="str">
        <v>L</v>
      </c>
      <c r="K820" s="8">
        <v>1</v>
      </c>
      <c r="L820" s="6">
        <v>15.85</v>
      </c>
      <c r="M820" s="7">
        <f t="shared" si="36"/>
        <v>79.25</v>
      </c>
      <c r="N820" t="str">
        <f t="shared" si="37"/>
        <v>Liberica</v>
      </c>
      <c r="O820" t="str">
        <f t="shared" si="38"/>
        <v>Lite</v>
      </c>
      <c r="P820" t="str">
        <f>_xlfn.XLOOKUP(Orders!C820,Customers!$A$2:$A$1001,Customers!$I$2:$I$1001)</f>
        <v>No</v>
      </c>
    </row>
    <row r="821" spans="1:16" x14ac:dyDescent="0.3">
      <c r="A821" t="s">
        <v>1592</v>
      </c>
      <c r="B821" s="11">
        <v>44008</v>
      </c>
      <c r="C821" t="s">
        <v>1593</v>
      </c>
      <c r="D821" t="s">
        <v>24</v>
      </c>
      <c r="E821">
        <v>1</v>
      </c>
      <c r="F821" t="str">
        <f>_xlfn.XLOOKUP(C821,Customers!$A$2:$A$1001,Customers!$B$2:$B$1001)</f>
        <v>Caddric Atcheson</v>
      </c>
      <c r="G821" t="str">
        <f>_xlfn.XLOOKUP(C821,Customers!$A$2:$A$1001,Customers!$C$2:$C$1001)</f>
        <v>catchesonmr@xinhuanet.com</v>
      </c>
      <c r="H821" t="str">
        <f>_xlfn.XLOOKUP(C821,Customers!$A$2:$A$1001,Customers!$G$2:$G$1001)</f>
        <v>United States</v>
      </c>
      <c r="I821" t="str" cm="1">
        <f t="array" ref="I821:L821">_xlfn.XLOOKUP(D821,products!$A$2:$A$49,products!$B$2:$E$49)</f>
        <v>Lib</v>
      </c>
      <c r="J821" t="str">
        <v>L</v>
      </c>
      <c r="K821" s="8">
        <v>0.2</v>
      </c>
      <c r="L821" s="6">
        <v>4.7549999999999999</v>
      </c>
      <c r="M821" s="7">
        <f t="shared" si="36"/>
        <v>4.7549999999999999</v>
      </c>
      <c r="N821" t="str">
        <f t="shared" si="37"/>
        <v>Liberica</v>
      </c>
      <c r="O821" t="str">
        <f t="shared" si="38"/>
        <v>Lite</v>
      </c>
      <c r="P821" t="str">
        <f>_xlfn.XLOOKUP(Orders!C821,Customers!$A$2:$A$1001,Customers!$I$2:$I$1001)</f>
        <v>Yes</v>
      </c>
    </row>
    <row r="822" spans="1:16" x14ac:dyDescent="0.3">
      <c r="A822" t="s">
        <v>1594</v>
      </c>
      <c r="B822" s="11">
        <v>43510</v>
      </c>
      <c r="C822" t="s">
        <v>1595</v>
      </c>
      <c r="D822" t="s">
        <v>14</v>
      </c>
      <c r="E822">
        <v>4</v>
      </c>
      <c r="F822" t="str">
        <f>_xlfn.XLOOKUP(C822,Customers!$A$2:$A$1001,Customers!$B$2:$B$1001)</f>
        <v>Eustace Stenton</v>
      </c>
      <c r="G822" t="str">
        <f>_xlfn.XLOOKUP(C822,Customers!$A$2:$A$1001,Customers!$C$2:$C$1001)</f>
        <v>estentonms@google.it</v>
      </c>
      <c r="H822" t="str">
        <f>_xlfn.XLOOKUP(C822,Customers!$A$2:$A$1001,Customers!$G$2:$G$1001)</f>
        <v>United States</v>
      </c>
      <c r="I822" t="str" cm="1">
        <f t="array" ref="I822:L822">_xlfn.XLOOKUP(D822,products!$A$2:$A$49,products!$B$2:$E$49)</f>
        <v>Exc</v>
      </c>
      <c r="J822" t="str">
        <v>M</v>
      </c>
      <c r="K822" s="8">
        <v>1</v>
      </c>
      <c r="L822" s="6">
        <v>13.75</v>
      </c>
      <c r="M822" s="7">
        <f t="shared" si="36"/>
        <v>55</v>
      </c>
      <c r="N822" t="str">
        <f t="shared" si="37"/>
        <v>Excelsa</v>
      </c>
      <c r="O822" t="str">
        <f t="shared" si="38"/>
        <v>Medium</v>
      </c>
      <c r="P822" t="str">
        <f>_xlfn.XLOOKUP(Orders!C822,Customers!$A$2:$A$1001,Customers!$I$2:$I$1001)</f>
        <v>Yes</v>
      </c>
    </row>
    <row r="823" spans="1:16" x14ac:dyDescent="0.3">
      <c r="A823" t="s">
        <v>1596</v>
      </c>
      <c r="B823" s="11">
        <v>44144</v>
      </c>
      <c r="C823" t="s">
        <v>1597</v>
      </c>
      <c r="D823" t="s">
        <v>151</v>
      </c>
      <c r="E823">
        <v>5</v>
      </c>
      <c r="F823" t="str">
        <f>_xlfn.XLOOKUP(C823,Customers!$A$2:$A$1001,Customers!$B$2:$B$1001)</f>
        <v>Ericka Tripp</v>
      </c>
      <c r="G823" t="str">
        <f>_xlfn.XLOOKUP(C823,Customers!$A$2:$A$1001,Customers!$C$2:$C$1001)</f>
        <v>etrippmt@wp.com</v>
      </c>
      <c r="H823" t="str">
        <f>_xlfn.XLOOKUP(C823,Customers!$A$2:$A$1001,Customers!$G$2:$G$1001)</f>
        <v>United States</v>
      </c>
      <c r="I823" t="str" cm="1">
        <f t="array" ref="I823:L823">_xlfn.XLOOKUP(D823,products!$A$2:$A$49,products!$B$2:$E$49)</f>
        <v>Rob</v>
      </c>
      <c r="J823" t="str">
        <v>D</v>
      </c>
      <c r="K823" s="8">
        <v>0.5</v>
      </c>
      <c r="L823" s="6">
        <v>5.3699999999999992</v>
      </c>
      <c r="M823" s="7">
        <f t="shared" si="36"/>
        <v>26.849999999999994</v>
      </c>
      <c r="N823" t="str">
        <f t="shared" si="37"/>
        <v>Robusta</v>
      </c>
      <c r="O823" t="str">
        <f t="shared" si="38"/>
        <v>Dark</v>
      </c>
      <c r="P823" t="str">
        <f>_xlfn.XLOOKUP(Orders!C823,Customers!$A$2:$A$1001,Customers!$I$2:$I$1001)</f>
        <v>No</v>
      </c>
    </row>
    <row r="824" spans="1:16" x14ac:dyDescent="0.3">
      <c r="A824" t="s">
        <v>1598</v>
      </c>
      <c r="B824" s="11">
        <v>43585</v>
      </c>
      <c r="C824" t="s">
        <v>1599</v>
      </c>
      <c r="D824" t="s">
        <v>35</v>
      </c>
      <c r="E824">
        <v>4</v>
      </c>
      <c r="F824" t="str">
        <f>_xlfn.XLOOKUP(C824,Customers!$A$2:$A$1001,Customers!$B$2:$B$1001)</f>
        <v>Lyndsey MacManus</v>
      </c>
      <c r="G824" t="str">
        <f>_xlfn.XLOOKUP(C824,Customers!$A$2:$A$1001,Customers!$C$2:$C$1001)</f>
        <v>lmacmanusmu@imdb.com</v>
      </c>
      <c r="H824" t="str">
        <f>_xlfn.XLOOKUP(C824,Customers!$A$2:$A$1001,Customers!$G$2:$G$1001)</f>
        <v>United States</v>
      </c>
      <c r="I824" t="str" cm="1">
        <f t="array" ref="I824:L824">_xlfn.XLOOKUP(D824,products!$A$2:$A$49,products!$B$2:$E$49)</f>
        <v>Exc</v>
      </c>
      <c r="J824" t="str">
        <v>L</v>
      </c>
      <c r="K824" s="8">
        <v>2.5</v>
      </c>
      <c r="L824" s="6">
        <v>34.154999999999994</v>
      </c>
      <c r="M824" s="7">
        <f t="shared" si="36"/>
        <v>136.61999999999998</v>
      </c>
      <c r="N824" t="str">
        <f t="shared" si="37"/>
        <v>Excelsa</v>
      </c>
      <c r="O824" t="str">
        <f t="shared" si="38"/>
        <v>Lite</v>
      </c>
      <c r="P824" t="str">
        <f>_xlfn.XLOOKUP(Orders!C824,Customers!$A$2:$A$1001,Customers!$I$2:$I$1001)</f>
        <v>No</v>
      </c>
    </row>
    <row r="825" spans="1:16" x14ac:dyDescent="0.3">
      <c r="A825" t="s">
        <v>1600</v>
      </c>
      <c r="B825" s="11">
        <v>44134</v>
      </c>
      <c r="C825" t="s">
        <v>1601</v>
      </c>
      <c r="D825" t="s">
        <v>137</v>
      </c>
      <c r="E825">
        <v>3</v>
      </c>
      <c r="F825" t="str">
        <f>_xlfn.XLOOKUP(C825,Customers!$A$2:$A$1001,Customers!$B$2:$B$1001)</f>
        <v>Tess Benediktovich</v>
      </c>
      <c r="G825" t="str">
        <f>_xlfn.XLOOKUP(C825,Customers!$A$2:$A$1001,Customers!$C$2:$C$1001)</f>
        <v>tbenediktovichmv@ebay.com</v>
      </c>
      <c r="H825" t="str">
        <f>_xlfn.XLOOKUP(C825,Customers!$A$2:$A$1001,Customers!$G$2:$G$1001)</f>
        <v>United States</v>
      </c>
      <c r="I825" t="str" cm="1">
        <f t="array" ref="I825:L825">_xlfn.XLOOKUP(D825,products!$A$2:$A$49,products!$B$2:$E$49)</f>
        <v>Lib</v>
      </c>
      <c r="J825" t="str">
        <v>L</v>
      </c>
      <c r="K825" s="8">
        <v>1</v>
      </c>
      <c r="L825" s="6">
        <v>15.85</v>
      </c>
      <c r="M825" s="7">
        <f t="shared" si="36"/>
        <v>47.55</v>
      </c>
      <c r="N825" t="str">
        <f t="shared" si="37"/>
        <v>Liberica</v>
      </c>
      <c r="O825" t="str">
        <f t="shared" si="38"/>
        <v>Lite</v>
      </c>
      <c r="P825" t="str">
        <f>_xlfn.XLOOKUP(Orders!C825,Customers!$A$2:$A$1001,Customers!$I$2:$I$1001)</f>
        <v>Yes</v>
      </c>
    </row>
    <row r="826" spans="1:16" x14ac:dyDescent="0.3">
      <c r="A826" t="s">
        <v>1602</v>
      </c>
      <c r="B826" s="11">
        <v>43781</v>
      </c>
      <c r="C826" t="s">
        <v>1603</v>
      </c>
      <c r="D826" t="s">
        <v>49</v>
      </c>
      <c r="E826">
        <v>5</v>
      </c>
      <c r="F826" t="str">
        <f>_xlfn.XLOOKUP(C826,Customers!$A$2:$A$1001,Customers!$B$2:$B$1001)</f>
        <v>Correy Bourner</v>
      </c>
      <c r="G826" t="str">
        <f>_xlfn.XLOOKUP(C826,Customers!$A$2:$A$1001,Customers!$C$2:$C$1001)</f>
        <v>cbournermw@chronoengine.com</v>
      </c>
      <c r="H826" t="str">
        <f>_xlfn.XLOOKUP(C826,Customers!$A$2:$A$1001,Customers!$G$2:$G$1001)</f>
        <v>United States</v>
      </c>
      <c r="I826" t="str" cm="1">
        <f t="array" ref="I826:L826">_xlfn.XLOOKUP(D826,products!$A$2:$A$49,products!$B$2:$E$49)</f>
        <v>Ara</v>
      </c>
      <c r="J826" t="str">
        <v>M</v>
      </c>
      <c r="K826" s="8">
        <v>0.2</v>
      </c>
      <c r="L826" s="6">
        <v>3.375</v>
      </c>
      <c r="M826" s="7">
        <f t="shared" si="36"/>
        <v>16.875</v>
      </c>
      <c r="N826" t="str">
        <f t="shared" si="37"/>
        <v>Arasbica</v>
      </c>
      <c r="O826" t="str">
        <f t="shared" si="38"/>
        <v>Medium</v>
      </c>
      <c r="P826" t="str">
        <f>_xlfn.XLOOKUP(Orders!C826,Customers!$A$2:$A$1001,Customers!$I$2:$I$1001)</f>
        <v>Yes</v>
      </c>
    </row>
    <row r="827" spans="1:16" x14ac:dyDescent="0.3">
      <c r="A827" t="s">
        <v>1604</v>
      </c>
      <c r="B827" s="11">
        <v>44603</v>
      </c>
      <c r="C827" t="s">
        <v>1605</v>
      </c>
      <c r="D827" t="s">
        <v>32</v>
      </c>
      <c r="E827">
        <v>3</v>
      </c>
      <c r="F827" t="str">
        <f>_xlfn.XLOOKUP(C827,Customers!$A$2:$A$1001,Customers!$B$2:$B$1001)</f>
        <v>Odelia Skerme</v>
      </c>
      <c r="G827" t="str">
        <f>_xlfn.XLOOKUP(C827,Customers!$A$2:$A$1001,Customers!$C$2:$C$1001)</f>
        <v>oskermen3@hatena.ne.jp</v>
      </c>
      <c r="H827" t="str">
        <f>_xlfn.XLOOKUP(C827,Customers!$A$2:$A$1001,Customers!$G$2:$G$1001)</f>
        <v>United States</v>
      </c>
      <c r="I827" t="str" cm="1">
        <f t="array" ref="I827:L827">_xlfn.XLOOKUP(D827,products!$A$2:$A$49,products!$B$2:$E$49)</f>
        <v>Ara</v>
      </c>
      <c r="J827" t="str">
        <v>D</v>
      </c>
      <c r="K827" s="8">
        <v>1</v>
      </c>
      <c r="L827" s="6">
        <v>9.9499999999999993</v>
      </c>
      <c r="M827" s="7">
        <f t="shared" si="36"/>
        <v>29.849999999999998</v>
      </c>
      <c r="N827" t="str">
        <f t="shared" si="37"/>
        <v>Arasbica</v>
      </c>
      <c r="O827" t="str">
        <f t="shared" si="38"/>
        <v>Dark</v>
      </c>
      <c r="P827" t="str">
        <f>_xlfn.XLOOKUP(Orders!C827,Customers!$A$2:$A$1001,Customers!$I$2:$I$1001)</f>
        <v>Yes</v>
      </c>
    </row>
    <row r="828" spans="1:16" x14ac:dyDescent="0.3">
      <c r="A828" t="s">
        <v>1606</v>
      </c>
      <c r="B828" s="11">
        <v>44283</v>
      </c>
      <c r="C828" t="s">
        <v>1607</v>
      </c>
      <c r="D828" t="s">
        <v>8</v>
      </c>
      <c r="E828">
        <v>5</v>
      </c>
      <c r="F828" t="str">
        <f>_xlfn.XLOOKUP(C828,Customers!$A$2:$A$1001,Customers!$B$2:$B$1001)</f>
        <v>Kandy Heddan</v>
      </c>
      <c r="G828" t="str">
        <f>_xlfn.XLOOKUP(C828,Customers!$A$2:$A$1001,Customers!$C$2:$C$1001)</f>
        <v>kheddanmy@icq.com</v>
      </c>
      <c r="H828" t="str">
        <f>_xlfn.XLOOKUP(C828,Customers!$A$2:$A$1001,Customers!$G$2:$G$1001)</f>
        <v>United States</v>
      </c>
      <c r="I828" t="str" cm="1">
        <f t="array" ref="I828:L828">_xlfn.XLOOKUP(D828,products!$A$2:$A$49,products!$B$2:$E$49)</f>
        <v>Exc</v>
      </c>
      <c r="J828" t="str">
        <v>M</v>
      </c>
      <c r="K828" s="8">
        <v>0.5</v>
      </c>
      <c r="L828" s="6">
        <v>8.25</v>
      </c>
      <c r="M828" s="7">
        <f t="shared" si="36"/>
        <v>41.25</v>
      </c>
      <c r="N828" t="str">
        <f t="shared" si="37"/>
        <v>Excelsa</v>
      </c>
      <c r="O828" t="str">
        <f t="shared" si="38"/>
        <v>Medium</v>
      </c>
      <c r="P828" t="str">
        <f>_xlfn.XLOOKUP(Orders!C828,Customers!$A$2:$A$1001,Customers!$I$2:$I$1001)</f>
        <v>Yes</v>
      </c>
    </row>
    <row r="829" spans="1:16" x14ac:dyDescent="0.3">
      <c r="A829" t="s">
        <v>1608</v>
      </c>
      <c r="B829" s="11">
        <v>44540</v>
      </c>
      <c r="C829" t="s">
        <v>1609</v>
      </c>
      <c r="D829" t="s">
        <v>69</v>
      </c>
      <c r="E829">
        <v>5</v>
      </c>
      <c r="F829" t="str">
        <f>_xlfn.XLOOKUP(C829,Customers!$A$2:$A$1001,Customers!$B$2:$B$1001)</f>
        <v>Ibby Charters</v>
      </c>
      <c r="G829" t="str">
        <f>_xlfn.XLOOKUP(C829,Customers!$A$2:$A$1001,Customers!$C$2:$C$1001)</f>
        <v>ichartersmz@abc.net.au</v>
      </c>
      <c r="H829" t="str">
        <f>_xlfn.XLOOKUP(C829,Customers!$A$2:$A$1001,Customers!$G$2:$G$1001)</f>
        <v>United States</v>
      </c>
      <c r="I829" t="str" cm="1">
        <f t="array" ref="I829:L829">_xlfn.XLOOKUP(D829,products!$A$2:$A$49,products!$B$2:$E$49)</f>
        <v>Exc</v>
      </c>
      <c r="J829" t="str">
        <v>M</v>
      </c>
      <c r="K829" s="8">
        <v>0.2</v>
      </c>
      <c r="L829" s="6">
        <v>4.125</v>
      </c>
      <c r="M829" s="7">
        <f t="shared" si="36"/>
        <v>20.625</v>
      </c>
      <c r="N829" t="str">
        <f t="shared" si="37"/>
        <v>Excelsa</v>
      </c>
      <c r="O829" t="str">
        <f t="shared" si="38"/>
        <v>Medium</v>
      </c>
      <c r="P829" t="str">
        <f>_xlfn.XLOOKUP(Orders!C829,Customers!$A$2:$A$1001,Customers!$I$2:$I$1001)</f>
        <v>No</v>
      </c>
    </row>
    <row r="830" spans="1:16" x14ac:dyDescent="0.3">
      <c r="A830" t="s">
        <v>1610</v>
      </c>
      <c r="B830" s="11">
        <v>44505</v>
      </c>
      <c r="C830" t="s">
        <v>1611</v>
      </c>
      <c r="D830" t="s">
        <v>123</v>
      </c>
      <c r="E830">
        <v>6</v>
      </c>
      <c r="F830" t="str">
        <f>_xlfn.XLOOKUP(C830,Customers!$A$2:$A$1001,Customers!$B$2:$B$1001)</f>
        <v>Adora Roubert</v>
      </c>
      <c r="G830" t="str">
        <f>_xlfn.XLOOKUP(C830,Customers!$A$2:$A$1001,Customers!$C$2:$C$1001)</f>
        <v>aroubertn0@tmall.com</v>
      </c>
      <c r="H830" t="str">
        <f>_xlfn.XLOOKUP(C830,Customers!$A$2:$A$1001,Customers!$G$2:$G$1001)</f>
        <v>United States</v>
      </c>
      <c r="I830" t="str" cm="1">
        <f t="array" ref="I830:L830">_xlfn.XLOOKUP(D830,products!$A$2:$A$49,products!$B$2:$E$49)</f>
        <v>Ara</v>
      </c>
      <c r="J830" t="str">
        <v>D</v>
      </c>
      <c r="K830" s="8">
        <v>2.5</v>
      </c>
      <c r="L830" s="6">
        <v>22.884999999999998</v>
      </c>
      <c r="M830" s="7">
        <f t="shared" si="36"/>
        <v>137.31</v>
      </c>
      <c r="N830" t="str">
        <f t="shared" si="37"/>
        <v>Arasbica</v>
      </c>
      <c r="O830" t="str">
        <f t="shared" si="38"/>
        <v>Dark</v>
      </c>
      <c r="P830" t="str">
        <f>_xlfn.XLOOKUP(Orders!C830,Customers!$A$2:$A$1001,Customers!$I$2:$I$1001)</f>
        <v>Yes</v>
      </c>
    </row>
    <row r="831" spans="1:16" x14ac:dyDescent="0.3">
      <c r="A831" t="s">
        <v>1612</v>
      </c>
      <c r="B831" s="11">
        <v>43890</v>
      </c>
      <c r="C831" t="s">
        <v>1613</v>
      </c>
      <c r="D831" t="s">
        <v>59</v>
      </c>
      <c r="E831">
        <v>1</v>
      </c>
      <c r="F831" t="str">
        <f>_xlfn.XLOOKUP(C831,Customers!$A$2:$A$1001,Customers!$B$2:$B$1001)</f>
        <v>Hillel Mairs</v>
      </c>
      <c r="G831" t="str">
        <f>_xlfn.XLOOKUP(C831,Customers!$A$2:$A$1001,Customers!$C$2:$C$1001)</f>
        <v>hmairsn1@so-net.ne.jp</v>
      </c>
      <c r="H831" t="str">
        <f>_xlfn.XLOOKUP(C831,Customers!$A$2:$A$1001,Customers!$G$2:$G$1001)</f>
        <v>United States</v>
      </c>
      <c r="I831" t="str" cm="1">
        <f t="array" ref="I831:L831">_xlfn.XLOOKUP(D831,products!$A$2:$A$49,products!$B$2:$E$49)</f>
        <v>Ara</v>
      </c>
      <c r="J831" t="str">
        <v>D</v>
      </c>
      <c r="K831" s="8">
        <v>0.2</v>
      </c>
      <c r="L831" s="6">
        <v>2.9849999999999999</v>
      </c>
      <c r="M831" s="7">
        <f t="shared" si="36"/>
        <v>2.9849999999999999</v>
      </c>
      <c r="N831" t="str">
        <f t="shared" si="37"/>
        <v>Arasbica</v>
      </c>
      <c r="O831" t="str">
        <f t="shared" si="38"/>
        <v>Dark</v>
      </c>
      <c r="P831" t="str">
        <f>_xlfn.XLOOKUP(Orders!C831,Customers!$A$2:$A$1001,Customers!$I$2:$I$1001)</f>
        <v>No</v>
      </c>
    </row>
    <row r="832" spans="1:16" x14ac:dyDescent="0.3">
      <c r="A832" t="s">
        <v>1614</v>
      </c>
      <c r="B832" s="11">
        <v>44414</v>
      </c>
      <c r="C832" t="s">
        <v>1615</v>
      </c>
      <c r="D832" t="s">
        <v>14</v>
      </c>
      <c r="E832">
        <v>2</v>
      </c>
      <c r="F832" t="str">
        <f>_xlfn.XLOOKUP(C832,Customers!$A$2:$A$1001,Customers!$B$2:$B$1001)</f>
        <v>Helaina Rainforth</v>
      </c>
      <c r="G832" t="str">
        <f>_xlfn.XLOOKUP(C832,Customers!$A$2:$A$1001,Customers!$C$2:$C$1001)</f>
        <v>hrainforthn2@blog.com</v>
      </c>
      <c r="H832" t="str">
        <f>_xlfn.XLOOKUP(C832,Customers!$A$2:$A$1001,Customers!$G$2:$G$1001)</f>
        <v>United States</v>
      </c>
      <c r="I832" t="str" cm="1">
        <f t="array" ref="I832:L832">_xlfn.XLOOKUP(D832,products!$A$2:$A$49,products!$B$2:$E$49)</f>
        <v>Exc</v>
      </c>
      <c r="J832" t="str">
        <v>M</v>
      </c>
      <c r="K832" s="8">
        <v>1</v>
      </c>
      <c r="L832" s="6">
        <v>13.75</v>
      </c>
      <c r="M832" s="7">
        <f t="shared" si="36"/>
        <v>27.5</v>
      </c>
      <c r="N832" t="str">
        <f t="shared" si="37"/>
        <v>Excelsa</v>
      </c>
      <c r="O832" t="str">
        <f t="shared" si="38"/>
        <v>Medium</v>
      </c>
      <c r="P832" t="str">
        <f>_xlfn.XLOOKUP(Orders!C832,Customers!$A$2:$A$1001,Customers!$I$2:$I$1001)</f>
        <v>No</v>
      </c>
    </row>
    <row r="833" spans="1:16" x14ac:dyDescent="0.3">
      <c r="A833" t="s">
        <v>1614</v>
      </c>
      <c r="B833" s="11">
        <v>44414</v>
      </c>
      <c r="C833" t="s">
        <v>1615</v>
      </c>
      <c r="D833" t="s">
        <v>59</v>
      </c>
      <c r="E833">
        <v>2</v>
      </c>
      <c r="F833" t="str">
        <f>_xlfn.XLOOKUP(C833,Customers!$A$2:$A$1001,Customers!$B$2:$B$1001)</f>
        <v>Helaina Rainforth</v>
      </c>
      <c r="G833" t="str">
        <f>_xlfn.XLOOKUP(C833,Customers!$A$2:$A$1001,Customers!$C$2:$C$1001)</f>
        <v>hrainforthn2@blog.com</v>
      </c>
      <c r="H833" t="str">
        <f>_xlfn.XLOOKUP(C833,Customers!$A$2:$A$1001,Customers!$G$2:$G$1001)</f>
        <v>United States</v>
      </c>
      <c r="I833" t="str" cm="1">
        <f t="array" ref="I833:L833">_xlfn.XLOOKUP(D833,products!$A$2:$A$49,products!$B$2:$E$49)</f>
        <v>Ara</v>
      </c>
      <c r="J833" t="str">
        <v>D</v>
      </c>
      <c r="K833" s="8">
        <v>0.2</v>
      </c>
      <c r="L833" s="6">
        <v>2.9849999999999999</v>
      </c>
      <c r="M833" s="7">
        <f t="shared" si="36"/>
        <v>5.97</v>
      </c>
      <c r="N833" t="str">
        <f t="shared" si="37"/>
        <v>Arasbica</v>
      </c>
      <c r="O833" t="str">
        <f t="shared" si="38"/>
        <v>Dark</v>
      </c>
      <c r="P833" t="str">
        <f>_xlfn.XLOOKUP(Orders!C833,Customers!$A$2:$A$1001,Customers!$I$2:$I$1001)</f>
        <v>No</v>
      </c>
    </row>
    <row r="834" spans="1:16" x14ac:dyDescent="0.3">
      <c r="A834" t="s">
        <v>1616</v>
      </c>
      <c r="B834" s="11">
        <v>44274</v>
      </c>
      <c r="C834" t="s">
        <v>1617</v>
      </c>
      <c r="D834" t="s">
        <v>7</v>
      </c>
      <c r="E834">
        <v>6</v>
      </c>
      <c r="F834" t="str">
        <f>_xlfn.XLOOKUP(C834,Customers!$A$2:$A$1001,Customers!$B$2:$B$1001)</f>
        <v>Isac Jesper</v>
      </c>
      <c r="G834" t="str">
        <f>_xlfn.XLOOKUP(C834,Customers!$A$2:$A$1001,Customers!$C$2:$C$1001)</f>
        <v>ijespern4@theglobeandmail.com</v>
      </c>
      <c r="H834" t="str">
        <f>_xlfn.XLOOKUP(C834,Customers!$A$2:$A$1001,Customers!$G$2:$G$1001)</f>
        <v>United States</v>
      </c>
      <c r="I834" t="str" cm="1">
        <f t="array" ref="I834:L834">_xlfn.XLOOKUP(D834,products!$A$2:$A$49,products!$B$2:$E$49)</f>
        <v>Rob</v>
      </c>
      <c r="J834" t="str">
        <v>M</v>
      </c>
      <c r="K834" s="8">
        <v>1</v>
      </c>
      <c r="L834" s="6">
        <v>9.9499999999999993</v>
      </c>
      <c r="M834" s="7">
        <f t="shared" si="36"/>
        <v>59.699999999999996</v>
      </c>
      <c r="N834" t="str">
        <f t="shared" si="37"/>
        <v>Robusta</v>
      </c>
      <c r="O834" t="str">
        <f t="shared" si="38"/>
        <v>Medium</v>
      </c>
      <c r="P834" t="str">
        <f>_xlfn.XLOOKUP(Orders!C834,Customers!$A$2:$A$1001,Customers!$I$2:$I$1001)</f>
        <v>No</v>
      </c>
    </row>
    <row r="835" spans="1:16" x14ac:dyDescent="0.3">
      <c r="A835" t="s">
        <v>1618</v>
      </c>
      <c r="B835" s="11">
        <v>44302</v>
      </c>
      <c r="C835" t="s">
        <v>1619</v>
      </c>
      <c r="D835" t="s">
        <v>40</v>
      </c>
      <c r="E835">
        <v>4</v>
      </c>
      <c r="F835" t="str">
        <f>_xlfn.XLOOKUP(C835,Customers!$A$2:$A$1001,Customers!$B$2:$B$1001)</f>
        <v>Lenette Dwerryhouse</v>
      </c>
      <c r="G835" t="str">
        <f>_xlfn.XLOOKUP(C835,Customers!$A$2:$A$1001,Customers!$C$2:$C$1001)</f>
        <v>ldwerryhousen5@gravatar.com</v>
      </c>
      <c r="H835" t="str">
        <f>_xlfn.XLOOKUP(C835,Customers!$A$2:$A$1001,Customers!$G$2:$G$1001)</f>
        <v>United States</v>
      </c>
      <c r="I835" t="str" cm="1">
        <f t="array" ref="I835:L835">_xlfn.XLOOKUP(D835,products!$A$2:$A$49,products!$B$2:$E$49)</f>
        <v>Rob</v>
      </c>
      <c r="J835" t="str">
        <v>D</v>
      </c>
      <c r="K835" s="8">
        <v>2.5</v>
      </c>
      <c r="L835" s="6">
        <v>20.584999999999997</v>
      </c>
      <c r="M835" s="7">
        <f t="shared" ref="M835:M898" si="39">E835*L835</f>
        <v>82.339999999999989</v>
      </c>
      <c r="N835" t="str">
        <f t="shared" ref="N835:N898" si="40">IF(I835="rob","Robusta",IF(I835="Exc","Excelsa",IF(I835="Ara","Arasbica",IF(I835="Lib","Liberica"))))</f>
        <v>Robusta</v>
      </c>
      <c r="O835" t="str">
        <f t="shared" ref="O835:O898" si="41">IF(J835="M","Medium",IF(J835="L","Lite",IF(J835="D","Dark")))</f>
        <v>Dark</v>
      </c>
      <c r="P835" t="str">
        <f>_xlfn.XLOOKUP(Orders!C835,Customers!$A$2:$A$1001,Customers!$I$2:$I$1001)</f>
        <v>Yes</v>
      </c>
    </row>
    <row r="836" spans="1:16" x14ac:dyDescent="0.3">
      <c r="A836" t="s">
        <v>1620</v>
      </c>
      <c r="B836" s="11">
        <v>44141</v>
      </c>
      <c r="C836" t="s">
        <v>1621</v>
      </c>
      <c r="D836" t="s">
        <v>123</v>
      </c>
      <c r="E836">
        <v>1</v>
      </c>
      <c r="F836" t="str">
        <f>_xlfn.XLOOKUP(C836,Customers!$A$2:$A$1001,Customers!$B$2:$B$1001)</f>
        <v>Nadeen Broomer</v>
      </c>
      <c r="G836" t="str">
        <f>_xlfn.XLOOKUP(C836,Customers!$A$2:$A$1001,Customers!$C$2:$C$1001)</f>
        <v>nbroomern6@examiner.com</v>
      </c>
      <c r="H836" t="str">
        <f>_xlfn.XLOOKUP(C836,Customers!$A$2:$A$1001,Customers!$G$2:$G$1001)</f>
        <v>United States</v>
      </c>
      <c r="I836" t="str" cm="1">
        <f t="array" ref="I836:L836">_xlfn.XLOOKUP(D836,products!$A$2:$A$49,products!$B$2:$E$49)</f>
        <v>Ara</v>
      </c>
      <c r="J836" t="str">
        <v>D</v>
      </c>
      <c r="K836" s="8">
        <v>2.5</v>
      </c>
      <c r="L836" s="6">
        <v>22.884999999999998</v>
      </c>
      <c r="M836" s="7">
        <f t="shared" si="39"/>
        <v>22.884999999999998</v>
      </c>
      <c r="N836" t="str">
        <f t="shared" si="40"/>
        <v>Arasbica</v>
      </c>
      <c r="O836" t="str">
        <f t="shared" si="41"/>
        <v>Dark</v>
      </c>
      <c r="P836" t="str">
        <f>_xlfn.XLOOKUP(Orders!C836,Customers!$A$2:$A$1001,Customers!$I$2:$I$1001)</f>
        <v>No</v>
      </c>
    </row>
    <row r="837" spans="1:16" x14ac:dyDescent="0.3">
      <c r="A837" t="s">
        <v>1622</v>
      </c>
      <c r="B837" s="11">
        <v>44270</v>
      </c>
      <c r="C837" t="s">
        <v>1623</v>
      </c>
      <c r="D837" t="s">
        <v>181</v>
      </c>
      <c r="E837">
        <v>1</v>
      </c>
      <c r="F837" t="str">
        <f>_xlfn.XLOOKUP(C837,Customers!$A$2:$A$1001,Customers!$B$2:$B$1001)</f>
        <v>Konstantine Thoumasson</v>
      </c>
      <c r="G837" t="str">
        <f>_xlfn.XLOOKUP(C837,Customers!$A$2:$A$1001,Customers!$C$2:$C$1001)</f>
        <v>kthoumassonn7@bloglovin.com</v>
      </c>
      <c r="H837" t="str">
        <f>_xlfn.XLOOKUP(C837,Customers!$A$2:$A$1001,Customers!$G$2:$G$1001)</f>
        <v>United States</v>
      </c>
      <c r="I837" t="str" cm="1">
        <f t="array" ref="I837:L837">_xlfn.XLOOKUP(D837,products!$A$2:$A$49,products!$B$2:$E$49)</f>
        <v>Exc</v>
      </c>
      <c r="J837" t="str">
        <v>L</v>
      </c>
      <c r="K837" s="8">
        <v>0.5</v>
      </c>
      <c r="L837" s="6">
        <v>8.91</v>
      </c>
      <c r="M837" s="7">
        <f t="shared" si="39"/>
        <v>8.91</v>
      </c>
      <c r="N837" t="str">
        <f t="shared" si="40"/>
        <v>Excelsa</v>
      </c>
      <c r="O837" t="str">
        <f t="shared" si="41"/>
        <v>Lite</v>
      </c>
      <c r="P837" t="str">
        <f>_xlfn.XLOOKUP(Orders!C837,Customers!$A$2:$A$1001,Customers!$I$2:$I$1001)</f>
        <v>Yes</v>
      </c>
    </row>
    <row r="838" spans="1:16" x14ac:dyDescent="0.3">
      <c r="A838" t="s">
        <v>1624</v>
      </c>
      <c r="B838" s="11">
        <v>44486</v>
      </c>
      <c r="C838" t="s">
        <v>1625</v>
      </c>
      <c r="D838" t="s">
        <v>59</v>
      </c>
      <c r="E838">
        <v>4</v>
      </c>
      <c r="F838" t="str">
        <f>_xlfn.XLOOKUP(C838,Customers!$A$2:$A$1001,Customers!$B$2:$B$1001)</f>
        <v>Frans Habbergham</v>
      </c>
      <c r="G838" t="str">
        <f>_xlfn.XLOOKUP(C838,Customers!$A$2:$A$1001,Customers!$C$2:$C$1001)</f>
        <v>fhabberghamn8@discovery.com</v>
      </c>
      <c r="H838" t="str">
        <f>_xlfn.XLOOKUP(C838,Customers!$A$2:$A$1001,Customers!$G$2:$G$1001)</f>
        <v>United States</v>
      </c>
      <c r="I838" t="str" cm="1">
        <f t="array" ref="I838:L838">_xlfn.XLOOKUP(D838,products!$A$2:$A$49,products!$B$2:$E$49)</f>
        <v>Ara</v>
      </c>
      <c r="J838" t="str">
        <v>D</v>
      </c>
      <c r="K838" s="8">
        <v>0.2</v>
      </c>
      <c r="L838" s="6">
        <v>2.9849999999999999</v>
      </c>
      <c r="M838" s="7">
        <f t="shared" si="39"/>
        <v>11.94</v>
      </c>
      <c r="N838" t="str">
        <f t="shared" si="40"/>
        <v>Arasbica</v>
      </c>
      <c r="O838" t="str">
        <f t="shared" si="41"/>
        <v>Dark</v>
      </c>
      <c r="P838" t="str">
        <f>_xlfn.XLOOKUP(Orders!C838,Customers!$A$2:$A$1001,Customers!$I$2:$I$1001)</f>
        <v>No</v>
      </c>
    </row>
    <row r="839" spans="1:16" x14ac:dyDescent="0.3">
      <c r="A839" t="s">
        <v>1626</v>
      </c>
      <c r="B839" s="11">
        <v>43715</v>
      </c>
      <c r="C839" t="s">
        <v>1574</v>
      </c>
      <c r="D839" t="s">
        <v>202</v>
      </c>
      <c r="E839">
        <v>3</v>
      </c>
      <c r="F839" t="str">
        <f>_xlfn.XLOOKUP(C839,Customers!$A$2:$A$1001,Customers!$B$2:$B$1001)</f>
        <v>Allis Wilmore</v>
      </c>
      <c r="G839">
        <f>_xlfn.XLOOKUP(C839,Customers!$A$2:$A$1001,Customers!$C$2:$C$1001)</f>
        <v>0</v>
      </c>
      <c r="H839" t="str">
        <f>_xlfn.XLOOKUP(C839,Customers!$A$2:$A$1001,Customers!$G$2:$G$1001)</f>
        <v>United States</v>
      </c>
      <c r="I839" t="str" cm="1">
        <f t="array" ref="I839:L839">_xlfn.XLOOKUP(D839,products!$A$2:$A$49,products!$B$2:$E$49)</f>
        <v>Lib</v>
      </c>
      <c r="J839" t="str">
        <v>M</v>
      </c>
      <c r="K839" s="8">
        <v>2.5</v>
      </c>
      <c r="L839" s="6">
        <v>33.464999999999996</v>
      </c>
      <c r="M839" s="7">
        <f t="shared" si="39"/>
        <v>100.39499999999998</v>
      </c>
      <c r="N839" t="str">
        <f t="shared" si="40"/>
        <v>Liberica</v>
      </c>
      <c r="O839" t="str">
        <f t="shared" si="41"/>
        <v>Medium</v>
      </c>
      <c r="P839" t="str">
        <f>_xlfn.XLOOKUP(Orders!C839,Customers!$A$2:$A$1001,Customers!$I$2:$I$1001)</f>
        <v>No</v>
      </c>
    </row>
    <row r="840" spans="1:16" x14ac:dyDescent="0.3">
      <c r="A840" t="s">
        <v>1627</v>
      </c>
      <c r="B840" s="11">
        <v>44755</v>
      </c>
      <c r="C840" t="s">
        <v>1628</v>
      </c>
      <c r="D840" t="s">
        <v>123</v>
      </c>
      <c r="E840">
        <v>5</v>
      </c>
      <c r="F840" t="str">
        <f>_xlfn.XLOOKUP(C840,Customers!$A$2:$A$1001,Customers!$B$2:$B$1001)</f>
        <v>Romain Avrashin</v>
      </c>
      <c r="G840" t="str">
        <f>_xlfn.XLOOKUP(C840,Customers!$A$2:$A$1001,Customers!$C$2:$C$1001)</f>
        <v>ravrashinna@tamu.edu</v>
      </c>
      <c r="H840" t="str">
        <f>_xlfn.XLOOKUP(C840,Customers!$A$2:$A$1001,Customers!$G$2:$G$1001)</f>
        <v>United States</v>
      </c>
      <c r="I840" t="str" cm="1">
        <f t="array" ref="I840:L840">_xlfn.XLOOKUP(D840,products!$A$2:$A$49,products!$B$2:$E$49)</f>
        <v>Ara</v>
      </c>
      <c r="J840" t="str">
        <v>D</v>
      </c>
      <c r="K840" s="8">
        <v>2.5</v>
      </c>
      <c r="L840" s="6">
        <v>22.884999999999998</v>
      </c>
      <c r="M840" s="7">
        <f t="shared" si="39"/>
        <v>114.42499999999998</v>
      </c>
      <c r="N840" t="str">
        <f t="shared" si="40"/>
        <v>Arasbica</v>
      </c>
      <c r="O840" t="str">
        <f t="shared" si="41"/>
        <v>Dark</v>
      </c>
      <c r="P840" t="str">
        <f>_xlfn.XLOOKUP(Orders!C840,Customers!$A$2:$A$1001,Customers!$I$2:$I$1001)</f>
        <v>No</v>
      </c>
    </row>
    <row r="841" spans="1:16" x14ac:dyDescent="0.3">
      <c r="A841" t="s">
        <v>1629</v>
      </c>
      <c r="B841" s="11">
        <v>44521</v>
      </c>
      <c r="C841" t="s">
        <v>1630</v>
      </c>
      <c r="D841" t="s">
        <v>8</v>
      </c>
      <c r="E841">
        <v>5</v>
      </c>
      <c r="F841" t="str">
        <f>_xlfn.XLOOKUP(C841,Customers!$A$2:$A$1001,Customers!$B$2:$B$1001)</f>
        <v>Miran Doidge</v>
      </c>
      <c r="G841" t="str">
        <f>_xlfn.XLOOKUP(C841,Customers!$A$2:$A$1001,Customers!$C$2:$C$1001)</f>
        <v>mdoidgenb@etsy.com</v>
      </c>
      <c r="H841" t="str">
        <f>_xlfn.XLOOKUP(C841,Customers!$A$2:$A$1001,Customers!$G$2:$G$1001)</f>
        <v>United States</v>
      </c>
      <c r="I841" t="str" cm="1">
        <f t="array" ref="I841:L841">_xlfn.XLOOKUP(D841,products!$A$2:$A$49,products!$B$2:$E$49)</f>
        <v>Exc</v>
      </c>
      <c r="J841" t="str">
        <v>M</v>
      </c>
      <c r="K841" s="8">
        <v>0.5</v>
      </c>
      <c r="L841" s="6">
        <v>8.25</v>
      </c>
      <c r="M841" s="7">
        <f t="shared" si="39"/>
        <v>41.25</v>
      </c>
      <c r="N841" t="str">
        <f t="shared" si="40"/>
        <v>Excelsa</v>
      </c>
      <c r="O841" t="str">
        <f t="shared" si="41"/>
        <v>Medium</v>
      </c>
      <c r="P841" t="str">
        <f>_xlfn.XLOOKUP(Orders!C841,Customers!$A$2:$A$1001,Customers!$I$2:$I$1001)</f>
        <v>No</v>
      </c>
    </row>
    <row r="842" spans="1:16" x14ac:dyDescent="0.3">
      <c r="A842" t="s">
        <v>1631</v>
      </c>
      <c r="B842" s="11">
        <v>44574</v>
      </c>
      <c r="C842" t="s">
        <v>1632</v>
      </c>
      <c r="D842" t="s">
        <v>162</v>
      </c>
      <c r="E842">
        <v>4</v>
      </c>
      <c r="F842" t="str">
        <f>_xlfn.XLOOKUP(C842,Customers!$A$2:$A$1001,Customers!$B$2:$B$1001)</f>
        <v>Janeva Edinboro</v>
      </c>
      <c r="G842" t="str">
        <f>_xlfn.XLOOKUP(C842,Customers!$A$2:$A$1001,Customers!$C$2:$C$1001)</f>
        <v>jedinboronc@reverbnation.com</v>
      </c>
      <c r="H842" t="str">
        <f>_xlfn.XLOOKUP(C842,Customers!$A$2:$A$1001,Customers!$G$2:$G$1001)</f>
        <v>United States</v>
      </c>
      <c r="I842" t="str" cm="1">
        <f t="array" ref="I842:L842">_xlfn.XLOOKUP(D842,products!$A$2:$A$49,products!$B$2:$E$49)</f>
        <v>Rob</v>
      </c>
      <c r="J842" t="str">
        <v>L</v>
      </c>
      <c r="K842" s="8">
        <v>0.5</v>
      </c>
      <c r="L842" s="6">
        <v>7.169999999999999</v>
      </c>
      <c r="M842" s="7">
        <f t="shared" si="39"/>
        <v>28.679999999999996</v>
      </c>
      <c r="N842" t="str">
        <f t="shared" si="40"/>
        <v>Robusta</v>
      </c>
      <c r="O842" t="str">
        <f t="shared" si="41"/>
        <v>Lite</v>
      </c>
      <c r="P842" t="str">
        <f>_xlfn.XLOOKUP(Orders!C842,Customers!$A$2:$A$1001,Customers!$I$2:$I$1001)</f>
        <v>Yes</v>
      </c>
    </row>
    <row r="843" spans="1:16" x14ac:dyDescent="0.3">
      <c r="A843" t="s">
        <v>1633</v>
      </c>
      <c r="B843" s="11">
        <v>44755</v>
      </c>
      <c r="C843" t="s">
        <v>1634</v>
      </c>
      <c r="D843" t="s">
        <v>82</v>
      </c>
      <c r="E843">
        <v>1</v>
      </c>
      <c r="F843" t="str">
        <f>_xlfn.XLOOKUP(C843,Customers!$A$2:$A$1001,Customers!$B$2:$B$1001)</f>
        <v>Trumaine Tewelson</v>
      </c>
      <c r="G843" t="str">
        <f>_xlfn.XLOOKUP(C843,Customers!$A$2:$A$1001,Customers!$C$2:$C$1001)</f>
        <v>ttewelsonnd@cdbaby.com</v>
      </c>
      <c r="H843" t="str">
        <f>_xlfn.XLOOKUP(C843,Customers!$A$2:$A$1001,Customers!$G$2:$G$1001)</f>
        <v>United States</v>
      </c>
      <c r="I843" t="str" cm="1">
        <f t="array" ref="I843:L843">_xlfn.XLOOKUP(D843,products!$A$2:$A$49,products!$B$2:$E$49)</f>
        <v>Lib</v>
      </c>
      <c r="J843" t="str">
        <v>M</v>
      </c>
      <c r="K843" s="8">
        <v>0.2</v>
      </c>
      <c r="L843" s="6">
        <v>4.3650000000000002</v>
      </c>
      <c r="M843" s="7">
        <f t="shared" si="39"/>
        <v>4.3650000000000002</v>
      </c>
      <c r="N843" t="str">
        <f t="shared" si="40"/>
        <v>Liberica</v>
      </c>
      <c r="O843" t="str">
        <f t="shared" si="41"/>
        <v>Medium</v>
      </c>
      <c r="P843" t="str">
        <f>_xlfn.XLOOKUP(Orders!C843,Customers!$A$2:$A$1001,Customers!$I$2:$I$1001)</f>
        <v>No</v>
      </c>
    </row>
    <row r="844" spans="1:16" x14ac:dyDescent="0.3">
      <c r="A844" t="s">
        <v>1635</v>
      </c>
      <c r="B844" s="11">
        <v>44502</v>
      </c>
      <c r="C844" t="s">
        <v>1605</v>
      </c>
      <c r="D844" t="s">
        <v>69</v>
      </c>
      <c r="E844">
        <v>2</v>
      </c>
      <c r="F844" t="str">
        <f>_xlfn.XLOOKUP(C844,Customers!$A$2:$A$1001,Customers!$B$2:$B$1001)</f>
        <v>Odelia Skerme</v>
      </c>
      <c r="G844" t="str">
        <f>_xlfn.XLOOKUP(C844,Customers!$A$2:$A$1001,Customers!$C$2:$C$1001)</f>
        <v>oskermen3@hatena.ne.jp</v>
      </c>
      <c r="H844" t="str">
        <f>_xlfn.XLOOKUP(C844,Customers!$A$2:$A$1001,Customers!$G$2:$G$1001)</f>
        <v>United States</v>
      </c>
      <c r="I844" t="str" cm="1">
        <f t="array" ref="I844:L844">_xlfn.XLOOKUP(D844,products!$A$2:$A$49,products!$B$2:$E$49)</f>
        <v>Exc</v>
      </c>
      <c r="J844" t="str">
        <v>M</v>
      </c>
      <c r="K844" s="8">
        <v>0.2</v>
      </c>
      <c r="L844" s="6">
        <v>4.125</v>
      </c>
      <c r="M844" s="7">
        <f t="shared" si="39"/>
        <v>8.25</v>
      </c>
      <c r="N844" t="str">
        <f t="shared" si="40"/>
        <v>Excelsa</v>
      </c>
      <c r="O844" t="str">
        <f t="shared" si="41"/>
        <v>Medium</v>
      </c>
      <c r="P844" t="str">
        <f>_xlfn.XLOOKUP(Orders!C844,Customers!$A$2:$A$1001,Customers!$I$2:$I$1001)</f>
        <v>Yes</v>
      </c>
    </row>
    <row r="845" spans="1:16" x14ac:dyDescent="0.3">
      <c r="A845" t="s">
        <v>1636</v>
      </c>
      <c r="B845" s="11">
        <v>44387</v>
      </c>
      <c r="C845" t="s">
        <v>1637</v>
      </c>
      <c r="D845" t="s">
        <v>69</v>
      </c>
      <c r="E845">
        <v>2</v>
      </c>
      <c r="F845" t="str">
        <f>_xlfn.XLOOKUP(C845,Customers!$A$2:$A$1001,Customers!$B$2:$B$1001)</f>
        <v>De Drewitt</v>
      </c>
      <c r="G845" t="str">
        <f>_xlfn.XLOOKUP(C845,Customers!$A$2:$A$1001,Customers!$C$2:$C$1001)</f>
        <v>ddrewittnf@mapquest.com</v>
      </c>
      <c r="H845" t="str">
        <f>_xlfn.XLOOKUP(C845,Customers!$A$2:$A$1001,Customers!$G$2:$G$1001)</f>
        <v>United States</v>
      </c>
      <c r="I845" t="str" cm="1">
        <f t="array" ref="I845:L845">_xlfn.XLOOKUP(D845,products!$A$2:$A$49,products!$B$2:$E$49)</f>
        <v>Exc</v>
      </c>
      <c r="J845" t="str">
        <v>M</v>
      </c>
      <c r="K845" s="8">
        <v>0.2</v>
      </c>
      <c r="L845" s="6">
        <v>4.125</v>
      </c>
      <c r="M845" s="7">
        <f t="shared" si="39"/>
        <v>8.25</v>
      </c>
      <c r="N845" t="str">
        <f t="shared" si="40"/>
        <v>Excelsa</v>
      </c>
      <c r="O845" t="str">
        <f t="shared" si="41"/>
        <v>Medium</v>
      </c>
      <c r="P845" t="str">
        <f>_xlfn.XLOOKUP(Orders!C845,Customers!$A$2:$A$1001,Customers!$I$2:$I$1001)</f>
        <v>Yes</v>
      </c>
    </row>
    <row r="846" spans="1:16" x14ac:dyDescent="0.3">
      <c r="A846" t="s">
        <v>1638</v>
      </c>
      <c r="B846" s="11">
        <v>44476</v>
      </c>
      <c r="C846" t="s">
        <v>1639</v>
      </c>
      <c r="D846" t="s">
        <v>77</v>
      </c>
      <c r="E846">
        <v>6</v>
      </c>
      <c r="F846" t="str">
        <f>_xlfn.XLOOKUP(C846,Customers!$A$2:$A$1001,Customers!$B$2:$B$1001)</f>
        <v>Adelheid Gladhill</v>
      </c>
      <c r="G846" t="str">
        <f>_xlfn.XLOOKUP(C846,Customers!$A$2:$A$1001,Customers!$C$2:$C$1001)</f>
        <v>agladhillng@stanford.edu</v>
      </c>
      <c r="H846" t="str">
        <f>_xlfn.XLOOKUP(C846,Customers!$A$2:$A$1001,Customers!$G$2:$G$1001)</f>
        <v>United States</v>
      </c>
      <c r="I846" t="str" cm="1">
        <f t="array" ref="I846:L846">_xlfn.XLOOKUP(D846,products!$A$2:$A$49,products!$B$2:$E$49)</f>
        <v>Ara</v>
      </c>
      <c r="J846" t="str">
        <v>D</v>
      </c>
      <c r="K846" s="8">
        <v>0.5</v>
      </c>
      <c r="L846" s="6">
        <v>5.97</v>
      </c>
      <c r="M846" s="7">
        <f t="shared" si="39"/>
        <v>35.82</v>
      </c>
      <c r="N846" t="str">
        <f t="shared" si="40"/>
        <v>Arasbica</v>
      </c>
      <c r="O846" t="str">
        <f t="shared" si="41"/>
        <v>Dark</v>
      </c>
      <c r="P846" t="str">
        <f>_xlfn.XLOOKUP(Orders!C846,Customers!$A$2:$A$1001,Customers!$I$2:$I$1001)</f>
        <v>Yes</v>
      </c>
    </row>
    <row r="847" spans="1:16" x14ac:dyDescent="0.3">
      <c r="A847" t="s">
        <v>1640</v>
      </c>
      <c r="B847" s="11">
        <v>43889</v>
      </c>
      <c r="C847" t="s">
        <v>1641</v>
      </c>
      <c r="D847" t="s">
        <v>535</v>
      </c>
      <c r="E847">
        <v>6</v>
      </c>
      <c r="F847" t="str">
        <f>_xlfn.XLOOKUP(C847,Customers!$A$2:$A$1001,Customers!$B$2:$B$1001)</f>
        <v>Murielle Lorinez</v>
      </c>
      <c r="G847" t="str">
        <f>_xlfn.XLOOKUP(C847,Customers!$A$2:$A$1001,Customers!$C$2:$C$1001)</f>
        <v>mlorineznh@whitehouse.gov</v>
      </c>
      <c r="H847" t="str">
        <f>_xlfn.XLOOKUP(C847,Customers!$A$2:$A$1001,Customers!$G$2:$G$1001)</f>
        <v>United States</v>
      </c>
      <c r="I847" t="str" cm="1">
        <f t="array" ref="I847:L847">_xlfn.XLOOKUP(D847,products!$A$2:$A$49,products!$B$2:$E$49)</f>
        <v>Exc</v>
      </c>
      <c r="J847" t="str">
        <v>D</v>
      </c>
      <c r="K847" s="8">
        <v>2.5</v>
      </c>
      <c r="L847" s="6">
        <v>27.945</v>
      </c>
      <c r="M847" s="7">
        <f t="shared" si="39"/>
        <v>167.67000000000002</v>
      </c>
      <c r="N847" t="str">
        <f t="shared" si="40"/>
        <v>Excelsa</v>
      </c>
      <c r="O847" t="str">
        <f t="shared" si="41"/>
        <v>Dark</v>
      </c>
      <c r="P847" t="str">
        <f>_xlfn.XLOOKUP(Orders!C847,Customers!$A$2:$A$1001,Customers!$I$2:$I$1001)</f>
        <v>No</v>
      </c>
    </row>
    <row r="848" spans="1:16" x14ac:dyDescent="0.3">
      <c r="A848" t="s">
        <v>1642</v>
      </c>
      <c r="B848" s="11">
        <v>44747</v>
      </c>
      <c r="C848" t="s">
        <v>1643</v>
      </c>
      <c r="D848" t="s">
        <v>176</v>
      </c>
      <c r="E848">
        <v>2</v>
      </c>
      <c r="F848" t="str">
        <f>_xlfn.XLOOKUP(C848,Customers!$A$2:$A$1001,Customers!$B$2:$B$1001)</f>
        <v>Edin Mathe</v>
      </c>
      <c r="G848">
        <f>_xlfn.XLOOKUP(C848,Customers!$A$2:$A$1001,Customers!$C$2:$C$1001)</f>
        <v>0</v>
      </c>
      <c r="H848" t="str">
        <f>_xlfn.XLOOKUP(C848,Customers!$A$2:$A$1001,Customers!$G$2:$G$1001)</f>
        <v>United States</v>
      </c>
      <c r="I848" t="str" cm="1">
        <f t="array" ref="I848:L848">_xlfn.XLOOKUP(D848,products!$A$2:$A$49,products!$B$2:$E$49)</f>
        <v>Ara</v>
      </c>
      <c r="J848" t="str">
        <v>M</v>
      </c>
      <c r="K848" s="8">
        <v>2.5</v>
      </c>
      <c r="L848" s="6">
        <v>25.874999999999996</v>
      </c>
      <c r="M848" s="7">
        <f t="shared" si="39"/>
        <v>51.749999999999993</v>
      </c>
      <c r="N848" t="str">
        <f t="shared" si="40"/>
        <v>Arasbica</v>
      </c>
      <c r="O848" t="str">
        <f t="shared" si="41"/>
        <v>Medium</v>
      </c>
      <c r="P848" t="str">
        <f>_xlfn.XLOOKUP(Orders!C848,Customers!$A$2:$A$1001,Customers!$I$2:$I$1001)</f>
        <v>Yes</v>
      </c>
    </row>
    <row r="849" spans="1:16" x14ac:dyDescent="0.3">
      <c r="A849" t="s">
        <v>1644</v>
      </c>
      <c r="B849" s="11">
        <v>44460</v>
      </c>
      <c r="C849" t="s">
        <v>1645</v>
      </c>
      <c r="D849" t="s">
        <v>59</v>
      </c>
      <c r="E849">
        <v>3</v>
      </c>
      <c r="F849" t="str">
        <f>_xlfn.XLOOKUP(C849,Customers!$A$2:$A$1001,Customers!$B$2:$B$1001)</f>
        <v>Mordy Van Der Vlies</v>
      </c>
      <c r="G849" t="str">
        <f>_xlfn.XLOOKUP(C849,Customers!$A$2:$A$1001,Customers!$C$2:$C$1001)</f>
        <v>mvannj@wikipedia.org</v>
      </c>
      <c r="H849" t="str">
        <f>_xlfn.XLOOKUP(C849,Customers!$A$2:$A$1001,Customers!$G$2:$G$1001)</f>
        <v>United States</v>
      </c>
      <c r="I849" t="str" cm="1">
        <f t="array" ref="I849:L849">_xlfn.XLOOKUP(D849,products!$A$2:$A$49,products!$B$2:$E$49)</f>
        <v>Ara</v>
      </c>
      <c r="J849" t="str">
        <v>D</v>
      </c>
      <c r="K849" s="8">
        <v>0.2</v>
      </c>
      <c r="L849" s="6">
        <v>2.9849999999999999</v>
      </c>
      <c r="M849" s="7">
        <f t="shared" si="39"/>
        <v>8.9550000000000001</v>
      </c>
      <c r="N849" t="str">
        <f t="shared" si="40"/>
        <v>Arasbica</v>
      </c>
      <c r="O849" t="str">
        <f t="shared" si="41"/>
        <v>Dark</v>
      </c>
      <c r="P849" t="str">
        <f>_xlfn.XLOOKUP(Orders!C849,Customers!$A$2:$A$1001,Customers!$I$2:$I$1001)</f>
        <v>Yes</v>
      </c>
    </row>
    <row r="850" spans="1:16" x14ac:dyDescent="0.3">
      <c r="A850" t="s">
        <v>1646</v>
      </c>
      <c r="B850" s="11">
        <v>43468</v>
      </c>
      <c r="C850" t="s">
        <v>1647</v>
      </c>
      <c r="D850" t="s">
        <v>181</v>
      </c>
      <c r="E850">
        <v>6</v>
      </c>
      <c r="F850" t="str">
        <f>_xlfn.XLOOKUP(C850,Customers!$A$2:$A$1001,Customers!$B$2:$B$1001)</f>
        <v>Spencer Wastell</v>
      </c>
      <c r="G850">
        <f>_xlfn.XLOOKUP(C850,Customers!$A$2:$A$1001,Customers!$C$2:$C$1001)</f>
        <v>0</v>
      </c>
      <c r="H850" t="str">
        <f>_xlfn.XLOOKUP(C850,Customers!$A$2:$A$1001,Customers!$G$2:$G$1001)</f>
        <v>United States</v>
      </c>
      <c r="I850" t="str" cm="1">
        <f t="array" ref="I850:L850">_xlfn.XLOOKUP(D850,products!$A$2:$A$49,products!$B$2:$E$49)</f>
        <v>Exc</v>
      </c>
      <c r="J850" t="str">
        <v>L</v>
      </c>
      <c r="K850" s="8">
        <v>0.5</v>
      </c>
      <c r="L850" s="6">
        <v>8.91</v>
      </c>
      <c r="M850" s="7">
        <f t="shared" si="39"/>
        <v>53.46</v>
      </c>
      <c r="N850" t="str">
        <f t="shared" si="40"/>
        <v>Excelsa</v>
      </c>
      <c r="O850" t="str">
        <f t="shared" si="41"/>
        <v>Lite</v>
      </c>
      <c r="P850" t="str">
        <f>_xlfn.XLOOKUP(Orders!C850,Customers!$A$2:$A$1001,Customers!$I$2:$I$1001)</f>
        <v>No</v>
      </c>
    </row>
    <row r="851" spans="1:16" x14ac:dyDescent="0.3">
      <c r="A851" t="s">
        <v>1648</v>
      </c>
      <c r="B851" s="11">
        <v>44628</v>
      </c>
      <c r="C851" t="s">
        <v>1649</v>
      </c>
      <c r="D851" t="s">
        <v>120</v>
      </c>
      <c r="E851">
        <v>6</v>
      </c>
      <c r="F851" t="str">
        <f>_xlfn.XLOOKUP(C851,Customers!$A$2:$A$1001,Customers!$B$2:$B$1001)</f>
        <v>Jemimah Ethelston</v>
      </c>
      <c r="G851" t="str">
        <f>_xlfn.XLOOKUP(C851,Customers!$A$2:$A$1001,Customers!$C$2:$C$1001)</f>
        <v>jethelstonnl@creativecommons.org</v>
      </c>
      <c r="H851" t="str">
        <f>_xlfn.XLOOKUP(C851,Customers!$A$2:$A$1001,Customers!$G$2:$G$1001)</f>
        <v>United States</v>
      </c>
      <c r="I851" t="str" cm="1">
        <f t="array" ref="I851:L851">_xlfn.XLOOKUP(D851,products!$A$2:$A$49,products!$B$2:$E$49)</f>
        <v>Ara</v>
      </c>
      <c r="J851" t="str">
        <v>L</v>
      </c>
      <c r="K851" s="8">
        <v>0.2</v>
      </c>
      <c r="L851" s="6">
        <v>3.8849999999999998</v>
      </c>
      <c r="M851" s="7">
        <f t="shared" si="39"/>
        <v>23.31</v>
      </c>
      <c r="N851" t="str">
        <f t="shared" si="40"/>
        <v>Arasbica</v>
      </c>
      <c r="O851" t="str">
        <f t="shared" si="41"/>
        <v>Lite</v>
      </c>
      <c r="P851" t="str">
        <f>_xlfn.XLOOKUP(Orders!C851,Customers!$A$2:$A$1001,Customers!$I$2:$I$1001)</f>
        <v>Yes</v>
      </c>
    </row>
    <row r="852" spans="1:16" x14ac:dyDescent="0.3">
      <c r="A852" t="s">
        <v>1648</v>
      </c>
      <c r="B852" s="11">
        <v>44628</v>
      </c>
      <c r="C852" t="s">
        <v>1649</v>
      </c>
      <c r="D852" t="s">
        <v>49</v>
      </c>
      <c r="E852">
        <v>2</v>
      </c>
      <c r="F852" t="str">
        <f>_xlfn.XLOOKUP(C852,Customers!$A$2:$A$1001,Customers!$B$2:$B$1001)</f>
        <v>Jemimah Ethelston</v>
      </c>
      <c r="G852" t="str">
        <f>_xlfn.XLOOKUP(C852,Customers!$A$2:$A$1001,Customers!$C$2:$C$1001)</f>
        <v>jethelstonnl@creativecommons.org</v>
      </c>
      <c r="H852" t="str">
        <f>_xlfn.XLOOKUP(C852,Customers!$A$2:$A$1001,Customers!$G$2:$G$1001)</f>
        <v>United States</v>
      </c>
      <c r="I852" t="str" cm="1">
        <f t="array" ref="I852:L852">_xlfn.XLOOKUP(D852,products!$A$2:$A$49,products!$B$2:$E$49)</f>
        <v>Ara</v>
      </c>
      <c r="J852" t="str">
        <v>M</v>
      </c>
      <c r="K852" s="8">
        <v>0.2</v>
      </c>
      <c r="L852" s="6">
        <v>3.375</v>
      </c>
      <c r="M852" s="7">
        <f t="shared" si="39"/>
        <v>6.75</v>
      </c>
      <c r="N852" t="str">
        <f t="shared" si="40"/>
        <v>Arasbica</v>
      </c>
      <c r="O852" t="str">
        <f t="shared" si="41"/>
        <v>Medium</v>
      </c>
      <c r="P852" t="str">
        <f>_xlfn.XLOOKUP(Orders!C852,Customers!$A$2:$A$1001,Customers!$I$2:$I$1001)</f>
        <v>Yes</v>
      </c>
    </row>
    <row r="853" spans="1:16" x14ac:dyDescent="0.3">
      <c r="A853" t="s">
        <v>1650</v>
      </c>
      <c r="B853" s="11">
        <v>43900</v>
      </c>
      <c r="C853" t="s">
        <v>1651</v>
      </c>
      <c r="D853" t="s">
        <v>128</v>
      </c>
      <c r="E853">
        <v>1</v>
      </c>
      <c r="F853" t="str">
        <f>_xlfn.XLOOKUP(C853,Customers!$A$2:$A$1001,Customers!$B$2:$B$1001)</f>
        <v>Perice Eberz</v>
      </c>
      <c r="G853" t="str">
        <f>_xlfn.XLOOKUP(C853,Customers!$A$2:$A$1001,Customers!$C$2:$C$1001)</f>
        <v>peberznn@woothemes.com</v>
      </c>
      <c r="H853" t="str">
        <f>_xlfn.XLOOKUP(C853,Customers!$A$2:$A$1001,Customers!$G$2:$G$1001)</f>
        <v>United States</v>
      </c>
      <c r="I853" t="str" cm="1">
        <f t="array" ref="I853:L853">_xlfn.XLOOKUP(D853,products!$A$2:$A$49,products!$B$2:$E$49)</f>
        <v>Lib</v>
      </c>
      <c r="J853" t="str">
        <v>D</v>
      </c>
      <c r="K853" s="8">
        <v>0.5</v>
      </c>
      <c r="L853" s="6">
        <v>7.77</v>
      </c>
      <c r="M853" s="7">
        <f t="shared" si="39"/>
        <v>7.77</v>
      </c>
      <c r="N853" t="str">
        <f t="shared" si="40"/>
        <v>Liberica</v>
      </c>
      <c r="O853" t="str">
        <f t="shared" si="41"/>
        <v>Dark</v>
      </c>
      <c r="P853" t="str">
        <f>_xlfn.XLOOKUP(Orders!C853,Customers!$A$2:$A$1001,Customers!$I$2:$I$1001)</f>
        <v>Yes</v>
      </c>
    </row>
    <row r="854" spans="1:16" x14ac:dyDescent="0.3">
      <c r="A854" t="s">
        <v>1652</v>
      </c>
      <c r="B854" s="11">
        <v>44527</v>
      </c>
      <c r="C854" t="s">
        <v>1653</v>
      </c>
      <c r="D854" t="s">
        <v>114</v>
      </c>
      <c r="E854">
        <v>4</v>
      </c>
      <c r="F854" t="str">
        <f>_xlfn.XLOOKUP(C854,Customers!$A$2:$A$1001,Customers!$B$2:$B$1001)</f>
        <v>Bear Gaish</v>
      </c>
      <c r="G854" t="str">
        <f>_xlfn.XLOOKUP(C854,Customers!$A$2:$A$1001,Customers!$C$2:$C$1001)</f>
        <v>bgaishno@altervista.org</v>
      </c>
      <c r="H854" t="str">
        <f>_xlfn.XLOOKUP(C854,Customers!$A$2:$A$1001,Customers!$G$2:$G$1001)</f>
        <v>United States</v>
      </c>
      <c r="I854" t="str" cm="1">
        <f t="array" ref="I854:L854">_xlfn.XLOOKUP(D854,products!$A$2:$A$49,products!$B$2:$E$49)</f>
        <v>Lib</v>
      </c>
      <c r="J854" t="str">
        <v>D</v>
      </c>
      <c r="K854" s="8">
        <v>2.5</v>
      </c>
      <c r="L854" s="6">
        <v>29.784999999999997</v>
      </c>
      <c r="M854" s="7">
        <f t="shared" si="39"/>
        <v>119.13999999999999</v>
      </c>
      <c r="N854" t="str">
        <f t="shared" si="40"/>
        <v>Liberica</v>
      </c>
      <c r="O854" t="str">
        <f t="shared" si="41"/>
        <v>Dark</v>
      </c>
      <c r="P854" t="str">
        <f>_xlfn.XLOOKUP(Orders!C854,Customers!$A$2:$A$1001,Customers!$I$2:$I$1001)</f>
        <v>Yes</v>
      </c>
    </row>
    <row r="855" spans="1:16" x14ac:dyDescent="0.3">
      <c r="A855" t="s">
        <v>1654</v>
      </c>
      <c r="B855" s="11">
        <v>44259</v>
      </c>
      <c r="C855" t="s">
        <v>1655</v>
      </c>
      <c r="D855" t="s">
        <v>32</v>
      </c>
      <c r="E855">
        <v>2</v>
      </c>
      <c r="F855" t="str">
        <f>_xlfn.XLOOKUP(C855,Customers!$A$2:$A$1001,Customers!$B$2:$B$1001)</f>
        <v>Lynnea Danton</v>
      </c>
      <c r="G855" t="str">
        <f>_xlfn.XLOOKUP(C855,Customers!$A$2:$A$1001,Customers!$C$2:$C$1001)</f>
        <v>ldantonnp@miitbeian.gov.cn</v>
      </c>
      <c r="H855" t="str">
        <f>_xlfn.XLOOKUP(C855,Customers!$A$2:$A$1001,Customers!$G$2:$G$1001)</f>
        <v>United States</v>
      </c>
      <c r="I855" t="str" cm="1">
        <f t="array" ref="I855:L855">_xlfn.XLOOKUP(D855,products!$A$2:$A$49,products!$B$2:$E$49)</f>
        <v>Ara</v>
      </c>
      <c r="J855" t="str">
        <v>D</v>
      </c>
      <c r="K855" s="8">
        <v>1</v>
      </c>
      <c r="L855" s="6">
        <v>9.9499999999999993</v>
      </c>
      <c r="M855" s="7">
        <f t="shared" si="39"/>
        <v>19.899999999999999</v>
      </c>
      <c r="N855" t="str">
        <f t="shared" si="40"/>
        <v>Arasbica</v>
      </c>
      <c r="O855" t="str">
        <f t="shared" si="41"/>
        <v>Dark</v>
      </c>
      <c r="P855" t="str">
        <f>_xlfn.XLOOKUP(Orders!C855,Customers!$A$2:$A$1001,Customers!$I$2:$I$1001)</f>
        <v>No</v>
      </c>
    </row>
    <row r="856" spans="1:16" x14ac:dyDescent="0.3">
      <c r="A856" t="s">
        <v>1656</v>
      </c>
      <c r="B856" s="11">
        <v>44516</v>
      </c>
      <c r="C856" t="s">
        <v>1657</v>
      </c>
      <c r="D856" t="s">
        <v>162</v>
      </c>
      <c r="E856">
        <v>5</v>
      </c>
      <c r="F856" t="str">
        <f>_xlfn.XLOOKUP(C856,Customers!$A$2:$A$1001,Customers!$B$2:$B$1001)</f>
        <v>Skipton Morrall</v>
      </c>
      <c r="G856" t="str">
        <f>_xlfn.XLOOKUP(C856,Customers!$A$2:$A$1001,Customers!$C$2:$C$1001)</f>
        <v>smorrallnq@answers.com</v>
      </c>
      <c r="H856" t="str">
        <f>_xlfn.XLOOKUP(C856,Customers!$A$2:$A$1001,Customers!$G$2:$G$1001)</f>
        <v>United States</v>
      </c>
      <c r="I856" t="str" cm="1">
        <f t="array" ref="I856:L856">_xlfn.XLOOKUP(D856,products!$A$2:$A$49,products!$B$2:$E$49)</f>
        <v>Rob</v>
      </c>
      <c r="J856" t="str">
        <v>L</v>
      </c>
      <c r="K856" s="8">
        <v>0.5</v>
      </c>
      <c r="L856" s="6">
        <v>7.169999999999999</v>
      </c>
      <c r="M856" s="7">
        <f t="shared" si="39"/>
        <v>35.849999999999994</v>
      </c>
      <c r="N856" t="str">
        <f t="shared" si="40"/>
        <v>Robusta</v>
      </c>
      <c r="O856" t="str">
        <f t="shared" si="41"/>
        <v>Lite</v>
      </c>
      <c r="P856" t="str">
        <f>_xlfn.XLOOKUP(Orders!C856,Customers!$A$2:$A$1001,Customers!$I$2:$I$1001)</f>
        <v>Yes</v>
      </c>
    </row>
    <row r="857" spans="1:16" x14ac:dyDescent="0.3">
      <c r="A857" t="s">
        <v>1658</v>
      </c>
      <c r="B857" s="11">
        <v>43632</v>
      </c>
      <c r="C857" t="s">
        <v>1659</v>
      </c>
      <c r="D857" t="s">
        <v>114</v>
      </c>
      <c r="E857">
        <v>3</v>
      </c>
      <c r="F857" t="str">
        <f>_xlfn.XLOOKUP(C857,Customers!$A$2:$A$1001,Customers!$B$2:$B$1001)</f>
        <v>Devan Crownshaw</v>
      </c>
      <c r="G857" t="str">
        <f>_xlfn.XLOOKUP(C857,Customers!$A$2:$A$1001,Customers!$C$2:$C$1001)</f>
        <v>dcrownshawnr@photobucket.com</v>
      </c>
      <c r="H857" t="str">
        <f>_xlfn.XLOOKUP(C857,Customers!$A$2:$A$1001,Customers!$G$2:$G$1001)</f>
        <v>United States</v>
      </c>
      <c r="I857" t="str" cm="1">
        <f t="array" ref="I857:L857">_xlfn.XLOOKUP(D857,products!$A$2:$A$49,products!$B$2:$E$49)</f>
        <v>Lib</v>
      </c>
      <c r="J857" t="str">
        <v>D</v>
      </c>
      <c r="K857" s="8">
        <v>2.5</v>
      </c>
      <c r="L857" s="6">
        <v>29.784999999999997</v>
      </c>
      <c r="M857" s="7">
        <f t="shared" si="39"/>
        <v>89.35499999999999</v>
      </c>
      <c r="N857" t="str">
        <f t="shared" si="40"/>
        <v>Liberica</v>
      </c>
      <c r="O857" t="str">
        <f t="shared" si="41"/>
        <v>Dark</v>
      </c>
      <c r="P857" t="str">
        <f>_xlfn.XLOOKUP(Orders!C857,Customers!$A$2:$A$1001,Customers!$I$2:$I$1001)</f>
        <v>No</v>
      </c>
    </row>
    <row r="858" spans="1:16" x14ac:dyDescent="0.3">
      <c r="A858" t="s">
        <v>1660</v>
      </c>
      <c r="B858" s="11">
        <v>44031</v>
      </c>
      <c r="C858" t="s">
        <v>1605</v>
      </c>
      <c r="D858" t="s">
        <v>82</v>
      </c>
      <c r="E858">
        <v>2</v>
      </c>
      <c r="F858" t="str">
        <f>_xlfn.XLOOKUP(C858,Customers!$A$2:$A$1001,Customers!$B$2:$B$1001)</f>
        <v>Odelia Skerme</v>
      </c>
      <c r="G858" t="str">
        <f>_xlfn.XLOOKUP(C858,Customers!$A$2:$A$1001,Customers!$C$2:$C$1001)</f>
        <v>oskermen3@hatena.ne.jp</v>
      </c>
      <c r="H858" t="str">
        <f>_xlfn.XLOOKUP(C858,Customers!$A$2:$A$1001,Customers!$G$2:$G$1001)</f>
        <v>United States</v>
      </c>
      <c r="I858" t="str" cm="1">
        <f t="array" ref="I858:L858">_xlfn.XLOOKUP(D858,products!$A$2:$A$49,products!$B$2:$E$49)</f>
        <v>Lib</v>
      </c>
      <c r="J858" t="str">
        <v>M</v>
      </c>
      <c r="K858" s="8">
        <v>0.2</v>
      </c>
      <c r="L858" s="6">
        <v>4.3650000000000002</v>
      </c>
      <c r="M858" s="7">
        <f t="shared" si="39"/>
        <v>8.73</v>
      </c>
      <c r="N858" t="str">
        <f t="shared" si="40"/>
        <v>Liberica</v>
      </c>
      <c r="O858" t="str">
        <f t="shared" si="41"/>
        <v>Medium</v>
      </c>
      <c r="P858" t="str">
        <f>_xlfn.XLOOKUP(Orders!C858,Customers!$A$2:$A$1001,Customers!$I$2:$I$1001)</f>
        <v>Yes</v>
      </c>
    </row>
    <row r="859" spans="1:16" x14ac:dyDescent="0.3">
      <c r="A859" t="s">
        <v>1661</v>
      </c>
      <c r="B859" s="11">
        <v>43889</v>
      </c>
      <c r="C859" t="s">
        <v>1662</v>
      </c>
      <c r="D859" t="s">
        <v>15</v>
      </c>
      <c r="E859">
        <v>5</v>
      </c>
      <c r="F859" t="str">
        <f>_xlfn.XLOOKUP(C859,Customers!$A$2:$A$1001,Customers!$B$2:$B$1001)</f>
        <v>Joceline Reddoch</v>
      </c>
      <c r="G859" t="str">
        <f>_xlfn.XLOOKUP(C859,Customers!$A$2:$A$1001,Customers!$C$2:$C$1001)</f>
        <v>jreddochnt@sun.com</v>
      </c>
      <c r="H859" t="str">
        <f>_xlfn.XLOOKUP(C859,Customers!$A$2:$A$1001,Customers!$G$2:$G$1001)</f>
        <v>United States</v>
      </c>
      <c r="I859" t="str" cm="1">
        <f t="array" ref="I859:L859">_xlfn.XLOOKUP(D859,products!$A$2:$A$49,products!$B$2:$E$49)</f>
        <v>Rob</v>
      </c>
      <c r="J859" t="str">
        <v>L</v>
      </c>
      <c r="K859" s="8">
        <v>2.5</v>
      </c>
      <c r="L859" s="6">
        <v>27.484999999999996</v>
      </c>
      <c r="M859" s="7">
        <f t="shared" si="39"/>
        <v>137.42499999999998</v>
      </c>
      <c r="N859" t="str">
        <f t="shared" si="40"/>
        <v>Robusta</v>
      </c>
      <c r="O859" t="str">
        <f t="shared" si="41"/>
        <v>Lite</v>
      </c>
      <c r="P859" t="str">
        <f>_xlfn.XLOOKUP(Orders!C859,Customers!$A$2:$A$1001,Customers!$I$2:$I$1001)</f>
        <v>No</v>
      </c>
    </row>
    <row r="860" spans="1:16" x14ac:dyDescent="0.3">
      <c r="A860" t="s">
        <v>1663</v>
      </c>
      <c r="B860" s="11">
        <v>43638</v>
      </c>
      <c r="C860" t="s">
        <v>1664</v>
      </c>
      <c r="D860" t="s">
        <v>83</v>
      </c>
      <c r="E860">
        <v>4</v>
      </c>
      <c r="F860" t="str">
        <f>_xlfn.XLOOKUP(C860,Customers!$A$2:$A$1001,Customers!$B$2:$B$1001)</f>
        <v>Shelley Titley</v>
      </c>
      <c r="G860" t="str">
        <f>_xlfn.XLOOKUP(C860,Customers!$A$2:$A$1001,Customers!$C$2:$C$1001)</f>
        <v>stitleynu@whitehouse.gov</v>
      </c>
      <c r="H860" t="str">
        <f>_xlfn.XLOOKUP(C860,Customers!$A$2:$A$1001,Customers!$G$2:$G$1001)</f>
        <v>United States</v>
      </c>
      <c r="I860" t="str" cm="1">
        <f t="array" ref="I860:L860">_xlfn.XLOOKUP(D860,products!$A$2:$A$49,products!$B$2:$E$49)</f>
        <v>Lib</v>
      </c>
      <c r="J860" t="str">
        <v>M</v>
      </c>
      <c r="K860" s="8">
        <v>0.5</v>
      </c>
      <c r="L860" s="6">
        <v>8.73</v>
      </c>
      <c r="M860" s="7">
        <f t="shared" si="39"/>
        <v>34.92</v>
      </c>
      <c r="N860" t="str">
        <f t="shared" si="40"/>
        <v>Liberica</v>
      </c>
      <c r="O860" t="str">
        <f t="shared" si="41"/>
        <v>Medium</v>
      </c>
      <c r="P860" t="str">
        <f>_xlfn.XLOOKUP(Orders!C860,Customers!$A$2:$A$1001,Customers!$I$2:$I$1001)</f>
        <v>No</v>
      </c>
    </row>
    <row r="861" spans="1:16" x14ac:dyDescent="0.3">
      <c r="A861" t="s">
        <v>1665</v>
      </c>
      <c r="B861" s="11">
        <v>43716</v>
      </c>
      <c r="C861" t="s">
        <v>1666</v>
      </c>
      <c r="D861" t="s">
        <v>209</v>
      </c>
      <c r="E861">
        <v>6</v>
      </c>
      <c r="F861" t="str">
        <f>_xlfn.XLOOKUP(C861,Customers!$A$2:$A$1001,Customers!$B$2:$B$1001)</f>
        <v>Redd Simao</v>
      </c>
      <c r="G861" t="str">
        <f>_xlfn.XLOOKUP(C861,Customers!$A$2:$A$1001,Customers!$C$2:$C$1001)</f>
        <v>rsimaonv@simplemachines.org</v>
      </c>
      <c r="H861" t="str">
        <f>_xlfn.XLOOKUP(C861,Customers!$A$2:$A$1001,Customers!$G$2:$G$1001)</f>
        <v>United States</v>
      </c>
      <c r="I861" t="str" cm="1">
        <f t="array" ref="I861:L861">_xlfn.XLOOKUP(D861,products!$A$2:$A$49,products!$B$2:$E$49)</f>
        <v>Ara</v>
      </c>
      <c r="J861" t="str">
        <v>L</v>
      </c>
      <c r="K861" s="8">
        <v>2.5</v>
      </c>
      <c r="L861" s="6">
        <v>29.784999999999997</v>
      </c>
      <c r="M861" s="7">
        <f t="shared" si="39"/>
        <v>178.70999999999998</v>
      </c>
      <c r="N861" t="str">
        <f t="shared" si="40"/>
        <v>Arasbica</v>
      </c>
      <c r="O861" t="str">
        <f t="shared" si="41"/>
        <v>Lite</v>
      </c>
      <c r="P861" t="str">
        <f>_xlfn.XLOOKUP(Orders!C861,Customers!$A$2:$A$1001,Customers!$I$2:$I$1001)</f>
        <v>No</v>
      </c>
    </row>
    <row r="862" spans="1:16" x14ac:dyDescent="0.3">
      <c r="A862" t="s">
        <v>1667</v>
      </c>
      <c r="B862" s="11">
        <v>44707</v>
      </c>
      <c r="C862" t="s">
        <v>1668</v>
      </c>
      <c r="D862" t="s">
        <v>176</v>
      </c>
      <c r="E862">
        <v>1</v>
      </c>
      <c r="F862" t="str">
        <f>_xlfn.XLOOKUP(C862,Customers!$A$2:$A$1001,Customers!$B$2:$B$1001)</f>
        <v>Cece Inker</v>
      </c>
      <c r="G862">
        <f>_xlfn.XLOOKUP(C862,Customers!$A$2:$A$1001,Customers!$C$2:$C$1001)</f>
        <v>0</v>
      </c>
      <c r="H862" t="str">
        <f>_xlfn.XLOOKUP(C862,Customers!$A$2:$A$1001,Customers!$G$2:$G$1001)</f>
        <v>United States</v>
      </c>
      <c r="I862" t="str" cm="1">
        <f t="array" ref="I862:L862">_xlfn.XLOOKUP(D862,products!$A$2:$A$49,products!$B$2:$E$49)</f>
        <v>Ara</v>
      </c>
      <c r="J862" t="str">
        <v>M</v>
      </c>
      <c r="K862" s="8">
        <v>2.5</v>
      </c>
      <c r="L862" s="6">
        <v>25.874999999999996</v>
      </c>
      <c r="M862" s="7">
        <f t="shared" si="39"/>
        <v>25.874999999999996</v>
      </c>
      <c r="N862" t="str">
        <f t="shared" si="40"/>
        <v>Arasbica</v>
      </c>
      <c r="O862" t="str">
        <f t="shared" si="41"/>
        <v>Medium</v>
      </c>
      <c r="P862" t="str">
        <f>_xlfn.XLOOKUP(Orders!C862,Customers!$A$2:$A$1001,Customers!$I$2:$I$1001)</f>
        <v>No</v>
      </c>
    </row>
    <row r="863" spans="1:16" x14ac:dyDescent="0.3">
      <c r="A863" t="s">
        <v>1669</v>
      </c>
      <c r="B863" s="11">
        <v>43802</v>
      </c>
      <c r="C863" t="s">
        <v>1670</v>
      </c>
      <c r="D863" t="s">
        <v>18</v>
      </c>
      <c r="E863">
        <v>6</v>
      </c>
      <c r="F863" t="str">
        <f>_xlfn.XLOOKUP(C863,Customers!$A$2:$A$1001,Customers!$B$2:$B$1001)</f>
        <v>Noel Chisholm</v>
      </c>
      <c r="G863" t="str">
        <f>_xlfn.XLOOKUP(C863,Customers!$A$2:$A$1001,Customers!$C$2:$C$1001)</f>
        <v>nchisholmnx@example.com</v>
      </c>
      <c r="H863" t="str">
        <f>_xlfn.XLOOKUP(C863,Customers!$A$2:$A$1001,Customers!$G$2:$G$1001)</f>
        <v>United States</v>
      </c>
      <c r="I863" t="str" cm="1">
        <f t="array" ref="I863:L863">_xlfn.XLOOKUP(D863,products!$A$2:$A$49,products!$B$2:$E$49)</f>
        <v>Lib</v>
      </c>
      <c r="J863" t="str">
        <v>D</v>
      </c>
      <c r="K863" s="8">
        <v>1</v>
      </c>
      <c r="L863" s="6">
        <v>12.95</v>
      </c>
      <c r="M863" s="7">
        <f t="shared" si="39"/>
        <v>77.699999999999989</v>
      </c>
      <c r="N863" t="str">
        <f t="shared" si="40"/>
        <v>Liberica</v>
      </c>
      <c r="O863" t="str">
        <f t="shared" si="41"/>
        <v>Dark</v>
      </c>
      <c r="P863" t="str">
        <f>_xlfn.XLOOKUP(Orders!C863,Customers!$A$2:$A$1001,Customers!$I$2:$I$1001)</f>
        <v>Yes</v>
      </c>
    </row>
    <row r="864" spans="1:16" x14ac:dyDescent="0.3">
      <c r="A864" t="s">
        <v>1671</v>
      </c>
      <c r="B864" s="11">
        <v>43725</v>
      </c>
      <c r="C864" t="s">
        <v>1672</v>
      </c>
      <c r="D864" t="s">
        <v>7</v>
      </c>
      <c r="E864">
        <v>1</v>
      </c>
      <c r="F864" t="str">
        <f>_xlfn.XLOOKUP(C864,Customers!$A$2:$A$1001,Customers!$B$2:$B$1001)</f>
        <v>Grazia Oats</v>
      </c>
      <c r="G864" t="str">
        <f>_xlfn.XLOOKUP(C864,Customers!$A$2:$A$1001,Customers!$C$2:$C$1001)</f>
        <v>goatsny@live.com</v>
      </c>
      <c r="H864" t="str">
        <f>_xlfn.XLOOKUP(C864,Customers!$A$2:$A$1001,Customers!$G$2:$G$1001)</f>
        <v>United States</v>
      </c>
      <c r="I864" t="str" cm="1">
        <f t="array" ref="I864:L864">_xlfn.XLOOKUP(D864,products!$A$2:$A$49,products!$B$2:$E$49)</f>
        <v>Rob</v>
      </c>
      <c r="J864" t="str">
        <v>M</v>
      </c>
      <c r="K864" s="8">
        <v>1</v>
      </c>
      <c r="L864" s="6">
        <v>9.9499999999999993</v>
      </c>
      <c r="M864" s="7">
        <f t="shared" si="39"/>
        <v>9.9499999999999993</v>
      </c>
      <c r="N864" t="str">
        <f t="shared" si="40"/>
        <v>Robusta</v>
      </c>
      <c r="O864" t="str">
        <f t="shared" si="41"/>
        <v>Medium</v>
      </c>
      <c r="P864" t="str">
        <f>_xlfn.XLOOKUP(Orders!C864,Customers!$A$2:$A$1001,Customers!$I$2:$I$1001)</f>
        <v>Yes</v>
      </c>
    </row>
    <row r="865" spans="1:16" x14ac:dyDescent="0.3">
      <c r="A865" t="s">
        <v>1673</v>
      </c>
      <c r="B865" s="11">
        <v>44712</v>
      </c>
      <c r="C865" t="s">
        <v>1674</v>
      </c>
      <c r="D865" t="s">
        <v>101</v>
      </c>
      <c r="E865">
        <v>2</v>
      </c>
      <c r="F865" t="str">
        <f>_xlfn.XLOOKUP(C865,Customers!$A$2:$A$1001,Customers!$B$2:$B$1001)</f>
        <v>Meade Birkin</v>
      </c>
      <c r="G865" t="str">
        <f>_xlfn.XLOOKUP(C865,Customers!$A$2:$A$1001,Customers!$C$2:$C$1001)</f>
        <v>mbirkinnz@java.com</v>
      </c>
      <c r="H865" t="str">
        <f>_xlfn.XLOOKUP(C865,Customers!$A$2:$A$1001,Customers!$G$2:$G$1001)</f>
        <v>United States</v>
      </c>
      <c r="I865" t="str" cm="1">
        <f t="array" ref="I865:L865">_xlfn.XLOOKUP(D865,products!$A$2:$A$49,products!$B$2:$E$49)</f>
        <v>Lib</v>
      </c>
      <c r="J865" t="str">
        <v>M</v>
      </c>
      <c r="K865" s="8">
        <v>1</v>
      </c>
      <c r="L865" s="6">
        <v>14.55</v>
      </c>
      <c r="M865" s="7">
        <f t="shared" si="39"/>
        <v>29.1</v>
      </c>
      <c r="N865" t="str">
        <f t="shared" si="40"/>
        <v>Liberica</v>
      </c>
      <c r="O865" t="str">
        <f t="shared" si="41"/>
        <v>Medium</v>
      </c>
      <c r="P865" t="str">
        <f>_xlfn.XLOOKUP(Orders!C865,Customers!$A$2:$A$1001,Customers!$I$2:$I$1001)</f>
        <v>Yes</v>
      </c>
    </row>
    <row r="866" spans="1:16" x14ac:dyDescent="0.3">
      <c r="A866" t="s">
        <v>1675</v>
      </c>
      <c r="B866" s="11">
        <v>43759</v>
      </c>
      <c r="C866" t="s">
        <v>1676</v>
      </c>
      <c r="D866" t="s">
        <v>187</v>
      </c>
      <c r="E866">
        <v>6</v>
      </c>
      <c r="F866" t="str">
        <f>_xlfn.XLOOKUP(C866,Customers!$A$2:$A$1001,Customers!$B$2:$B$1001)</f>
        <v>Ronda Pyson</v>
      </c>
      <c r="G866" t="str">
        <f>_xlfn.XLOOKUP(C866,Customers!$A$2:$A$1001,Customers!$C$2:$C$1001)</f>
        <v>rpysono0@constantcontact.com</v>
      </c>
      <c r="H866" t="str">
        <f>_xlfn.XLOOKUP(C866,Customers!$A$2:$A$1001,Customers!$G$2:$G$1001)</f>
        <v>Ireland</v>
      </c>
      <c r="I866" t="str" cm="1">
        <f t="array" ref="I866:L866">_xlfn.XLOOKUP(D866,products!$A$2:$A$49,products!$B$2:$E$49)</f>
        <v>Rob</v>
      </c>
      <c r="J866" t="str">
        <v>L</v>
      </c>
      <c r="K866" s="8">
        <v>0.2</v>
      </c>
      <c r="L866" s="6">
        <v>3.5849999999999995</v>
      </c>
      <c r="M866" s="7">
        <f t="shared" si="39"/>
        <v>21.509999999999998</v>
      </c>
      <c r="N866" t="str">
        <f t="shared" si="40"/>
        <v>Robusta</v>
      </c>
      <c r="O866" t="str">
        <f t="shared" si="41"/>
        <v>Lite</v>
      </c>
      <c r="P866" t="str">
        <f>_xlfn.XLOOKUP(Orders!C866,Customers!$A$2:$A$1001,Customers!$I$2:$I$1001)</f>
        <v>No</v>
      </c>
    </row>
    <row r="867" spans="1:16" x14ac:dyDescent="0.3">
      <c r="A867" t="s">
        <v>1677</v>
      </c>
      <c r="B867" s="11">
        <v>44675</v>
      </c>
      <c r="C867" t="s">
        <v>1678</v>
      </c>
      <c r="D867" t="s">
        <v>72</v>
      </c>
      <c r="E867">
        <v>1</v>
      </c>
      <c r="F867" t="str">
        <f>_xlfn.XLOOKUP(C867,Customers!$A$2:$A$1001,Customers!$B$2:$B$1001)</f>
        <v>Modesty MacConnechie</v>
      </c>
      <c r="G867" t="str">
        <f>_xlfn.XLOOKUP(C867,Customers!$A$2:$A$1001,Customers!$C$2:$C$1001)</f>
        <v>mmacconnechieo9@reuters.com</v>
      </c>
      <c r="H867" t="str">
        <f>_xlfn.XLOOKUP(C867,Customers!$A$2:$A$1001,Customers!$G$2:$G$1001)</f>
        <v>United States</v>
      </c>
      <c r="I867" t="str" cm="1">
        <f t="array" ref="I867:L867">_xlfn.XLOOKUP(D867,products!$A$2:$A$49,products!$B$2:$E$49)</f>
        <v>Ara</v>
      </c>
      <c r="J867" t="str">
        <v>M</v>
      </c>
      <c r="K867" s="8">
        <v>0.5</v>
      </c>
      <c r="L867" s="6">
        <v>6.75</v>
      </c>
      <c r="M867" s="7">
        <f t="shared" si="39"/>
        <v>6.75</v>
      </c>
      <c r="N867" t="str">
        <f t="shared" si="40"/>
        <v>Arasbica</v>
      </c>
      <c r="O867" t="str">
        <f t="shared" si="41"/>
        <v>Medium</v>
      </c>
      <c r="P867" t="str">
        <f>_xlfn.XLOOKUP(Orders!C867,Customers!$A$2:$A$1001,Customers!$I$2:$I$1001)</f>
        <v>Yes</v>
      </c>
    </row>
    <row r="868" spans="1:16" x14ac:dyDescent="0.3">
      <c r="A868" t="s">
        <v>1679</v>
      </c>
      <c r="B868" s="11">
        <v>44209</v>
      </c>
      <c r="C868" t="s">
        <v>1680</v>
      </c>
      <c r="D868" t="s">
        <v>77</v>
      </c>
      <c r="E868">
        <v>3</v>
      </c>
      <c r="F868" t="str">
        <f>_xlfn.XLOOKUP(C868,Customers!$A$2:$A$1001,Customers!$B$2:$B$1001)</f>
        <v>Rafaela Treacher</v>
      </c>
      <c r="G868" t="str">
        <f>_xlfn.XLOOKUP(C868,Customers!$A$2:$A$1001,Customers!$C$2:$C$1001)</f>
        <v>rtreachero2@usa.gov</v>
      </c>
      <c r="H868" t="str">
        <f>_xlfn.XLOOKUP(C868,Customers!$A$2:$A$1001,Customers!$G$2:$G$1001)</f>
        <v>Ireland</v>
      </c>
      <c r="I868" t="str" cm="1">
        <f t="array" ref="I868:L868">_xlfn.XLOOKUP(D868,products!$A$2:$A$49,products!$B$2:$E$49)</f>
        <v>Ara</v>
      </c>
      <c r="J868" t="str">
        <v>D</v>
      </c>
      <c r="K868" s="8">
        <v>0.5</v>
      </c>
      <c r="L868" s="6">
        <v>5.97</v>
      </c>
      <c r="M868" s="7">
        <f t="shared" si="39"/>
        <v>17.91</v>
      </c>
      <c r="N868" t="str">
        <f t="shared" si="40"/>
        <v>Arasbica</v>
      </c>
      <c r="O868" t="str">
        <f t="shared" si="41"/>
        <v>Dark</v>
      </c>
      <c r="P868" t="str">
        <f>_xlfn.XLOOKUP(Orders!C868,Customers!$A$2:$A$1001,Customers!$I$2:$I$1001)</f>
        <v>No</v>
      </c>
    </row>
    <row r="869" spans="1:16" x14ac:dyDescent="0.3">
      <c r="A869" t="s">
        <v>1681</v>
      </c>
      <c r="B869" s="11">
        <v>44792</v>
      </c>
      <c r="C869" t="s">
        <v>1682</v>
      </c>
      <c r="D869" t="s">
        <v>209</v>
      </c>
      <c r="E869">
        <v>1</v>
      </c>
      <c r="F869" t="str">
        <f>_xlfn.XLOOKUP(C869,Customers!$A$2:$A$1001,Customers!$B$2:$B$1001)</f>
        <v>Bee Fattorini</v>
      </c>
      <c r="G869" t="str">
        <f>_xlfn.XLOOKUP(C869,Customers!$A$2:$A$1001,Customers!$C$2:$C$1001)</f>
        <v>bfattorinio3@quantcast.com</v>
      </c>
      <c r="H869" t="str">
        <f>_xlfn.XLOOKUP(C869,Customers!$A$2:$A$1001,Customers!$G$2:$G$1001)</f>
        <v>Ireland</v>
      </c>
      <c r="I869" t="str" cm="1">
        <f t="array" ref="I869:L869">_xlfn.XLOOKUP(D869,products!$A$2:$A$49,products!$B$2:$E$49)</f>
        <v>Ara</v>
      </c>
      <c r="J869" t="str">
        <v>L</v>
      </c>
      <c r="K869" s="8">
        <v>2.5</v>
      </c>
      <c r="L869" s="6">
        <v>29.784999999999997</v>
      </c>
      <c r="M869" s="7">
        <f t="shared" si="39"/>
        <v>29.784999999999997</v>
      </c>
      <c r="N869" t="str">
        <f t="shared" si="40"/>
        <v>Arasbica</v>
      </c>
      <c r="O869" t="str">
        <f t="shared" si="41"/>
        <v>Lite</v>
      </c>
      <c r="P869" t="str">
        <f>_xlfn.XLOOKUP(Orders!C869,Customers!$A$2:$A$1001,Customers!$I$2:$I$1001)</f>
        <v>Yes</v>
      </c>
    </row>
    <row r="870" spans="1:16" x14ac:dyDescent="0.3">
      <c r="A870" t="s">
        <v>1683</v>
      </c>
      <c r="B870" s="11">
        <v>43526</v>
      </c>
      <c r="C870" t="s">
        <v>1684</v>
      </c>
      <c r="D870" t="s">
        <v>8</v>
      </c>
      <c r="E870">
        <v>5</v>
      </c>
      <c r="F870" t="str">
        <f>_xlfn.XLOOKUP(C870,Customers!$A$2:$A$1001,Customers!$B$2:$B$1001)</f>
        <v>Margie Palleske</v>
      </c>
      <c r="G870" t="str">
        <f>_xlfn.XLOOKUP(C870,Customers!$A$2:$A$1001,Customers!$C$2:$C$1001)</f>
        <v>mpalleskeo4@nyu.edu</v>
      </c>
      <c r="H870" t="str">
        <f>_xlfn.XLOOKUP(C870,Customers!$A$2:$A$1001,Customers!$G$2:$G$1001)</f>
        <v>United States</v>
      </c>
      <c r="I870" t="str" cm="1">
        <f t="array" ref="I870:L870">_xlfn.XLOOKUP(D870,products!$A$2:$A$49,products!$B$2:$E$49)</f>
        <v>Exc</v>
      </c>
      <c r="J870" t="str">
        <v>M</v>
      </c>
      <c r="K870" s="8">
        <v>0.5</v>
      </c>
      <c r="L870" s="6">
        <v>8.25</v>
      </c>
      <c r="M870" s="7">
        <f t="shared" si="39"/>
        <v>41.25</v>
      </c>
      <c r="N870" t="str">
        <f t="shared" si="40"/>
        <v>Excelsa</v>
      </c>
      <c r="O870" t="str">
        <f t="shared" si="41"/>
        <v>Medium</v>
      </c>
      <c r="P870" t="str">
        <f>_xlfn.XLOOKUP(Orders!C870,Customers!$A$2:$A$1001,Customers!$I$2:$I$1001)</f>
        <v>Yes</v>
      </c>
    </row>
    <row r="871" spans="1:16" x14ac:dyDescent="0.3">
      <c r="A871" t="s">
        <v>1685</v>
      </c>
      <c r="B871" s="11">
        <v>43851</v>
      </c>
      <c r="C871" t="s">
        <v>1686</v>
      </c>
      <c r="D871" t="s">
        <v>27</v>
      </c>
      <c r="E871">
        <v>3</v>
      </c>
      <c r="F871" t="str">
        <f>_xlfn.XLOOKUP(C871,Customers!$A$2:$A$1001,Customers!$B$2:$B$1001)</f>
        <v>Alexina Randals</v>
      </c>
      <c r="G871">
        <f>_xlfn.XLOOKUP(C871,Customers!$A$2:$A$1001,Customers!$C$2:$C$1001)</f>
        <v>0</v>
      </c>
      <c r="H871" t="str">
        <f>_xlfn.XLOOKUP(C871,Customers!$A$2:$A$1001,Customers!$G$2:$G$1001)</f>
        <v>United States</v>
      </c>
      <c r="I871" t="str" cm="1">
        <f t="array" ref="I871:L871">_xlfn.XLOOKUP(D871,products!$A$2:$A$49,products!$B$2:$E$49)</f>
        <v>Rob</v>
      </c>
      <c r="J871" t="str">
        <v>M</v>
      </c>
      <c r="K871" s="8">
        <v>0.5</v>
      </c>
      <c r="L871" s="6">
        <v>5.97</v>
      </c>
      <c r="M871" s="7">
        <f t="shared" si="39"/>
        <v>17.91</v>
      </c>
      <c r="N871" t="str">
        <f t="shared" si="40"/>
        <v>Robusta</v>
      </c>
      <c r="O871" t="str">
        <f t="shared" si="41"/>
        <v>Medium</v>
      </c>
      <c r="P871" t="str">
        <f>_xlfn.XLOOKUP(Orders!C871,Customers!$A$2:$A$1001,Customers!$I$2:$I$1001)</f>
        <v>Yes</v>
      </c>
    </row>
    <row r="872" spans="1:16" x14ac:dyDescent="0.3">
      <c r="A872" t="s">
        <v>1687</v>
      </c>
      <c r="B872" s="11">
        <v>44460</v>
      </c>
      <c r="C872" t="s">
        <v>1688</v>
      </c>
      <c r="D872" t="s">
        <v>21</v>
      </c>
      <c r="E872">
        <v>1</v>
      </c>
      <c r="F872" t="str">
        <f>_xlfn.XLOOKUP(C872,Customers!$A$2:$A$1001,Customers!$B$2:$B$1001)</f>
        <v>Filip Antcliffe</v>
      </c>
      <c r="G872" t="str">
        <f>_xlfn.XLOOKUP(C872,Customers!$A$2:$A$1001,Customers!$C$2:$C$1001)</f>
        <v>fantcliffeo6@amazon.co.jp</v>
      </c>
      <c r="H872" t="str">
        <f>_xlfn.XLOOKUP(C872,Customers!$A$2:$A$1001,Customers!$G$2:$G$1001)</f>
        <v>Ireland</v>
      </c>
      <c r="I872" t="str" cm="1">
        <f t="array" ref="I872:L872">_xlfn.XLOOKUP(D872,products!$A$2:$A$49,products!$B$2:$E$49)</f>
        <v>Exc</v>
      </c>
      <c r="J872" t="str">
        <v>D</v>
      </c>
      <c r="K872" s="8">
        <v>0.5</v>
      </c>
      <c r="L872" s="6">
        <v>7.29</v>
      </c>
      <c r="M872" s="7">
        <f t="shared" si="39"/>
        <v>7.29</v>
      </c>
      <c r="N872" t="str">
        <f t="shared" si="40"/>
        <v>Excelsa</v>
      </c>
      <c r="O872" t="str">
        <f t="shared" si="41"/>
        <v>Dark</v>
      </c>
      <c r="P872" t="str">
        <f>_xlfn.XLOOKUP(Orders!C872,Customers!$A$2:$A$1001,Customers!$I$2:$I$1001)</f>
        <v>Yes</v>
      </c>
    </row>
    <row r="873" spans="1:16" x14ac:dyDescent="0.3">
      <c r="A873" t="s">
        <v>1689</v>
      </c>
      <c r="B873" s="11">
        <v>43707</v>
      </c>
      <c r="C873" t="s">
        <v>1690</v>
      </c>
      <c r="D873" t="s">
        <v>142</v>
      </c>
      <c r="E873">
        <v>2</v>
      </c>
      <c r="F873" t="str">
        <f>_xlfn.XLOOKUP(C873,Customers!$A$2:$A$1001,Customers!$B$2:$B$1001)</f>
        <v>Peyter Matignon</v>
      </c>
      <c r="G873" t="str">
        <f>_xlfn.XLOOKUP(C873,Customers!$A$2:$A$1001,Customers!$C$2:$C$1001)</f>
        <v>pmatignono7@harvard.edu</v>
      </c>
      <c r="H873" t="str">
        <f>_xlfn.XLOOKUP(C873,Customers!$A$2:$A$1001,Customers!$G$2:$G$1001)</f>
        <v>United Kingdom</v>
      </c>
      <c r="I873" t="str" cm="1">
        <f t="array" ref="I873:L873">_xlfn.XLOOKUP(D873,products!$A$2:$A$49,products!$B$2:$E$49)</f>
        <v>Exc</v>
      </c>
      <c r="J873" t="str">
        <v>L</v>
      </c>
      <c r="K873" s="8">
        <v>1</v>
      </c>
      <c r="L873" s="6">
        <v>14.85</v>
      </c>
      <c r="M873" s="7">
        <f t="shared" si="39"/>
        <v>29.7</v>
      </c>
      <c r="N873" t="str">
        <f t="shared" si="40"/>
        <v>Excelsa</v>
      </c>
      <c r="O873" t="str">
        <f t="shared" si="41"/>
        <v>Lite</v>
      </c>
      <c r="P873" t="str">
        <f>_xlfn.XLOOKUP(Orders!C873,Customers!$A$2:$A$1001,Customers!$I$2:$I$1001)</f>
        <v>Yes</v>
      </c>
    </row>
    <row r="874" spans="1:16" x14ac:dyDescent="0.3">
      <c r="A874" t="s">
        <v>1691</v>
      </c>
      <c r="B874" s="11">
        <v>43521</v>
      </c>
      <c r="C874" t="s">
        <v>1692</v>
      </c>
      <c r="D874" t="s">
        <v>66</v>
      </c>
      <c r="E874">
        <v>2</v>
      </c>
      <c r="F874" t="str">
        <f>_xlfn.XLOOKUP(C874,Customers!$A$2:$A$1001,Customers!$B$2:$B$1001)</f>
        <v>Claudie Weond</v>
      </c>
      <c r="G874" t="str">
        <f>_xlfn.XLOOKUP(C874,Customers!$A$2:$A$1001,Customers!$C$2:$C$1001)</f>
        <v>cweondo8@theglobeandmail.com</v>
      </c>
      <c r="H874" t="str">
        <f>_xlfn.XLOOKUP(C874,Customers!$A$2:$A$1001,Customers!$G$2:$G$1001)</f>
        <v>United States</v>
      </c>
      <c r="I874" t="str" cm="1">
        <f t="array" ref="I874:L874">_xlfn.XLOOKUP(D874,products!$A$2:$A$49,products!$B$2:$E$49)</f>
        <v>Ara</v>
      </c>
      <c r="J874" t="str">
        <v>M</v>
      </c>
      <c r="K874" s="8">
        <v>1</v>
      </c>
      <c r="L874" s="6">
        <v>11.25</v>
      </c>
      <c r="M874" s="7">
        <f t="shared" si="39"/>
        <v>22.5</v>
      </c>
      <c r="N874" t="str">
        <f t="shared" si="40"/>
        <v>Arasbica</v>
      </c>
      <c r="O874" t="str">
        <f t="shared" si="41"/>
        <v>Medium</v>
      </c>
      <c r="P874" t="str">
        <f>_xlfn.XLOOKUP(Orders!C874,Customers!$A$2:$A$1001,Customers!$I$2:$I$1001)</f>
        <v>No</v>
      </c>
    </row>
    <row r="875" spans="1:16" x14ac:dyDescent="0.3">
      <c r="A875" t="s">
        <v>1693</v>
      </c>
      <c r="B875" s="11">
        <v>43725</v>
      </c>
      <c r="C875" t="s">
        <v>1678</v>
      </c>
      <c r="D875" t="s">
        <v>167</v>
      </c>
      <c r="E875">
        <v>4</v>
      </c>
      <c r="F875" t="str">
        <f>_xlfn.XLOOKUP(C875,Customers!$A$2:$A$1001,Customers!$B$2:$B$1001)</f>
        <v>Modesty MacConnechie</v>
      </c>
      <c r="G875" t="str">
        <f>_xlfn.XLOOKUP(C875,Customers!$A$2:$A$1001,Customers!$C$2:$C$1001)</f>
        <v>mmacconnechieo9@reuters.com</v>
      </c>
      <c r="H875" t="str">
        <f>_xlfn.XLOOKUP(C875,Customers!$A$2:$A$1001,Customers!$G$2:$G$1001)</f>
        <v>United States</v>
      </c>
      <c r="I875" t="str" cm="1">
        <f t="array" ref="I875:L875">_xlfn.XLOOKUP(D875,products!$A$2:$A$49,products!$B$2:$E$49)</f>
        <v>Rob</v>
      </c>
      <c r="J875" t="str">
        <v>M</v>
      </c>
      <c r="K875" s="8">
        <v>0.2</v>
      </c>
      <c r="L875" s="6">
        <v>2.9849999999999999</v>
      </c>
      <c r="M875" s="7">
        <f t="shared" si="39"/>
        <v>11.94</v>
      </c>
      <c r="N875" t="str">
        <f t="shared" si="40"/>
        <v>Robusta</v>
      </c>
      <c r="O875" t="str">
        <f t="shared" si="41"/>
        <v>Medium</v>
      </c>
      <c r="P875" t="str">
        <f>_xlfn.XLOOKUP(Orders!C875,Customers!$A$2:$A$1001,Customers!$I$2:$I$1001)</f>
        <v>Yes</v>
      </c>
    </row>
    <row r="876" spans="1:16" x14ac:dyDescent="0.3">
      <c r="A876" t="s">
        <v>1694</v>
      </c>
      <c r="B876" s="11">
        <v>43680</v>
      </c>
      <c r="C876" t="s">
        <v>1695</v>
      </c>
      <c r="D876" t="s">
        <v>11</v>
      </c>
      <c r="E876">
        <v>2</v>
      </c>
      <c r="F876" t="str">
        <f>_xlfn.XLOOKUP(C876,Customers!$A$2:$A$1001,Customers!$B$2:$B$1001)</f>
        <v>Jaquenette Skentelbery</v>
      </c>
      <c r="G876" t="str">
        <f>_xlfn.XLOOKUP(C876,Customers!$A$2:$A$1001,Customers!$C$2:$C$1001)</f>
        <v>jskentelberyoa@paypal.com</v>
      </c>
      <c r="H876" t="str">
        <f>_xlfn.XLOOKUP(C876,Customers!$A$2:$A$1001,Customers!$G$2:$G$1001)</f>
        <v>United States</v>
      </c>
      <c r="I876" t="str" cm="1">
        <f t="array" ref="I876:L876">_xlfn.XLOOKUP(D876,products!$A$2:$A$49,products!$B$2:$E$49)</f>
        <v>Ara</v>
      </c>
      <c r="J876" t="str">
        <v>L</v>
      </c>
      <c r="K876" s="8">
        <v>1</v>
      </c>
      <c r="L876" s="6">
        <v>12.95</v>
      </c>
      <c r="M876" s="7">
        <f t="shared" si="39"/>
        <v>25.9</v>
      </c>
      <c r="N876" t="str">
        <f t="shared" si="40"/>
        <v>Arasbica</v>
      </c>
      <c r="O876" t="str">
        <f t="shared" si="41"/>
        <v>Lite</v>
      </c>
      <c r="P876" t="str">
        <f>_xlfn.XLOOKUP(Orders!C876,Customers!$A$2:$A$1001,Customers!$I$2:$I$1001)</f>
        <v>No</v>
      </c>
    </row>
    <row r="877" spans="1:16" x14ac:dyDescent="0.3">
      <c r="A877" t="s">
        <v>1696</v>
      </c>
      <c r="B877" s="11">
        <v>44253</v>
      </c>
      <c r="C877" t="s">
        <v>1697</v>
      </c>
      <c r="D877" t="s">
        <v>83</v>
      </c>
      <c r="E877">
        <v>5</v>
      </c>
      <c r="F877" t="str">
        <f>_xlfn.XLOOKUP(C877,Customers!$A$2:$A$1001,Customers!$B$2:$B$1001)</f>
        <v>Orazio Comber</v>
      </c>
      <c r="G877" t="str">
        <f>_xlfn.XLOOKUP(C877,Customers!$A$2:$A$1001,Customers!$C$2:$C$1001)</f>
        <v>ocomberob@goo.gl</v>
      </c>
      <c r="H877" t="str">
        <f>_xlfn.XLOOKUP(C877,Customers!$A$2:$A$1001,Customers!$G$2:$G$1001)</f>
        <v>Ireland</v>
      </c>
      <c r="I877" t="str" cm="1">
        <f t="array" ref="I877:L877">_xlfn.XLOOKUP(D877,products!$A$2:$A$49,products!$B$2:$E$49)</f>
        <v>Lib</v>
      </c>
      <c r="J877" t="str">
        <v>M</v>
      </c>
      <c r="K877" s="8">
        <v>0.5</v>
      </c>
      <c r="L877" s="6">
        <v>8.73</v>
      </c>
      <c r="M877" s="7">
        <f t="shared" si="39"/>
        <v>43.650000000000006</v>
      </c>
      <c r="N877" t="str">
        <f t="shared" si="40"/>
        <v>Liberica</v>
      </c>
      <c r="O877" t="str">
        <f t="shared" si="41"/>
        <v>Medium</v>
      </c>
      <c r="P877" t="str">
        <f>_xlfn.XLOOKUP(Orders!C877,Customers!$A$2:$A$1001,Customers!$I$2:$I$1001)</f>
        <v>No</v>
      </c>
    </row>
    <row r="878" spans="1:16" x14ac:dyDescent="0.3">
      <c r="A878" t="s">
        <v>1696</v>
      </c>
      <c r="B878" s="11">
        <v>44253</v>
      </c>
      <c r="C878" t="s">
        <v>1697</v>
      </c>
      <c r="D878" t="s">
        <v>197</v>
      </c>
      <c r="E878">
        <v>6</v>
      </c>
      <c r="F878" t="str">
        <f>_xlfn.XLOOKUP(C878,Customers!$A$2:$A$1001,Customers!$B$2:$B$1001)</f>
        <v>Orazio Comber</v>
      </c>
      <c r="G878" t="str">
        <f>_xlfn.XLOOKUP(C878,Customers!$A$2:$A$1001,Customers!$C$2:$C$1001)</f>
        <v>ocomberob@goo.gl</v>
      </c>
      <c r="H878" t="str">
        <f>_xlfn.XLOOKUP(C878,Customers!$A$2:$A$1001,Customers!$G$2:$G$1001)</f>
        <v>Ireland</v>
      </c>
      <c r="I878" t="str" cm="1">
        <f t="array" ref="I878:L878">_xlfn.XLOOKUP(D878,products!$A$2:$A$49,products!$B$2:$E$49)</f>
        <v>Ara</v>
      </c>
      <c r="J878" t="str">
        <v>L</v>
      </c>
      <c r="K878" s="8">
        <v>0.5</v>
      </c>
      <c r="L878" s="6">
        <v>7.77</v>
      </c>
      <c r="M878" s="7">
        <f t="shared" si="39"/>
        <v>46.62</v>
      </c>
      <c r="N878" t="str">
        <f t="shared" si="40"/>
        <v>Arasbica</v>
      </c>
      <c r="O878" t="str">
        <f t="shared" si="41"/>
        <v>Lite</v>
      </c>
      <c r="P878" t="str">
        <f>_xlfn.XLOOKUP(Orders!C878,Customers!$A$2:$A$1001,Customers!$I$2:$I$1001)</f>
        <v>No</v>
      </c>
    </row>
    <row r="879" spans="1:16" x14ac:dyDescent="0.3">
      <c r="A879" t="s">
        <v>1698</v>
      </c>
      <c r="B879" s="11">
        <v>44411</v>
      </c>
      <c r="C879" t="s">
        <v>1699</v>
      </c>
      <c r="D879" t="s">
        <v>88</v>
      </c>
      <c r="E879">
        <v>3</v>
      </c>
      <c r="F879" t="str">
        <f>_xlfn.XLOOKUP(C879,Customers!$A$2:$A$1001,Customers!$B$2:$B$1001)</f>
        <v>Zachary Tramel</v>
      </c>
      <c r="G879" t="str">
        <f>_xlfn.XLOOKUP(C879,Customers!$A$2:$A$1001,Customers!$C$2:$C$1001)</f>
        <v>ztramelod@netlog.com</v>
      </c>
      <c r="H879" t="str">
        <f>_xlfn.XLOOKUP(C879,Customers!$A$2:$A$1001,Customers!$G$2:$G$1001)</f>
        <v>United States</v>
      </c>
      <c r="I879" t="str" cm="1">
        <f t="array" ref="I879:L879">_xlfn.XLOOKUP(D879,products!$A$2:$A$49,products!$B$2:$E$49)</f>
        <v>Lib</v>
      </c>
      <c r="J879" t="str">
        <v>L</v>
      </c>
      <c r="K879" s="8">
        <v>0.5</v>
      </c>
      <c r="L879" s="6">
        <v>9.51</v>
      </c>
      <c r="M879" s="7">
        <f t="shared" si="39"/>
        <v>28.53</v>
      </c>
      <c r="N879" t="str">
        <f t="shared" si="40"/>
        <v>Liberica</v>
      </c>
      <c r="O879" t="str">
        <f t="shared" si="41"/>
        <v>Lite</v>
      </c>
      <c r="P879" t="str">
        <f>_xlfn.XLOOKUP(Orders!C879,Customers!$A$2:$A$1001,Customers!$I$2:$I$1001)</f>
        <v>No</v>
      </c>
    </row>
    <row r="880" spans="1:16" x14ac:dyDescent="0.3">
      <c r="A880" t="s">
        <v>1700</v>
      </c>
      <c r="B880" s="11">
        <v>44323</v>
      </c>
      <c r="C880" t="s">
        <v>1701</v>
      </c>
      <c r="D880" t="s">
        <v>15</v>
      </c>
      <c r="E880">
        <v>1</v>
      </c>
      <c r="F880" t="str">
        <f>_xlfn.XLOOKUP(C880,Customers!$A$2:$A$1001,Customers!$B$2:$B$1001)</f>
        <v>Izaak Primak</v>
      </c>
      <c r="G880">
        <f>_xlfn.XLOOKUP(C880,Customers!$A$2:$A$1001,Customers!$C$2:$C$1001)</f>
        <v>0</v>
      </c>
      <c r="H880" t="str">
        <f>_xlfn.XLOOKUP(C880,Customers!$A$2:$A$1001,Customers!$G$2:$G$1001)</f>
        <v>United States</v>
      </c>
      <c r="I880" t="str" cm="1">
        <f t="array" ref="I880:L880">_xlfn.XLOOKUP(D880,products!$A$2:$A$49,products!$B$2:$E$49)</f>
        <v>Rob</v>
      </c>
      <c r="J880" t="str">
        <v>L</v>
      </c>
      <c r="K880" s="8">
        <v>2.5</v>
      </c>
      <c r="L880" s="6">
        <v>27.484999999999996</v>
      </c>
      <c r="M880" s="7">
        <f t="shared" si="39"/>
        <v>27.484999999999996</v>
      </c>
      <c r="N880" t="str">
        <f t="shared" si="40"/>
        <v>Robusta</v>
      </c>
      <c r="O880" t="str">
        <f t="shared" si="41"/>
        <v>Lite</v>
      </c>
      <c r="P880" t="str">
        <f>_xlfn.XLOOKUP(Orders!C880,Customers!$A$2:$A$1001,Customers!$I$2:$I$1001)</f>
        <v>Yes</v>
      </c>
    </row>
    <row r="881" spans="1:16" x14ac:dyDescent="0.3">
      <c r="A881" t="s">
        <v>1702</v>
      </c>
      <c r="B881" s="11">
        <v>43630</v>
      </c>
      <c r="C881" t="s">
        <v>1703</v>
      </c>
      <c r="D881" t="s">
        <v>56</v>
      </c>
      <c r="E881">
        <v>3</v>
      </c>
      <c r="F881" t="str">
        <f>_xlfn.XLOOKUP(C881,Customers!$A$2:$A$1001,Customers!$B$2:$B$1001)</f>
        <v>Brittani Thoresbie</v>
      </c>
      <c r="G881">
        <f>_xlfn.XLOOKUP(C881,Customers!$A$2:$A$1001,Customers!$C$2:$C$1001)</f>
        <v>0</v>
      </c>
      <c r="H881" t="str">
        <f>_xlfn.XLOOKUP(C881,Customers!$A$2:$A$1001,Customers!$G$2:$G$1001)</f>
        <v>United States</v>
      </c>
      <c r="I881" t="str" cm="1">
        <f t="array" ref="I881:L881">_xlfn.XLOOKUP(D881,products!$A$2:$A$49,products!$B$2:$E$49)</f>
        <v>Exc</v>
      </c>
      <c r="J881" t="str">
        <v>D</v>
      </c>
      <c r="K881" s="8">
        <v>0.2</v>
      </c>
      <c r="L881" s="6">
        <v>3.645</v>
      </c>
      <c r="M881" s="7">
        <f t="shared" si="39"/>
        <v>10.935</v>
      </c>
      <c r="N881" t="str">
        <f t="shared" si="40"/>
        <v>Excelsa</v>
      </c>
      <c r="O881" t="str">
        <f t="shared" si="41"/>
        <v>Dark</v>
      </c>
      <c r="P881" t="str">
        <f>_xlfn.XLOOKUP(Orders!C881,Customers!$A$2:$A$1001,Customers!$I$2:$I$1001)</f>
        <v>No</v>
      </c>
    </row>
    <row r="882" spans="1:16" x14ac:dyDescent="0.3">
      <c r="A882" t="s">
        <v>1704</v>
      </c>
      <c r="B882" s="11">
        <v>43790</v>
      </c>
      <c r="C882" t="s">
        <v>1705</v>
      </c>
      <c r="D882" t="s">
        <v>187</v>
      </c>
      <c r="E882">
        <v>2</v>
      </c>
      <c r="F882" t="str">
        <f>_xlfn.XLOOKUP(C882,Customers!$A$2:$A$1001,Customers!$B$2:$B$1001)</f>
        <v>Constanta Hatfull</v>
      </c>
      <c r="G882" t="str">
        <f>_xlfn.XLOOKUP(C882,Customers!$A$2:$A$1001,Customers!$C$2:$C$1001)</f>
        <v>chatfullog@ebay.com</v>
      </c>
      <c r="H882" t="str">
        <f>_xlfn.XLOOKUP(C882,Customers!$A$2:$A$1001,Customers!$G$2:$G$1001)</f>
        <v>United States</v>
      </c>
      <c r="I882" t="str" cm="1">
        <f t="array" ref="I882:L882">_xlfn.XLOOKUP(D882,products!$A$2:$A$49,products!$B$2:$E$49)</f>
        <v>Rob</v>
      </c>
      <c r="J882" t="str">
        <v>L</v>
      </c>
      <c r="K882" s="8">
        <v>0.2</v>
      </c>
      <c r="L882" s="6">
        <v>3.5849999999999995</v>
      </c>
      <c r="M882" s="7">
        <f t="shared" si="39"/>
        <v>7.169999999999999</v>
      </c>
      <c r="N882" t="str">
        <f t="shared" si="40"/>
        <v>Robusta</v>
      </c>
      <c r="O882" t="str">
        <f t="shared" si="41"/>
        <v>Lite</v>
      </c>
      <c r="P882" t="str">
        <f>_xlfn.XLOOKUP(Orders!C882,Customers!$A$2:$A$1001,Customers!$I$2:$I$1001)</f>
        <v>No</v>
      </c>
    </row>
    <row r="883" spans="1:16" x14ac:dyDescent="0.3">
      <c r="A883" t="s">
        <v>1706</v>
      </c>
      <c r="B883" s="11">
        <v>44286</v>
      </c>
      <c r="C883" t="s">
        <v>1707</v>
      </c>
      <c r="D883" t="s">
        <v>120</v>
      </c>
      <c r="E883">
        <v>6</v>
      </c>
      <c r="F883" t="str">
        <f>_xlfn.XLOOKUP(C883,Customers!$A$2:$A$1001,Customers!$B$2:$B$1001)</f>
        <v>Bobbe Castagneto</v>
      </c>
      <c r="G883">
        <f>_xlfn.XLOOKUP(C883,Customers!$A$2:$A$1001,Customers!$C$2:$C$1001)</f>
        <v>0</v>
      </c>
      <c r="H883" t="str">
        <f>_xlfn.XLOOKUP(C883,Customers!$A$2:$A$1001,Customers!$G$2:$G$1001)</f>
        <v>United States</v>
      </c>
      <c r="I883" t="str" cm="1">
        <f t="array" ref="I883:L883">_xlfn.XLOOKUP(D883,products!$A$2:$A$49,products!$B$2:$E$49)</f>
        <v>Ara</v>
      </c>
      <c r="J883" t="str">
        <v>L</v>
      </c>
      <c r="K883" s="8">
        <v>0.2</v>
      </c>
      <c r="L883" s="6">
        <v>3.8849999999999998</v>
      </c>
      <c r="M883" s="7">
        <f t="shared" si="39"/>
        <v>23.31</v>
      </c>
      <c r="N883" t="str">
        <f t="shared" si="40"/>
        <v>Arasbica</v>
      </c>
      <c r="O883" t="str">
        <f t="shared" si="41"/>
        <v>Lite</v>
      </c>
      <c r="P883" t="str">
        <f>_xlfn.XLOOKUP(Orders!C883,Customers!$A$2:$A$1001,Customers!$I$2:$I$1001)</f>
        <v>Yes</v>
      </c>
    </row>
    <row r="884" spans="1:16" x14ac:dyDescent="0.3">
      <c r="A884" t="s">
        <v>1708</v>
      </c>
      <c r="B884" s="11">
        <v>43647</v>
      </c>
      <c r="C884" t="s">
        <v>1709</v>
      </c>
      <c r="D884" t="s">
        <v>123</v>
      </c>
      <c r="E884">
        <v>5</v>
      </c>
      <c r="F884" t="str">
        <f>_xlfn.XLOOKUP(C884,Customers!$A$2:$A$1001,Customers!$B$2:$B$1001)</f>
        <v>Kippie Marrison</v>
      </c>
      <c r="G884" t="str">
        <f>_xlfn.XLOOKUP(C884,Customers!$A$2:$A$1001,Customers!$C$2:$C$1001)</f>
        <v>kmarrisonoq@dropbox.com</v>
      </c>
      <c r="H884" t="str">
        <f>_xlfn.XLOOKUP(C884,Customers!$A$2:$A$1001,Customers!$G$2:$G$1001)</f>
        <v>United States</v>
      </c>
      <c r="I884" t="str" cm="1">
        <f t="array" ref="I884:L884">_xlfn.XLOOKUP(D884,products!$A$2:$A$49,products!$B$2:$E$49)</f>
        <v>Ara</v>
      </c>
      <c r="J884" t="str">
        <v>D</v>
      </c>
      <c r="K884" s="8">
        <v>2.5</v>
      </c>
      <c r="L884" s="6">
        <v>22.884999999999998</v>
      </c>
      <c r="M884" s="7">
        <f t="shared" si="39"/>
        <v>114.42499999999998</v>
      </c>
      <c r="N884" t="str">
        <f t="shared" si="40"/>
        <v>Arasbica</v>
      </c>
      <c r="O884" t="str">
        <f t="shared" si="41"/>
        <v>Dark</v>
      </c>
      <c r="P884" t="str">
        <f>_xlfn.XLOOKUP(Orders!C884,Customers!$A$2:$A$1001,Customers!$I$2:$I$1001)</f>
        <v>Yes</v>
      </c>
    </row>
    <row r="885" spans="1:16" x14ac:dyDescent="0.3">
      <c r="A885" t="s">
        <v>1710</v>
      </c>
      <c r="B885" s="11">
        <v>43956</v>
      </c>
      <c r="C885" t="s">
        <v>1711</v>
      </c>
      <c r="D885" t="s">
        <v>176</v>
      </c>
      <c r="E885">
        <v>3</v>
      </c>
      <c r="F885" t="str">
        <f>_xlfn.XLOOKUP(C885,Customers!$A$2:$A$1001,Customers!$B$2:$B$1001)</f>
        <v>Lindon Agnolo</v>
      </c>
      <c r="G885" t="str">
        <f>_xlfn.XLOOKUP(C885,Customers!$A$2:$A$1001,Customers!$C$2:$C$1001)</f>
        <v>lagnolooj@pinterest.com</v>
      </c>
      <c r="H885" t="str">
        <f>_xlfn.XLOOKUP(C885,Customers!$A$2:$A$1001,Customers!$G$2:$G$1001)</f>
        <v>United States</v>
      </c>
      <c r="I885" t="str" cm="1">
        <f t="array" ref="I885:L885">_xlfn.XLOOKUP(D885,products!$A$2:$A$49,products!$B$2:$E$49)</f>
        <v>Ara</v>
      </c>
      <c r="J885" t="str">
        <v>M</v>
      </c>
      <c r="K885" s="8">
        <v>2.5</v>
      </c>
      <c r="L885" s="6">
        <v>25.874999999999996</v>
      </c>
      <c r="M885" s="7">
        <f t="shared" si="39"/>
        <v>77.624999999999986</v>
      </c>
      <c r="N885" t="str">
        <f t="shared" si="40"/>
        <v>Arasbica</v>
      </c>
      <c r="O885" t="str">
        <f t="shared" si="41"/>
        <v>Medium</v>
      </c>
      <c r="P885" t="str">
        <f>_xlfn.XLOOKUP(Orders!C885,Customers!$A$2:$A$1001,Customers!$I$2:$I$1001)</f>
        <v>Yes</v>
      </c>
    </row>
    <row r="886" spans="1:16" x14ac:dyDescent="0.3">
      <c r="A886" t="s">
        <v>1712</v>
      </c>
      <c r="B886" s="11">
        <v>43941</v>
      </c>
      <c r="C886" t="s">
        <v>1713</v>
      </c>
      <c r="D886" t="s">
        <v>151</v>
      </c>
      <c r="E886">
        <v>1</v>
      </c>
      <c r="F886" t="str">
        <f>_xlfn.XLOOKUP(C886,Customers!$A$2:$A$1001,Customers!$B$2:$B$1001)</f>
        <v>Delainey Kiddy</v>
      </c>
      <c r="G886" t="str">
        <f>_xlfn.XLOOKUP(C886,Customers!$A$2:$A$1001,Customers!$C$2:$C$1001)</f>
        <v>dkiddyok@fda.gov</v>
      </c>
      <c r="H886" t="str">
        <f>_xlfn.XLOOKUP(C886,Customers!$A$2:$A$1001,Customers!$G$2:$G$1001)</f>
        <v>United States</v>
      </c>
      <c r="I886" t="str" cm="1">
        <f t="array" ref="I886:L886">_xlfn.XLOOKUP(D886,products!$A$2:$A$49,products!$B$2:$E$49)</f>
        <v>Rob</v>
      </c>
      <c r="J886" t="str">
        <v>D</v>
      </c>
      <c r="K886" s="8">
        <v>0.5</v>
      </c>
      <c r="L886" s="6">
        <v>5.3699999999999992</v>
      </c>
      <c r="M886" s="7">
        <f t="shared" si="39"/>
        <v>5.3699999999999992</v>
      </c>
      <c r="N886" t="str">
        <f t="shared" si="40"/>
        <v>Robusta</v>
      </c>
      <c r="O886" t="str">
        <f t="shared" si="41"/>
        <v>Dark</v>
      </c>
      <c r="P886" t="str">
        <f>_xlfn.XLOOKUP(Orders!C886,Customers!$A$2:$A$1001,Customers!$I$2:$I$1001)</f>
        <v>Yes</v>
      </c>
    </row>
    <row r="887" spans="1:16" x14ac:dyDescent="0.3">
      <c r="A887" t="s">
        <v>1714</v>
      </c>
      <c r="B887" s="11">
        <v>43664</v>
      </c>
      <c r="C887" t="s">
        <v>1715</v>
      </c>
      <c r="D887" t="s">
        <v>40</v>
      </c>
      <c r="E887">
        <v>6</v>
      </c>
      <c r="F887" t="str">
        <f>_xlfn.XLOOKUP(C887,Customers!$A$2:$A$1001,Customers!$B$2:$B$1001)</f>
        <v>Helli Petroulis</v>
      </c>
      <c r="G887" t="str">
        <f>_xlfn.XLOOKUP(C887,Customers!$A$2:$A$1001,Customers!$C$2:$C$1001)</f>
        <v>hpetroulisol@state.tx.us</v>
      </c>
      <c r="H887" t="str">
        <f>_xlfn.XLOOKUP(C887,Customers!$A$2:$A$1001,Customers!$G$2:$G$1001)</f>
        <v>Ireland</v>
      </c>
      <c r="I887" t="str" cm="1">
        <f t="array" ref="I887:L887">_xlfn.XLOOKUP(D887,products!$A$2:$A$49,products!$B$2:$E$49)</f>
        <v>Rob</v>
      </c>
      <c r="J887" t="str">
        <v>D</v>
      </c>
      <c r="K887" s="8">
        <v>2.5</v>
      </c>
      <c r="L887" s="6">
        <v>20.584999999999997</v>
      </c>
      <c r="M887" s="7">
        <f t="shared" si="39"/>
        <v>123.50999999999999</v>
      </c>
      <c r="N887" t="str">
        <f t="shared" si="40"/>
        <v>Robusta</v>
      </c>
      <c r="O887" t="str">
        <f t="shared" si="41"/>
        <v>Dark</v>
      </c>
      <c r="P887" t="str">
        <f>_xlfn.XLOOKUP(Orders!C887,Customers!$A$2:$A$1001,Customers!$I$2:$I$1001)</f>
        <v>No</v>
      </c>
    </row>
    <row r="888" spans="1:16" x14ac:dyDescent="0.3">
      <c r="A888" t="s">
        <v>1716</v>
      </c>
      <c r="B888" s="11">
        <v>44518</v>
      </c>
      <c r="C888" t="s">
        <v>1717</v>
      </c>
      <c r="D888" t="s">
        <v>83</v>
      </c>
      <c r="E888">
        <v>2</v>
      </c>
      <c r="F888" t="str">
        <f>_xlfn.XLOOKUP(C888,Customers!$A$2:$A$1001,Customers!$B$2:$B$1001)</f>
        <v>Marty Scholl</v>
      </c>
      <c r="G888" t="str">
        <f>_xlfn.XLOOKUP(C888,Customers!$A$2:$A$1001,Customers!$C$2:$C$1001)</f>
        <v>mschollom@taobao.com</v>
      </c>
      <c r="H888" t="str">
        <f>_xlfn.XLOOKUP(C888,Customers!$A$2:$A$1001,Customers!$G$2:$G$1001)</f>
        <v>United States</v>
      </c>
      <c r="I888" t="str" cm="1">
        <f t="array" ref="I888:L888">_xlfn.XLOOKUP(D888,products!$A$2:$A$49,products!$B$2:$E$49)</f>
        <v>Lib</v>
      </c>
      <c r="J888" t="str">
        <v>M</v>
      </c>
      <c r="K888" s="8">
        <v>0.5</v>
      </c>
      <c r="L888" s="6">
        <v>8.73</v>
      </c>
      <c r="M888" s="7">
        <f t="shared" si="39"/>
        <v>17.46</v>
      </c>
      <c r="N888" t="str">
        <f t="shared" si="40"/>
        <v>Liberica</v>
      </c>
      <c r="O888" t="str">
        <f t="shared" si="41"/>
        <v>Medium</v>
      </c>
      <c r="P888" t="str">
        <f>_xlfn.XLOOKUP(Orders!C888,Customers!$A$2:$A$1001,Customers!$I$2:$I$1001)</f>
        <v>No</v>
      </c>
    </row>
    <row r="889" spans="1:16" x14ac:dyDescent="0.3">
      <c r="A889" t="s">
        <v>1718</v>
      </c>
      <c r="B889" s="11">
        <v>44002</v>
      </c>
      <c r="C889" t="s">
        <v>1719</v>
      </c>
      <c r="D889" t="s">
        <v>259</v>
      </c>
      <c r="E889">
        <v>3</v>
      </c>
      <c r="F889" t="str">
        <f>_xlfn.XLOOKUP(C889,Customers!$A$2:$A$1001,Customers!$B$2:$B$1001)</f>
        <v>Kienan Ferson</v>
      </c>
      <c r="G889" t="str">
        <f>_xlfn.XLOOKUP(C889,Customers!$A$2:$A$1001,Customers!$C$2:$C$1001)</f>
        <v>kfersonon@g.co</v>
      </c>
      <c r="H889" t="str">
        <f>_xlfn.XLOOKUP(C889,Customers!$A$2:$A$1001,Customers!$G$2:$G$1001)</f>
        <v>United States</v>
      </c>
      <c r="I889" t="str" cm="1">
        <f t="array" ref="I889:L889">_xlfn.XLOOKUP(D889,products!$A$2:$A$49,products!$B$2:$E$49)</f>
        <v>Exc</v>
      </c>
      <c r="J889" t="str">
        <v>L</v>
      </c>
      <c r="K889" s="8">
        <v>0.2</v>
      </c>
      <c r="L889" s="6">
        <v>4.4550000000000001</v>
      </c>
      <c r="M889" s="7">
        <f t="shared" si="39"/>
        <v>13.365</v>
      </c>
      <c r="N889" t="str">
        <f t="shared" si="40"/>
        <v>Excelsa</v>
      </c>
      <c r="O889" t="str">
        <f t="shared" si="41"/>
        <v>Lite</v>
      </c>
      <c r="P889" t="str">
        <f>_xlfn.XLOOKUP(Orders!C889,Customers!$A$2:$A$1001,Customers!$I$2:$I$1001)</f>
        <v>No</v>
      </c>
    </row>
    <row r="890" spans="1:16" x14ac:dyDescent="0.3">
      <c r="A890" t="s">
        <v>1720</v>
      </c>
      <c r="B890" s="11">
        <v>44292</v>
      </c>
      <c r="C890" t="s">
        <v>1721</v>
      </c>
      <c r="D890" t="s">
        <v>120</v>
      </c>
      <c r="E890">
        <v>2</v>
      </c>
      <c r="F890" t="str">
        <f>_xlfn.XLOOKUP(C890,Customers!$A$2:$A$1001,Customers!$B$2:$B$1001)</f>
        <v>Blake Kelloway</v>
      </c>
      <c r="G890" t="str">
        <f>_xlfn.XLOOKUP(C890,Customers!$A$2:$A$1001,Customers!$C$2:$C$1001)</f>
        <v>bkellowayoo@omniture.com</v>
      </c>
      <c r="H890" t="str">
        <f>_xlfn.XLOOKUP(C890,Customers!$A$2:$A$1001,Customers!$G$2:$G$1001)</f>
        <v>United States</v>
      </c>
      <c r="I890" t="str" cm="1">
        <f t="array" ref="I890:L890">_xlfn.XLOOKUP(D890,products!$A$2:$A$49,products!$B$2:$E$49)</f>
        <v>Ara</v>
      </c>
      <c r="J890" t="str">
        <v>L</v>
      </c>
      <c r="K890" s="8">
        <v>0.2</v>
      </c>
      <c r="L890" s="6">
        <v>3.8849999999999998</v>
      </c>
      <c r="M890" s="7">
        <f t="shared" si="39"/>
        <v>7.77</v>
      </c>
      <c r="N890" t="str">
        <f t="shared" si="40"/>
        <v>Arasbica</v>
      </c>
      <c r="O890" t="str">
        <f t="shared" si="41"/>
        <v>Lite</v>
      </c>
      <c r="P890" t="str">
        <f>_xlfn.XLOOKUP(Orders!C890,Customers!$A$2:$A$1001,Customers!$I$2:$I$1001)</f>
        <v>Yes</v>
      </c>
    </row>
    <row r="891" spans="1:16" x14ac:dyDescent="0.3">
      <c r="A891" t="s">
        <v>1722</v>
      </c>
      <c r="B891" s="11">
        <v>43633</v>
      </c>
      <c r="C891" t="s">
        <v>1723</v>
      </c>
      <c r="D891" t="s">
        <v>106</v>
      </c>
      <c r="E891">
        <v>1</v>
      </c>
      <c r="F891" t="str">
        <f>_xlfn.XLOOKUP(C891,Customers!$A$2:$A$1001,Customers!$B$2:$B$1001)</f>
        <v>Scarlett Oliffe</v>
      </c>
      <c r="G891" t="str">
        <f>_xlfn.XLOOKUP(C891,Customers!$A$2:$A$1001,Customers!$C$2:$C$1001)</f>
        <v>soliffeop@yellowbook.com</v>
      </c>
      <c r="H891" t="str">
        <f>_xlfn.XLOOKUP(C891,Customers!$A$2:$A$1001,Customers!$G$2:$G$1001)</f>
        <v>United States</v>
      </c>
      <c r="I891" t="str" cm="1">
        <f t="array" ref="I891:L891">_xlfn.XLOOKUP(D891,products!$A$2:$A$49,products!$B$2:$E$49)</f>
        <v>Rob</v>
      </c>
      <c r="J891" t="str">
        <v>D</v>
      </c>
      <c r="K891" s="8">
        <v>0.2</v>
      </c>
      <c r="L891" s="6">
        <v>2.6849999999999996</v>
      </c>
      <c r="M891" s="7">
        <f t="shared" si="39"/>
        <v>2.6849999999999996</v>
      </c>
      <c r="N891" t="str">
        <f t="shared" si="40"/>
        <v>Robusta</v>
      </c>
      <c r="O891" t="str">
        <f t="shared" si="41"/>
        <v>Dark</v>
      </c>
      <c r="P891" t="str">
        <f>_xlfn.XLOOKUP(Orders!C891,Customers!$A$2:$A$1001,Customers!$I$2:$I$1001)</f>
        <v>Yes</v>
      </c>
    </row>
    <row r="892" spans="1:16" x14ac:dyDescent="0.3">
      <c r="A892" t="s">
        <v>1724</v>
      </c>
      <c r="B892" s="11">
        <v>44646</v>
      </c>
      <c r="C892" t="s">
        <v>1709</v>
      </c>
      <c r="D892" t="s">
        <v>40</v>
      </c>
      <c r="E892">
        <v>1</v>
      </c>
      <c r="F892" t="str">
        <f>_xlfn.XLOOKUP(C892,Customers!$A$2:$A$1001,Customers!$B$2:$B$1001)</f>
        <v>Kippie Marrison</v>
      </c>
      <c r="G892" t="str">
        <f>_xlfn.XLOOKUP(C892,Customers!$A$2:$A$1001,Customers!$C$2:$C$1001)</f>
        <v>kmarrisonoq@dropbox.com</v>
      </c>
      <c r="H892" t="str">
        <f>_xlfn.XLOOKUP(C892,Customers!$A$2:$A$1001,Customers!$G$2:$G$1001)</f>
        <v>United States</v>
      </c>
      <c r="I892" t="str" cm="1">
        <f t="array" ref="I892:L892">_xlfn.XLOOKUP(D892,products!$A$2:$A$49,products!$B$2:$E$49)</f>
        <v>Rob</v>
      </c>
      <c r="J892" t="str">
        <v>D</v>
      </c>
      <c r="K892" s="8">
        <v>2.5</v>
      </c>
      <c r="L892" s="6">
        <v>20.584999999999997</v>
      </c>
      <c r="M892" s="7">
        <f t="shared" si="39"/>
        <v>20.584999999999997</v>
      </c>
      <c r="N892" t="str">
        <f t="shared" si="40"/>
        <v>Robusta</v>
      </c>
      <c r="O892" t="str">
        <f t="shared" si="41"/>
        <v>Dark</v>
      </c>
      <c r="P892" t="str">
        <f>_xlfn.XLOOKUP(Orders!C892,Customers!$A$2:$A$1001,Customers!$I$2:$I$1001)</f>
        <v>Yes</v>
      </c>
    </row>
    <row r="893" spans="1:16" x14ac:dyDescent="0.3">
      <c r="A893" t="s">
        <v>1725</v>
      </c>
      <c r="B893" s="11">
        <v>44469</v>
      </c>
      <c r="C893" t="s">
        <v>1726</v>
      </c>
      <c r="D893" t="s">
        <v>123</v>
      </c>
      <c r="E893">
        <v>5</v>
      </c>
      <c r="F893" t="str">
        <f>_xlfn.XLOOKUP(C893,Customers!$A$2:$A$1001,Customers!$B$2:$B$1001)</f>
        <v>Celestia Dolohunty</v>
      </c>
      <c r="G893" t="str">
        <f>_xlfn.XLOOKUP(C893,Customers!$A$2:$A$1001,Customers!$C$2:$C$1001)</f>
        <v>cdolohuntyor@dailymail.co.uk</v>
      </c>
      <c r="H893" t="str">
        <f>_xlfn.XLOOKUP(C893,Customers!$A$2:$A$1001,Customers!$G$2:$G$1001)</f>
        <v>United States</v>
      </c>
      <c r="I893" t="str" cm="1">
        <f t="array" ref="I893:L893">_xlfn.XLOOKUP(D893,products!$A$2:$A$49,products!$B$2:$E$49)</f>
        <v>Ara</v>
      </c>
      <c r="J893" t="str">
        <v>D</v>
      </c>
      <c r="K893" s="8">
        <v>2.5</v>
      </c>
      <c r="L893" s="6">
        <v>22.884999999999998</v>
      </c>
      <c r="M893" s="7">
        <f t="shared" si="39"/>
        <v>114.42499999999998</v>
      </c>
      <c r="N893" t="str">
        <f t="shared" si="40"/>
        <v>Arasbica</v>
      </c>
      <c r="O893" t="str">
        <f t="shared" si="41"/>
        <v>Dark</v>
      </c>
      <c r="P893" t="str">
        <f>_xlfn.XLOOKUP(Orders!C893,Customers!$A$2:$A$1001,Customers!$I$2:$I$1001)</f>
        <v>Yes</v>
      </c>
    </row>
    <row r="894" spans="1:16" x14ac:dyDescent="0.3">
      <c r="A894" t="s">
        <v>1727</v>
      </c>
      <c r="B894" s="11">
        <v>43635</v>
      </c>
      <c r="C894" t="s">
        <v>1728</v>
      </c>
      <c r="D894" t="s">
        <v>69</v>
      </c>
      <c r="E894">
        <v>5</v>
      </c>
      <c r="F894" t="str">
        <f>_xlfn.XLOOKUP(C894,Customers!$A$2:$A$1001,Customers!$B$2:$B$1001)</f>
        <v>Patsy Vasilenko</v>
      </c>
      <c r="G894" t="str">
        <f>_xlfn.XLOOKUP(C894,Customers!$A$2:$A$1001,Customers!$C$2:$C$1001)</f>
        <v>pvasilenkoos@addtoany.com</v>
      </c>
      <c r="H894" t="str">
        <f>_xlfn.XLOOKUP(C894,Customers!$A$2:$A$1001,Customers!$G$2:$G$1001)</f>
        <v>United Kingdom</v>
      </c>
      <c r="I894" t="str" cm="1">
        <f t="array" ref="I894:L894">_xlfn.XLOOKUP(D894,products!$A$2:$A$49,products!$B$2:$E$49)</f>
        <v>Exc</v>
      </c>
      <c r="J894" t="str">
        <v>M</v>
      </c>
      <c r="K894" s="8">
        <v>0.2</v>
      </c>
      <c r="L894" s="6">
        <v>4.125</v>
      </c>
      <c r="M894" s="7">
        <f t="shared" si="39"/>
        <v>20.625</v>
      </c>
      <c r="N894" t="str">
        <f t="shared" si="40"/>
        <v>Excelsa</v>
      </c>
      <c r="O894" t="str">
        <f t="shared" si="41"/>
        <v>Medium</v>
      </c>
      <c r="P894" t="str">
        <f>_xlfn.XLOOKUP(Orders!C894,Customers!$A$2:$A$1001,Customers!$I$2:$I$1001)</f>
        <v>No</v>
      </c>
    </row>
    <row r="895" spans="1:16" x14ac:dyDescent="0.3">
      <c r="A895" t="s">
        <v>1729</v>
      </c>
      <c r="B895" s="11">
        <v>44651</v>
      </c>
      <c r="C895" t="s">
        <v>1730</v>
      </c>
      <c r="D895" t="s">
        <v>88</v>
      </c>
      <c r="E895">
        <v>6</v>
      </c>
      <c r="F895" t="str">
        <f>_xlfn.XLOOKUP(C895,Customers!$A$2:$A$1001,Customers!$B$2:$B$1001)</f>
        <v>Raphaela Schankelborg</v>
      </c>
      <c r="G895" t="str">
        <f>_xlfn.XLOOKUP(C895,Customers!$A$2:$A$1001,Customers!$C$2:$C$1001)</f>
        <v>rschankelborgot@ameblo.jp</v>
      </c>
      <c r="H895" t="str">
        <f>_xlfn.XLOOKUP(C895,Customers!$A$2:$A$1001,Customers!$G$2:$G$1001)</f>
        <v>United States</v>
      </c>
      <c r="I895" t="str" cm="1">
        <f t="array" ref="I895:L895">_xlfn.XLOOKUP(D895,products!$A$2:$A$49,products!$B$2:$E$49)</f>
        <v>Lib</v>
      </c>
      <c r="J895" t="str">
        <v>L</v>
      </c>
      <c r="K895" s="8">
        <v>0.5</v>
      </c>
      <c r="L895" s="6">
        <v>9.51</v>
      </c>
      <c r="M895" s="7">
        <f t="shared" si="39"/>
        <v>57.06</v>
      </c>
      <c r="N895" t="str">
        <f t="shared" si="40"/>
        <v>Liberica</v>
      </c>
      <c r="O895" t="str">
        <f t="shared" si="41"/>
        <v>Lite</v>
      </c>
      <c r="P895" t="str">
        <f>_xlfn.XLOOKUP(Orders!C895,Customers!$A$2:$A$1001,Customers!$I$2:$I$1001)</f>
        <v>Yes</v>
      </c>
    </row>
    <row r="896" spans="1:16" x14ac:dyDescent="0.3">
      <c r="A896" t="s">
        <v>1731</v>
      </c>
      <c r="B896" s="11">
        <v>44016</v>
      </c>
      <c r="C896" t="s">
        <v>1732</v>
      </c>
      <c r="D896" t="s">
        <v>40</v>
      </c>
      <c r="E896">
        <v>4</v>
      </c>
      <c r="F896" t="str">
        <f>_xlfn.XLOOKUP(C896,Customers!$A$2:$A$1001,Customers!$B$2:$B$1001)</f>
        <v>Sharity Wickens</v>
      </c>
      <c r="G896">
        <f>_xlfn.XLOOKUP(C896,Customers!$A$2:$A$1001,Customers!$C$2:$C$1001)</f>
        <v>0</v>
      </c>
      <c r="H896" t="str">
        <f>_xlfn.XLOOKUP(C896,Customers!$A$2:$A$1001,Customers!$G$2:$G$1001)</f>
        <v>Ireland</v>
      </c>
      <c r="I896" t="str" cm="1">
        <f t="array" ref="I896:L896">_xlfn.XLOOKUP(D896,products!$A$2:$A$49,products!$B$2:$E$49)</f>
        <v>Rob</v>
      </c>
      <c r="J896" t="str">
        <v>D</v>
      </c>
      <c r="K896" s="8">
        <v>2.5</v>
      </c>
      <c r="L896" s="6">
        <v>20.584999999999997</v>
      </c>
      <c r="M896" s="7">
        <f t="shared" si="39"/>
        <v>82.339999999999989</v>
      </c>
      <c r="N896" t="str">
        <f t="shared" si="40"/>
        <v>Robusta</v>
      </c>
      <c r="O896" t="str">
        <f t="shared" si="41"/>
        <v>Dark</v>
      </c>
      <c r="P896" t="str">
        <f>_xlfn.XLOOKUP(Orders!C896,Customers!$A$2:$A$1001,Customers!$I$2:$I$1001)</f>
        <v>Yes</v>
      </c>
    </row>
    <row r="897" spans="1:16" x14ac:dyDescent="0.3">
      <c r="A897" t="s">
        <v>1733</v>
      </c>
      <c r="B897" s="11">
        <v>44521</v>
      </c>
      <c r="C897" t="s">
        <v>1734</v>
      </c>
      <c r="D897" t="s">
        <v>117</v>
      </c>
      <c r="E897">
        <v>5</v>
      </c>
      <c r="F897" t="str">
        <f>_xlfn.XLOOKUP(C897,Customers!$A$2:$A$1001,Customers!$B$2:$B$1001)</f>
        <v>Derick Snow</v>
      </c>
      <c r="G897">
        <f>_xlfn.XLOOKUP(C897,Customers!$A$2:$A$1001,Customers!$C$2:$C$1001)</f>
        <v>0</v>
      </c>
      <c r="H897" t="str">
        <f>_xlfn.XLOOKUP(C897,Customers!$A$2:$A$1001,Customers!$G$2:$G$1001)</f>
        <v>United States</v>
      </c>
      <c r="I897" t="str" cm="1">
        <f t="array" ref="I897:L897">_xlfn.XLOOKUP(D897,products!$A$2:$A$49,products!$B$2:$E$49)</f>
        <v>Exc</v>
      </c>
      <c r="J897" t="str">
        <v>M</v>
      </c>
      <c r="K897" s="8">
        <v>2.5</v>
      </c>
      <c r="L897" s="6">
        <v>31.624999999999996</v>
      </c>
      <c r="M897" s="7">
        <f t="shared" si="39"/>
        <v>158.12499999999997</v>
      </c>
      <c r="N897" t="str">
        <f t="shared" si="40"/>
        <v>Excelsa</v>
      </c>
      <c r="O897" t="str">
        <f t="shared" si="41"/>
        <v>Medium</v>
      </c>
      <c r="P897" t="str">
        <f>_xlfn.XLOOKUP(Orders!C897,Customers!$A$2:$A$1001,Customers!$I$2:$I$1001)</f>
        <v>No</v>
      </c>
    </row>
    <row r="898" spans="1:16" x14ac:dyDescent="0.3">
      <c r="A898" t="s">
        <v>1735</v>
      </c>
      <c r="B898" s="11">
        <v>44347</v>
      </c>
      <c r="C898" t="s">
        <v>1736</v>
      </c>
      <c r="D898" t="s">
        <v>151</v>
      </c>
      <c r="E898">
        <v>6</v>
      </c>
      <c r="F898" t="str">
        <f>_xlfn.XLOOKUP(C898,Customers!$A$2:$A$1001,Customers!$B$2:$B$1001)</f>
        <v>Baxy Cargen</v>
      </c>
      <c r="G898" t="str">
        <f>_xlfn.XLOOKUP(C898,Customers!$A$2:$A$1001,Customers!$C$2:$C$1001)</f>
        <v>bcargenow@geocities.jp</v>
      </c>
      <c r="H898" t="str">
        <f>_xlfn.XLOOKUP(C898,Customers!$A$2:$A$1001,Customers!$G$2:$G$1001)</f>
        <v>United States</v>
      </c>
      <c r="I898" t="str" cm="1">
        <f t="array" ref="I898:L898">_xlfn.XLOOKUP(D898,products!$A$2:$A$49,products!$B$2:$E$49)</f>
        <v>Rob</v>
      </c>
      <c r="J898" t="str">
        <v>D</v>
      </c>
      <c r="K898" s="8">
        <v>0.5</v>
      </c>
      <c r="L898" s="6">
        <v>5.3699999999999992</v>
      </c>
      <c r="M898" s="7">
        <f t="shared" si="39"/>
        <v>32.22</v>
      </c>
      <c r="N898" t="str">
        <f t="shared" si="40"/>
        <v>Robusta</v>
      </c>
      <c r="O898" t="str">
        <f t="shared" si="41"/>
        <v>Dark</v>
      </c>
      <c r="P898" t="str">
        <f>_xlfn.XLOOKUP(Orders!C898,Customers!$A$2:$A$1001,Customers!$I$2:$I$1001)</f>
        <v>Yes</v>
      </c>
    </row>
    <row r="899" spans="1:16" x14ac:dyDescent="0.3">
      <c r="A899" t="s">
        <v>1737</v>
      </c>
      <c r="B899" s="11">
        <v>43932</v>
      </c>
      <c r="C899" t="s">
        <v>1738</v>
      </c>
      <c r="D899" t="s">
        <v>250</v>
      </c>
      <c r="E899">
        <v>2</v>
      </c>
      <c r="F899" t="str">
        <f>_xlfn.XLOOKUP(C899,Customers!$A$2:$A$1001,Customers!$B$2:$B$1001)</f>
        <v>Ryann Stickler</v>
      </c>
      <c r="G899" t="str">
        <f>_xlfn.XLOOKUP(C899,Customers!$A$2:$A$1001,Customers!$C$2:$C$1001)</f>
        <v>rsticklerox@printfriendly.com</v>
      </c>
      <c r="H899" t="str">
        <f>_xlfn.XLOOKUP(C899,Customers!$A$2:$A$1001,Customers!$G$2:$G$1001)</f>
        <v>United Kingdom</v>
      </c>
      <c r="I899" t="str" cm="1">
        <f t="array" ref="I899:L899">_xlfn.XLOOKUP(D899,products!$A$2:$A$49,products!$B$2:$E$49)</f>
        <v>Exc</v>
      </c>
      <c r="J899" t="str">
        <v>D</v>
      </c>
      <c r="K899" s="8">
        <v>1</v>
      </c>
      <c r="L899" s="6">
        <v>12.15</v>
      </c>
      <c r="M899" s="7">
        <f t="shared" ref="M899:M962" si="42">E899*L899</f>
        <v>24.3</v>
      </c>
      <c r="N899" t="str">
        <f t="shared" ref="N899:N962" si="43">IF(I899="rob","Robusta",IF(I899="Exc","Excelsa",IF(I899="Ara","Arasbica",IF(I899="Lib","Liberica"))))</f>
        <v>Excelsa</v>
      </c>
      <c r="O899" t="str">
        <f t="shared" ref="O899:O962" si="44">IF(J899="M","Medium",IF(J899="L","Lite",IF(J899="D","Dark")))</f>
        <v>Dark</v>
      </c>
      <c r="P899" t="str">
        <f>_xlfn.XLOOKUP(Orders!C899,Customers!$A$2:$A$1001,Customers!$I$2:$I$1001)</f>
        <v>No</v>
      </c>
    </row>
    <row r="900" spans="1:16" x14ac:dyDescent="0.3">
      <c r="A900" t="s">
        <v>1739</v>
      </c>
      <c r="B900" s="11">
        <v>44089</v>
      </c>
      <c r="C900" t="s">
        <v>1740</v>
      </c>
      <c r="D900" t="s">
        <v>162</v>
      </c>
      <c r="E900">
        <v>5</v>
      </c>
      <c r="F900" t="str">
        <f>_xlfn.XLOOKUP(C900,Customers!$A$2:$A$1001,Customers!$B$2:$B$1001)</f>
        <v>Daryn Cassius</v>
      </c>
      <c r="G900">
        <f>_xlfn.XLOOKUP(C900,Customers!$A$2:$A$1001,Customers!$C$2:$C$1001)</f>
        <v>0</v>
      </c>
      <c r="H900" t="str">
        <f>_xlfn.XLOOKUP(C900,Customers!$A$2:$A$1001,Customers!$G$2:$G$1001)</f>
        <v>United States</v>
      </c>
      <c r="I900" t="str" cm="1">
        <f t="array" ref="I900:L900">_xlfn.XLOOKUP(D900,products!$A$2:$A$49,products!$B$2:$E$49)</f>
        <v>Rob</v>
      </c>
      <c r="J900" t="str">
        <v>L</v>
      </c>
      <c r="K900" s="8">
        <v>0.5</v>
      </c>
      <c r="L900" s="6">
        <v>7.169999999999999</v>
      </c>
      <c r="M900" s="7">
        <f t="shared" si="42"/>
        <v>35.849999999999994</v>
      </c>
      <c r="N900" t="str">
        <f t="shared" si="43"/>
        <v>Robusta</v>
      </c>
      <c r="O900" t="str">
        <f t="shared" si="44"/>
        <v>Lite</v>
      </c>
      <c r="P900" t="str">
        <f>_xlfn.XLOOKUP(Orders!C900,Customers!$A$2:$A$1001,Customers!$I$2:$I$1001)</f>
        <v>No</v>
      </c>
    </row>
    <row r="901" spans="1:16" x14ac:dyDescent="0.3">
      <c r="A901" t="s">
        <v>1741</v>
      </c>
      <c r="B901" s="11">
        <v>44523</v>
      </c>
      <c r="C901" t="s">
        <v>1734</v>
      </c>
      <c r="D901" t="s">
        <v>101</v>
      </c>
      <c r="E901">
        <v>5</v>
      </c>
      <c r="F901" t="str">
        <f>_xlfn.XLOOKUP(C901,Customers!$A$2:$A$1001,Customers!$B$2:$B$1001)</f>
        <v>Derick Snow</v>
      </c>
      <c r="G901">
        <f>_xlfn.XLOOKUP(C901,Customers!$A$2:$A$1001,Customers!$C$2:$C$1001)</f>
        <v>0</v>
      </c>
      <c r="H901" t="str">
        <f>_xlfn.XLOOKUP(C901,Customers!$A$2:$A$1001,Customers!$G$2:$G$1001)</f>
        <v>United States</v>
      </c>
      <c r="I901" t="str" cm="1">
        <f t="array" ref="I901:L901">_xlfn.XLOOKUP(D901,products!$A$2:$A$49,products!$B$2:$E$49)</f>
        <v>Lib</v>
      </c>
      <c r="J901" t="str">
        <v>M</v>
      </c>
      <c r="K901" s="8">
        <v>1</v>
      </c>
      <c r="L901" s="6">
        <v>14.55</v>
      </c>
      <c r="M901" s="7">
        <f t="shared" si="42"/>
        <v>72.75</v>
      </c>
      <c r="N901" t="str">
        <f t="shared" si="43"/>
        <v>Liberica</v>
      </c>
      <c r="O901" t="str">
        <f t="shared" si="44"/>
        <v>Medium</v>
      </c>
      <c r="P901" t="str">
        <f>_xlfn.XLOOKUP(Orders!C901,Customers!$A$2:$A$1001,Customers!$I$2:$I$1001)</f>
        <v>No</v>
      </c>
    </row>
    <row r="902" spans="1:16" x14ac:dyDescent="0.3">
      <c r="A902" t="s">
        <v>1742</v>
      </c>
      <c r="B902" s="11">
        <v>44584</v>
      </c>
      <c r="C902" t="s">
        <v>1743</v>
      </c>
      <c r="D902" t="s">
        <v>137</v>
      </c>
      <c r="E902">
        <v>3</v>
      </c>
      <c r="F902" t="str">
        <f>_xlfn.XLOOKUP(C902,Customers!$A$2:$A$1001,Customers!$B$2:$B$1001)</f>
        <v>Skelly Dolohunty</v>
      </c>
      <c r="G902">
        <f>_xlfn.XLOOKUP(C902,Customers!$A$2:$A$1001,Customers!$C$2:$C$1001)</f>
        <v>0</v>
      </c>
      <c r="H902" t="str">
        <f>_xlfn.XLOOKUP(C902,Customers!$A$2:$A$1001,Customers!$G$2:$G$1001)</f>
        <v>Ireland</v>
      </c>
      <c r="I902" t="str" cm="1">
        <f t="array" ref="I902:L902">_xlfn.XLOOKUP(D902,products!$A$2:$A$49,products!$B$2:$E$49)</f>
        <v>Lib</v>
      </c>
      <c r="J902" t="str">
        <v>L</v>
      </c>
      <c r="K902" s="8">
        <v>1</v>
      </c>
      <c r="L902" s="6">
        <v>15.85</v>
      </c>
      <c r="M902" s="7">
        <f t="shared" si="42"/>
        <v>47.55</v>
      </c>
      <c r="N902" t="str">
        <f t="shared" si="43"/>
        <v>Liberica</v>
      </c>
      <c r="O902" t="str">
        <f t="shared" si="44"/>
        <v>Lite</v>
      </c>
      <c r="P902" t="str">
        <f>_xlfn.XLOOKUP(Orders!C902,Customers!$A$2:$A$1001,Customers!$I$2:$I$1001)</f>
        <v>No</v>
      </c>
    </row>
    <row r="903" spans="1:16" x14ac:dyDescent="0.3">
      <c r="A903" t="s">
        <v>1744</v>
      </c>
      <c r="B903" s="11">
        <v>44223</v>
      </c>
      <c r="C903" t="s">
        <v>1745</v>
      </c>
      <c r="D903" t="s">
        <v>187</v>
      </c>
      <c r="E903">
        <v>1</v>
      </c>
      <c r="F903" t="str">
        <f>_xlfn.XLOOKUP(C903,Customers!$A$2:$A$1001,Customers!$B$2:$B$1001)</f>
        <v>Drake Jevon</v>
      </c>
      <c r="G903" t="str">
        <f>_xlfn.XLOOKUP(C903,Customers!$A$2:$A$1001,Customers!$C$2:$C$1001)</f>
        <v>djevonp1@ibm.com</v>
      </c>
      <c r="H903" t="str">
        <f>_xlfn.XLOOKUP(C903,Customers!$A$2:$A$1001,Customers!$G$2:$G$1001)</f>
        <v>United States</v>
      </c>
      <c r="I903" t="str" cm="1">
        <f t="array" ref="I903:L903">_xlfn.XLOOKUP(D903,products!$A$2:$A$49,products!$B$2:$E$49)</f>
        <v>Rob</v>
      </c>
      <c r="J903" t="str">
        <v>L</v>
      </c>
      <c r="K903" s="8">
        <v>0.2</v>
      </c>
      <c r="L903" s="6">
        <v>3.5849999999999995</v>
      </c>
      <c r="M903" s="7">
        <f t="shared" si="42"/>
        <v>3.5849999999999995</v>
      </c>
      <c r="N903" t="str">
        <f t="shared" si="43"/>
        <v>Robusta</v>
      </c>
      <c r="O903" t="str">
        <f t="shared" si="44"/>
        <v>Lite</v>
      </c>
      <c r="P903" t="str">
        <f>_xlfn.XLOOKUP(Orders!C903,Customers!$A$2:$A$1001,Customers!$I$2:$I$1001)</f>
        <v>Yes</v>
      </c>
    </row>
    <row r="904" spans="1:16" x14ac:dyDescent="0.3">
      <c r="A904" t="s">
        <v>1746</v>
      </c>
      <c r="B904" s="11">
        <v>43640</v>
      </c>
      <c r="C904" t="s">
        <v>1747</v>
      </c>
      <c r="D904" t="s">
        <v>117</v>
      </c>
      <c r="E904">
        <v>5</v>
      </c>
      <c r="F904" t="str">
        <f>_xlfn.XLOOKUP(C904,Customers!$A$2:$A$1001,Customers!$B$2:$B$1001)</f>
        <v>Hall Ranner</v>
      </c>
      <c r="G904" t="str">
        <f>_xlfn.XLOOKUP(C904,Customers!$A$2:$A$1001,Customers!$C$2:$C$1001)</f>
        <v>hrannerp2@omniture.com</v>
      </c>
      <c r="H904" t="str">
        <f>_xlfn.XLOOKUP(C904,Customers!$A$2:$A$1001,Customers!$G$2:$G$1001)</f>
        <v>United States</v>
      </c>
      <c r="I904" t="str" cm="1">
        <f t="array" ref="I904:L904">_xlfn.XLOOKUP(D904,products!$A$2:$A$49,products!$B$2:$E$49)</f>
        <v>Exc</v>
      </c>
      <c r="J904" t="str">
        <v>M</v>
      </c>
      <c r="K904" s="8">
        <v>2.5</v>
      </c>
      <c r="L904" s="6">
        <v>31.624999999999996</v>
      </c>
      <c r="M904" s="7">
        <f t="shared" si="42"/>
        <v>158.12499999999997</v>
      </c>
      <c r="N904" t="str">
        <f t="shared" si="43"/>
        <v>Excelsa</v>
      </c>
      <c r="O904" t="str">
        <f t="shared" si="44"/>
        <v>Medium</v>
      </c>
      <c r="P904" t="str">
        <f>_xlfn.XLOOKUP(Orders!C904,Customers!$A$2:$A$1001,Customers!$I$2:$I$1001)</f>
        <v>No</v>
      </c>
    </row>
    <row r="905" spans="1:16" x14ac:dyDescent="0.3">
      <c r="A905" t="s">
        <v>1748</v>
      </c>
      <c r="B905" s="11">
        <v>43905</v>
      </c>
      <c r="C905" t="s">
        <v>1749</v>
      </c>
      <c r="D905" t="s">
        <v>83</v>
      </c>
      <c r="E905">
        <v>2</v>
      </c>
      <c r="F905" t="str">
        <f>_xlfn.XLOOKUP(C905,Customers!$A$2:$A$1001,Customers!$B$2:$B$1001)</f>
        <v>Berkly Imrie</v>
      </c>
      <c r="G905" t="str">
        <f>_xlfn.XLOOKUP(C905,Customers!$A$2:$A$1001,Customers!$C$2:$C$1001)</f>
        <v>bimriep3@addtoany.com</v>
      </c>
      <c r="H905" t="str">
        <f>_xlfn.XLOOKUP(C905,Customers!$A$2:$A$1001,Customers!$G$2:$G$1001)</f>
        <v>United States</v>
      </c>
      <c r="I905" t="str" cm="1">
        <f t="array" ref="I905:L905">_xlfn.XLOOKUP(D905,products!$A$2:$A$49,products!$B$2:$E$49)</f>
        <v>Lib</v>
      </c>
      <c r="J905" t="str">
        <v>M</v>
      </c>
      <c r="K905" s="8">
        <v>0.5</v>
      </c>
      <c r="L905" s="6">
        <v>8.73</v>
      </c>
      <c r="M905" s="7">
        <f t="shared" si="42"/>
        <v>17.46</v>
      </c>
      <c r="N905" t="str">
        <f t="shared" si="43"/>
        <v>Liberica</v>
      </c>
      <c r="O905" t="str">
        <f t="shared" si="44"/>
        <v>Medium</v>
      </c>
      <c r="P905" t="str">
        <f>_xlfn.XLOOKUP(Orders!C905,Customers!$A$2:$A$1001,Customers!$I$2:$I$1001)</f>
        <v>No</v>
      </c>
    </row>
    <row r="906" spans="1:16" x14ac:dyDescent="0.3">
      <c r="A906" t="s">
        <v>1750</v>
      </c>
      <c r="B906" s="11">
        <v>44463</v>
      </c>
      <c r="C906" t="s">
        <v>1751</v>
      </c>
      <c r="D906" t="s">
        <v>209</v>
      </c>
      <c r="E906">
        <v>5</v>
      </c>
      <c r="F906" t="str">
        <f>_xlfn.XLOOKUP(C906,Customers!$A$2:$A$1001,Customers!$B$2:$B$1001)</f>
        <v>Dorey Sopper</v>
      </c>
      <c r="G906" t="str">
        <f>_xlfn.XLOOKUP(C906,Customers!$A$2:$A$1001,Customers!$C$2:$C$1001)</f>
        <v>dsopperp4@eventbrite.com</v>
      </c>
      <c r="H906" t="str">
        <f>_xlfn.XLOOKUP(C906,Customers!$A$2:$A$1001,Customers!$G$2:$G$1001)</f>
        <v>United States</v>
      </c>
      <c r="I906" t="str" cm="1">
        <f t="array" ref="I906:L906">_xlfn.XLOOKUP(D906,products!$A$2:$A$49,products!$B$2:$E$49)</f>
        <v>Ara</v>
      </c>
      <c r="J906" t="str">
        <v>L</v>
      </c>
      <c r="K906" s="8">
        <v>2.5</v>
      </c>
      <c r="L906" s="6">
        <v>29.784999999999997</v>
      </c>
      <c r="M906" s="7">
        <f t="shared" si="42"/>
        <v>148.92499999999998</v>
      </c>
      <c r="N906" t="str">
        <f t="shared" si="43"/>
        <v>Arasbica</v>
      </c>
      <c r="O906" t="str">
        <f t="shared" si="44"/>
        <v>Lite</v>
      </c>
      <c r="P906" t="str">
        <f>_xlfn.XLOOKUP(Orders!C906,Customers!$A$2:$A$1001,Customers!$I$2:$I$1001)</f>
        <v>No</v>
      </c>
    </row>
    <row r="907" spans="1:16" x14ac:dyDescent="0.3">
      <c r="A907" t="s">
        <v>1752</v>
      </c>
      <c r="B907" s="11">
        <v>43560</v>
      </c>
      <c r="C907" t="s">
        <v>1753</v>
      </c>
      <c r="D907" t="s">
        <v>72</v>
      </c>
      <c r="E907">
        <v>6</v>
      </c>
      <c r="F907" t="str">
        <f>_xlfn.XLOOKUP(C907,Customers!$A$2:$A$1001,Customers!$B$2:$B$1001)</f>
        <v>Darcy Lochran</v>
      </c>
      <c r="G907">
        <f>_xlfn.XLOOKUP(C907,Customers!$A$2:$A$1001,Customers!$C$2:$C$1001)</f>
        <v>0</v>
      </c>
      <c r="H907" t="str">
        <f>_xlfn.XLOOKUP(C907,Customers!$A$2:$A$1001,Customers!$G$2:$G$1001)</f>
        <v>United States</v>
      </c>
      <c r="I907" t="str" cm="1">
        <f t="array" ref="I907:L907">_xlfn.XLOOKUP(D907,products!$A$2:$A$49,products!$B$2:$E$49)</f>
        <v>Ara</v>
      </c>
      <c r="J907" t="str">
        <v>M</v>
      </c>
      <c r="K907" s="8">
        <v>0.5</v>
      </c>
      <c r="L907" s="6">
        <v>6.75</v>
      </c>
      <c r="M907" s="7">
        <f t="shared" si="42"/>
        <v>40.5</v>
      </c>
      <c r="N907" t="str">
        <f t="shared" si="43"/>
        <v>Arasbica</v>
      </c>
      <c r="O907" t="str">
        <f t="shared" si="44"/>
        <v>Medium</v>
      </c>
      <c r="P907" t="str">
        <f>_xlfn.XLOOKUP(Orders!C907,Customers!$A$2:$A$1001,Customers!$I$2:$I$1001)</f>
        <v>Yes</v>
      </c>
    </row>
    <row r="908" spans="1:16" x14ac:dyDescent="0.3">
      <c r="A908" t="s">
        <v>1754</v>
      </c>
      <c r="B908" s="11">
        <v>44588</v>
      </c>
      <c r="C908" t="s">
        <v>1755</v>
      </c>
      <c r="D908" t="s">
        <v>72</v>
      </c>
      <c r="E908">
        <v>4</v>
      </c>
      <c r="F908" t="str">
        <f>_xlfn.XLOOKUP(C908,Customers!$A$2:$A$1001,Customers!$B$2:$B$1001)</f>
        <v>Lauritz Ledgley</v>
      </c>
      <c r="G908" t="str">
        <f>_xlfn.XLOOKUP(C908,Customers!$A$2:$A$1001,Customers!$C$2:$C$1001)</f>
        <v>lledgleyp6@de.vu</v>
      </c>
      <c r="H908" t="str">
        <f>_xlfn.XLOOKUP(C908,Customers!$A$2:$A$1001,Customers!$G$2:$G$1001)</f>
        <v>United States</v>
      </c>
      <c r="I908" t="str" cm="1">
        <f t="array" ref="I908:L908">_xlfn.XLOOKUP(D908,products!$A$2:$A$49,products!$B$2:$E$49)</f>
        <v>Ara</v>
      </c>
      <c r="J908" t="str">
        <v>M</v>
      </c>
      <c r="K908" s="8">
        <v>0.5</v>
      </c>
      <c r="L908" s="6">
        <v>6.75</v>
      </c>
      <c r="M908" s="7">
        <f t="shared" si="42"/>
        <v>27</v>
      </c>
      <c r="N908" t="str">
        <f t="shared" si="43"/>
        <v>Arasbica</v>
      </c>
      <c r="O908" t="str">
        <f t="shared" si="44"/>
        <v>Medium</v>
      </c>
      <c r="P908" t="str">
        <f>_xlfn.XLOOKUP(Orders!C908,Customers!$A$2:$A$1001,Customers!$I$2:$I$1001)</f>
        <v>Yes</v>
      </c>
    </row>
    <row r="909" spans="1:16" x14ac:dyDescent="0.3">
      <c r="A909" t="s">
        <v>1756</v>
      </c>
      <c r="B909" s="11">
        <v>44449</v>
      </c>
      <c r="C909" t="s">
        <v>1757</v>
      </c>
      <c r="D909" t="s">
        <v>18</v>
      </c>
      <c r="E909">
        <v>3</v>
      </c>
      <c r="F909" t="str">
        <f>_xlfn.XLOOKUP(C909,Customers!$A$2:$A$1001,Customers!$B$2:$B$1001)</f>
        <v>Tawnya Menary</v>
      </c>
      <c r="G909" t="str">
        <f>_xlfn.XLOOKUP(C909,Customers!$A$2:$A$1001,Customers!$C$2:$C$1001)</f>
        <v>tmenaryp7@phoca.cz</v>
      </c>
      <c r="H909" t="str">
        <f>_xlfn.XLOOKUP(C909,Customers!$A$2:$A$1001,Customers!$G$2:$G$1001)</f>
        <v>United States</v>
      </c>
      <c r="I909" t="str" cm="1">
        <f t="array" ref="I909:L909">_xlfn.XLOOKUP(D909,products!$A$2:$A$49,products!$B$2:$E$49)</f>
        <v>Lib</v>
      </c>
      <c r="J909" t="str">
        <v>D</v>
      </c>
      <c r="K909" s="8">
        <v>1</v>
      </c>
      <c r="L909" s="6">
        <v>12.95</v>
      </c>
      <c r="M909" s="7">
        <f t="shared" si="42"/>
        <v>38.849999999999994</v>
      </c>
      <c r="N909" t="str">
        <f t="shared" si="43"/>
        <v>Liberica</v>
      </c>
      <c r="O909" t="str">
        <f t="shared" si="44"/>
        <v>Dark</v>
      </c>
      <c r="P909" t="str">
        <f>_xlfn.XLOOKUP(Orders!C909,Customers!$A$2:$A$1001,Customers!$I$2:$I$1001)</f>
        <v>No</v>
      </c>
    </row>
    <row r="910" spans="1:16" x14ac:dyDescent="0.3">
      <c r="A910" t="s">
        <v>1758</v>
      </c>
      <c r="B910" s="11">
        <v>43836</v>
      </c>
      <c r="C910" t="s">
        <v>1759</v>
      </c>
      <c r="D910" t="s">
        <v>194</v>
      </c>
      <c r="E910">
        <v>5</v>
      </c>
      <c r="F910" t="str">
        <f>_xlfn.XLOOKUP(C910,Customers!$A$2:$A$1001,Customers!$B$2:$B$1001)</f>
        <v>Gustaf Ciccotti</v>
      </c>
      <c r="G910" t="str">
        <f>_xlfn.XLOOKUP(C910,Customers!$A$2:$A$1001,Customers!$C$2:$C$1001)</f>
        <v>gciccottip8@so-net.ne.jp</v>
      </c>
      <c r="H910" t="str">
        <f>_xlfn.XLOOKUP(C910,Customers!$A$2:$A$1001,Customers!$G$2:$G$1001)</f>
        <v>United States</v>
      </c>
      <c r="I910" t="str" cm="1">
        <f t="array" ref="I910:L910">_xlfn.XLOOKUP(D910,products!$A$2:$A$49,products!$B$2:$E$49)</f>
        <v>Rob</v>
      </c>
      <c r="J910" t="str">
        <v>L</v>
      </c>
      <c r="K910" s="8">
        <v>1</v>
      </c>
      <c r="L910" s="6">
        <v>11.95</v>
      </c>
      <c r="M910" s="7">
        <f t="shared" si="42"/>
        <v>59.75</v>
      </c>
      <c r="N910" t="str">
        <f t="shared" si="43"/>
        <v>Robusta</v>
      </c>
      <c r="O910" t="str">
        <f t="shared" si="44"/>
        <v>Lite</v>
      </c>
      <c r="P910" t="str">
        <f>_xlfn.XLOOKUP(Orders!C910,Customers!$A$2:$A$1001,Customers!$I$2:$I$1001)</f>
        <v>No</v>
      </c>
    </row>
    <row r="911" spans="1:16" x14ac:dyDescent="0.3">
      <c r="A911" t="s">
        <v>1760</v>
      </c>
      <c r="B911" s="11">
        <v>44635</v>
      </c>
      <c r="C911" t="s">
        <v>1761</v>
      </c>
      <c r="D911" t="s">
        <v>187</v>
      </c>
      <c r="E911">
        <v>3</v>
      </c>
      <c r="F911" t="str">
        <f>_xlfn.XLOOKUP(C911,Customers!$A$2:$A$1001,Customers!$B$2:$B$1001)</f>
        <v>Bobbe Renner</v>
      </c>
      <c r="G911">
        <f>_xlfn.XLOOKUP(C911,Customers!$A$2:$A$1001,Customers!$C$2:$C$1001)</f>
        <v>0</v>
      </c>
      <c r="H911" t="str">
        <f>_xlfn.XLOOKUP(C911,Customers!$A$2:$A$1001,Customers!$G$2:$G$1001)</f>
        <v>United States</v>
      </c>
      <c r="I911" t="str" cm="1">
        <f t="array" ref="I911:L911">_xlfn.XLOOKUP(D911,products!$A$2:$A$49,products!$B$2:$E$49)</f>
        <v>Rob</v>
      </c>
      <c r="J911" t="str">
        <v>L</v>
      </c>
      <c r="K911" s="8">
        <v>0.2</v>
      </c>
      <c r="L911" s="6">
        <v>3.5849999999999995</v>
      </c>
      <c r="M911" s="7">
        <f t="shared" si="42"/>
        <v>10.754999999999999</v>
      </c>
      <c r="N911" t="str">
        <f t="shared" si="43"/>
        <v>Robusta</v>
      </c>
      <c r="O911" t="str">
        <f t="shared" si="44"/>
        <v>Lite</v>
      </c>
      <c r="P911" t="str">
        <f>_xlfn.XLOOKUP(Orders!C911,Customers!$A$2:$A$1001,Customers!$I$2:$I$1001)</f>
        <v>No</v>
      </c>
    </row>
    <row r="912" spans="1:16" x14ac:dyDescent="0.3">
      <c r="A912" t="s">
        <v>1762</v>
      </c>
      <c r="B912" s="11">
        <v>44447</v>
      </c>
      <c r="C912" t="s">
        <v>1763</v>
      </c>
      <c r="D912" t="s">
        <v>123</v>
      </c>
      <c r="E912">
        <v>4</v>
      </c>
      <c r="F912" t="str">
        <f>_xlfn.XLOOKUP(C912,Customers!$A$2:$A$1001,Customers!$B$2:$B$1001)</f>
        <v>Wilton Jallin</v>
      </c>
      <c r="G912" t="str">
        <f>_xlfn.XLOOKUP(C912,Customers!$A$2:$A$1001,Customers!$C$2:$C$1001)</f>
        <v>wjallinpa@pcworld.com</v>
      </c>
      <c r="H912" t="str">
        <f>_xlfn.XLOOKUP(C912,Customers!$A$2:$A$1001,Customers!$G$2:$G$1001)</f>
        <v>United States</v>
      </c>
      <c r="I912" t="str" cm="1">
        <f t="array" ref="I912:L912">_xlfn.XLOOKUP(D912,products!$A$2:$A$49,products!$B$2:$E$49)</f>
        <v>Ara</v>
      </c>
      <c r="J912" t="str">
        <v>D</v>
      </c>
      <c r="K912" s="8">
        <v>2.5</v>
      </c>
      <c r="L912" s="6">
        <v>22.884999999999998</v>
      </c>
      <c r="M912" s="7">
        <f t="shared" si="42"/>
        <v>91.539999999999992</v>
      </c>
      <c r="N912" t="str">
        <f t="shared" si="43"/>
        <v>Arasbica</v>
      </c>
      <c r="O912" t="str">
        <f t="shared" si="44"/>
        <v>Dark</v>
      </c>
      <c r="P912" t="str">
        <f>_xlfn.XLOOKUP(Orders!C912,Customers!$A$2:$A$1001,Customers!$I$2:$I$1001)</f>
        <v>No</v>
      </c>
    </row>
    <row r="913" spans="1:16" x14ac:dyDescent="0.3">
      <c r="A913" t="s">
        <v>1764</v>
      </c>
      <c r="B913" s="11">
        <v>44511</v>
      </c>
      <c r="C913" t="s">
        <v>1765</v>
      </c>
      <c r="D913" t="s">
        <v>66</v>
      </c>
      <c r="E913">
        <v>4</v>
      </c>
      <c r="F913" t="str">
        <f>_xlfn.XLOOKUP(C913,Customers!$A$2:$A$1001,Customers!$B$2:$B$1001)</f>
        <v>Mindy Bogey</v>
      </c>
      <c r="G913" t="str">
        <f>_xlfn.XLOOKUP(C913,Customers!$A$2:$A$1001,Customers!$C$2:$C$1001)</f>
        <v>mbogeypb@thetimes.co.uk</v>
      </c>
      <c r="H913" t="str">
        <f>_xlfn.XLOOKUP(C913,Customers!$A$2:$A$1001,Customers!$G$2:$G$1001)</f>
        <v>United States</v>
      </c>
      <c r="I913" t="str" cm="1">
        <f t="array" ref="I913:L913">_xlfn.XLOOKUP(D913,products!$A$2:$A$49,products!$B$2:$E$49)</f>
        <v>Ara</v>
      </c>
      <c r="J913" t="str">
        <v>M</v>
      </c>
      <c r="K913" s="8">
        <v>1</v>
      </c>
      <c r="L913" s="6">
        <v>11.25</v>
      </c>
      <c r="M913" s="7">
        <f t="shared" si="42"/>
        <v>45</v>
      </c>
      <c r="N913" t="str">
        <f t="shared" si="43"/>
        <v>Arasbica</v>
      </c>
      <c r="O913" t="str">
        <f t="shared" si="44"/>
        <v>Medium</v>
      </c>
      <c r="P913" t="str">
        <f>_xlfn.XLOOKUP(Orders!C913,Customers!$A$2:$A$1001,Customers!$I$2:$I$1001)</f>
        <v>Yes</v>
      </c>
    </row>
    <row r="914" spans="1:16" x14ac:dyDescent="0.3">
      <c r="A914" t="s">
        <v>1766</v>
      </c>
      <c r="B914" s="11">
        <v>43726</v>
      </c>
      <c r="C914" t="s">
        <v>1767</v>
      </c>
      <c r="D914" t="s">
        <v>46</v>
      </c>
      <c r="E914">
        <v>6</v>
      </c>
      <c r="F914" t="str">
        <f>_xlfn.XLOOKUP(C914,Customers!$A$2:$A$1001,Customers!$B$2:$B$1001)</f>
        <v>Paulie Fonzone</v>
      </c>
      <c r="G914">
        <f>_xlfn.XLOOKUP(C914,Customers!$A$2:$A$1001,Customers!$C$2:$C$1001)</f>
        <v>0</v>
      </c>
      <c r="H914" t="str">
        <f>_xlfn.XLOOKUP(C914,Customers!$A$2:$A$1001,Customers!$G$2:$G$1001)</f>
        <v>United States</v>
      </c>
      <c r="I914" t="str" cm="1">
        <f t="array" ref="I914:L914">_xlfn.XLOOKUP(D914,products!$A$2:$A$49,products!$B$2:$E$49)</f>
        <v>Rob</v>
      </c>
      <c r="J914" t="str">
        <v>M</v>
      </c>
      <c r="K914" s="8">
        <v>2.5</v>
      </c>
      <c r="L914" s="6">
        <v>22.884999999999998</v>
      </c>
      <c r="M914" s="7">
        <f t="shared" si="42"/>
        <v>137.31</v>
      </c>
      <c r="N914" t="str">
        <f t="shared" si="43"/>
        <v>Robusta</v>
      </c>
      <c r="O914" t="str">
        <f t="shared" si="44"/>
        <v>Medium</v>
      </c>
      <c r="P914" t="str">
        <f>_xlfn.XLOOKUP(Orders!C914,Customers!$A$2:$A$1001,Customers!$I$2:$I$1001)</f>
        <v>Yes</v>
      </c>
    </row>
    <row r="915" spans="1:16" x14ac:dyDescent="0.3">
      <c r="A915" t="s">
        <v>1768</v>
      </c>
      <c r="B915" s="11">
        <v>44406</v>
      </c>
      <c r="C915" t="s">
        <v>1769</v>
      </c>
      <c r="D915" t="s">
        <v>72</v>
      </c>
      <c r="E915">
        <v>1</v>
      </c>
      <c r="F915" t="str">
        <f>_xlfn.XLOOKUP(C915,Customers!$A$2:$A$1001,Customers!$B$2:$B$1001)</f>
        <v>Merrile Cobbledick</v>
      </c>
      <c r="G915" t="str">
        <f>_xlfn.XLOOKUP(C915,Customers!$A$2:$A$1001,Customers!$C$2:$C$1001)</f>
        <v>mcobbledickpd@ucsd.edu</v>
      </c>
      <c r="H915" t="str">
        <f>_xlfn.XLOOKUP(C915,Customers!$A$2:$A$1001,Customers!$G$2:$G$1001)</f>
        <v>United States</v>
      </c>
      <c r="I915" t="str" cm="1">
        <f t="array" ref="I915:L915">_xlfn.XLOOKUP(D915,products!$A$2:$A$49,products!$B$2:$E$49)</f>
        <v>Ara</v>
      </c>
      <c r="J915" t="str">
        <v>M</v>
      </c>
      <c r="K915" s="8">
        <v>0.5</v>
      </c>
      <c r="L915" s="6">
        <v>6.75</v>
      </c>
      <c r="M915" s="7">
        <f t="shared" si="42"/>
        <v>6.75</v>
      </c>
      <c r="N915" t="str">
        <f t="shared" si="43"/>
        <v>Arasbica</v>
      </c>
      <c r="O915" t="str">
        <f t="shared" si="44"/>
        <v>Medium</v>
      </c>
      <c r="P915" t="str">
        <f>_xlfn.XLOOKUP(Orders!C915,Customers!$A$2:$A$1001,Customers!$I$2:$I$1001)</f>
        <v>No</v>
      </c>
    </row>
    <row r="916" spans="1:16" x14ac:dyDescent="0.3">
      <c r="A916" t="s">
        <v>1770</v>
      </c>
      <c r="B916" s="11">
        <v>44640</v>
      </c>
      <c r="C916" t="s">
        <v>1771</v>
      </c>
      <c r="D916" t="s">
        <v>66</v>
      </c>
      <c r="E916">
        <v>4</v>
      </c>
      <c r="F916" t="str">
        <f>_xlfn.XLOOKUP(C916,Customers!$A$2:$A$1001,Customers!$B$2:$B$1001)</f>
        <v>Antonius Lewry</v>
      </c>
      <c r="G916" t="str">
        <f>_xlfn.XLOOKUP(C916,Customers!$A$2:$A$1001,Customers!$C$2:$C$1001)</f>
        <v>alewrype@whitehouse.gov</v>
      </c>
      <c r="H916" t="str">
        <f>_xlfn.XLOOKUP(C916,Customers!$A$2:$A$1001,Customers!$G$2:$G$1001)</f>
        <v>United States</v>
      </c>
      <c r="I916" t="str" cm="1">
        <f t="array" ref="I916:L916">_xlfn.XLOOKUP(D916,products!$A$2:$A$49,products!$B$2:$E$49)</f>
        <v>Ara</v>
      </c>
      <c r="J916" t="str">
        <v>M</v>
      </c>
      <c r="K916" s="8">
        <v>1</v>
      </c>
      <c r="L916" s="6">
        <v>11.25</v>
      </c>
      <c r="M916" s="7">
        <f t="shared" si="42"/>
        <v>45</v>
      </c>
      <c r="N916" t="str">
        <f t="shared" si="43"/>
        <v>Arasbica</v>
      </c>
      <c r="O916" t="str">
        <f t="shared" si="44"/>
        <v>Medium</v>
      </c>
      <c r="P916" t="str">
        <f>_xlfn.XLOOKUP(Orders!C916,Customers!$A$2:$A$1001,Customers!$I$2:$I$1001)</f>
        <v>No</v>
      </c>
    </row>
    <row r="917" spans="1:16" x14ac:dyDescent="0.3">
      <c r="A917" t="s">
        <v>1772</v>
      </c>
      <c r="B917" s="11">
        <v>43955</v>
      </c>
      <c r="C917" t="s">
        <v>1773</v>
      </c>
      <c r="D917" t="s">
        <v>535</v>
      </c>
      <c r="E917">
        <v>3</v>
      </c>
      <c r="F917" t="str">
        <f>_xlfn.XLOOKUP(C917,Customers!$A$2:$A$1001,Customers!$B$2:$B$1001)</f>
        <v>Isis Hessel</v>
      </c>
      <c r="G917" t="str">
        <f>_xlfn.XLOOKUP(C917,Customers!$A$2:$A$1001,Customers!$C$2:$C$1001)</f>
        <v>ihesselpf@ox.ac.uk</v>
      </c>
      <c r="H917" t="str">
        <f>_xlfn.XLOOKUP(C917,Customers!$A$2:$A$1001,Customers!$G$2:$G$1001)</f>
        <v>United States</v>
      </c>
      <c r="I917" t="str" cm="1">
        <f t="array" ref="I917:L917">_xlfn.XLOOKUP(D917,products!$A$2:$A$49,products!$B$2:$E$49)</f>
        <v>Exc</v>
      </c>
      <c r="J917" t="str">
        <v>D</v>
      </c>
      <c r="K917" s="8">
        <v>2.5</v>
      </c>
      <c r="L917" s="6">
        <v>27.945</v>
      </c>
      <c r="M917" s="7">
        <f t="shared" si="42"/>
        <v>83.835000000000008</v>
      </c>
      <c r="N917" t="str">
        <f t="shared" si="43"/>
        <v>Excelsa</v>
      </c>
      <c r="O917" t="str">
        <f t="shared" si="44"/>
        <v>Dark</v>
      </c>
      <c r="P917" t="str">
        <f>_xlfn.XLOOKUP(Orders!C917,Customers!$A$2:$A$1001,Customers!$I$2:$I$1001)</f>
        <v>Yes</v>
      </c>
    </row>
    <row r="918" spans="1:16" x14ac:dyDescent="0.3">
      <c r="A918" t="s">
        <v>1774</v>
      </c>
      <c r="B918" s="11">
        <v>44291</v>
      </c>
      <c r="C918" t="s">
        <v>1775</v>
      </c>
      <c r="D918" t="s">
        <v>56</v>
      </c>
      <c r="E918">
        <v>1</v>
      </c>
      <c r="F918" t="str">
        <f>_xlfn.XLOOKUP(C918,Customers!$A$2:$A$1001,Customers!$B$2:$B$1001)</f>
        <v>Harland Trematick</v>
      </c>
      <c r="G918">
        <f>_xlfn.XLOOKUP(C918,Customers!$A$2:$A$1001,Customers!$C$2:$C$1001)</f>
        <v>0</v>
      </c>
      <c r="H918" t="str">
        <f>_xlfn.XLOOKUP(C918,Customers!$A$2:$A$1001,Customers!$G$2:$G$1001)</f>
        <v>Ireland</v>
      </c>
      <c r="I918" t="str" cm="1">
        <f t="array" ref="I918:L918">_xlfn.XLOOKUP(D918,products!$A$2:$A$49,products!$B$2:$E$49)</f>
        <v>Exc</v>
      </c>
      <c r="J918" t="str">
        <v>D</v>
      </c>
      <c r="K918" s="8">
        <v>0.2</v>
      </c>
      <c r="L918" s="6">
        <v>3.645</v>
      </c>
      <c r="M918" s="7">
        <f t="shared" si="42"/>
        <v>3.645</v>
      </c>
      <c r="N918" t="str">
        <f t="shared" si="43"/>
        <v>Excelsa</v>
      </c>
      <c r="O918" t="str">
        <f t="shared" si="44"/>
        <v>Dark</v>
      </c>
      <c r="P918" t="str">
        <f>_xlfn.XLOOKUP(Orders!C918,Customers!$A$2:$A$1001,Customers!$I$2:$I$1001)</f>
        <v>Yes</v>
      </c>
    </row>
    <row r="919" spans="1:16" x14ac:dyDescent="0.3">
      <c r="A919" t="s">
        <v>1776</v>
      </c>
      <c r="B919" s="11">
        <v>44573</v>
      </c>
      <c r="C919" t="s">
        <v>1777</v>
      </c>
      <c r="D919" t="s">
        <v>72</v>
      </c>
      <c r="E919">
        <v>1</v>
      </c>
      <c r="F919" t="str">
        <f>_xlfn.XLOOKUP(C919,Customers!$A$2:$A$1001,Customers!$B$2:$B$1001)</f>
        <v>Chloris Sorrell</v>
      </c>
      <c r="G919" t="str">
        <f>_xlfn.XLOOKUP(C919,Customers!$A$2:$A$1001,Customers!$C$2:$C$1001)</f>
        <v>csorrellph@amazon.com</v>
      </c>
      <c r="H919" t="str">
        <f>_xlfn.XLOOKUP(C919,Customers!$A$2:$A$1001,Customers!$G$2:$G$1001)</f>
        <v>United Kingdom</v>
      </c>
      <c r="I919" t="str" cm="1">
        <f t="array" ref="I919:L919">_xlfn.XLOOKUP(D919,products!$A$2:$A$49,products!$B$2:$E$49)</f>
        <v>Ara</v>
      </c>
      <c r="J919" t="str">
        <v>M</v>
      </c>
      <c r="K919" s="8">
        <v>0.5</v>
      </c>
      <c r="L919" s="6">
        <v>6.75</v>
      </c>
      <c r="M919" s="7">
        <f t="shared" si="42"/>
        <v>6.75</v>
      </c>
      <c r="N919" t="str">
        <f t="shared" si="43"/>
        <v>Arasbica</v>
      </c>
      <c r="O919" t="str">
        <f t="shared" si="44"/>
        <v>Medium</v>
      </c>
      <c r="P919" t="str">
        <f>_xlfn.XLOOKUP(Orders!C919,Customers!$A$2:$A$1001,Customers!$I$2:$I$1001)</f>
        <v>No</v>
      </c>
    </row>
    <row r="920" spans="1:16" x14ac:dyDescent="0.3">
      <c r="A920" t="s">
        <v>1776</v>
      </c>
      <c r="B920" s="11">
        <v>44573</v>
      </c>
      <c r="C920" t="s">
        <v>1777</v>
      </c>
      <c r="D920" t="s">
        <v>21</v>
      </c>
      <c r="E920">
        <v>3</v>
      </c>
      <c r="F920" t="str">
        <f>_xlfn.XLOOKUP(C920,Customers!$A$2:$A$1001,Customers!$B$2:$B$1001)</f>
        <v>Chloris Sorrell</v>
      </c>
      <c r="G920" t="str">
        <f>_xlfn.XLOOKUP(C920,Customers!$A$2:$A$1001,Customers!$C$2:$C$1001)</f>
        <v>csorrellph@amazon.com</v>
      </c>
      <c r="H920" t="str">
        <f>_xlfn.XLOOKUP(C920,Customers!$A$2:$A$1001,Customers!$G$2:$G$1001)</f>
        <v>United Kingdom</v>
      </c>
      <c r="I920" t="str" cm="1">
        <f t="array" ref="I920:L920">_xlfn.XLOOKUP(D920,products!$A$2:$A$49,products!$B$2:$E$49)</f>
        <v>Exc</v>
      </c>
      <c r="J920" t="str">
        <v>D</v>
      </c>
      <c r="K920" s="8">
        <v>0.5</v>
      </c>
      <c r="L920" s="6">
        <v>7.29</v>
      </c>
      <c r="M920" s="7">
        <f t="shared" si="42"/>
        <v>21.87</v>
      </c>
      <c r="N920" t="str">
        <f t="shared" si="43"/>
        <v>Excelsa</v>
      </c>
      <c r="O920" t="str">
        <f t="shared" si="44"/>
        <v>Dark</v>
      </c>
      <c r="P920" t="str">
        <f>_xlfn.XLOOKUP(Orders!C920,Customers!$A$2:$A$1001,Customers!$I$2:$I$1001)</f>
        <v>No</v>
      </c>
    </row>
    <row r="921" spans="1:16" x14ac:dyDescent="0.3">
      <c r="A921" t="s">
        <v>1778</v>
      </c>
      <c r="B921" s="11">
        <v>44181</v>
      </c>
      <c r="C921" t="s">
        <v>1779</v>
      </c>
      <c r="D921" t="s">
        <v>106</v>
      </c>
      <c r="E921">
        <v>5</v>
      </c>
      <c r="F921" t="str">
        <f>_xlfn.XLOOKUP(C921,Customers!$A$2:$A$1001,Customers!$B$2:$B$1001)</f>
        <v>Quintina Heavyside</v>
      </c>
      <c r="G921" t="str">
        <f>_xlfn.XLOOKUP(C921,Customers!$A$2:$A$1001,Customers!$C$2:$C$1001)</f>
        <v>qheavysidepj@unc.edu</v>
      </c>
      <c r="H921" t="str">
        <f>_xlfn.XLOOKUP(C921,Customers!$A$2:$A$1001,Customers!$G$2:$G$1001)</f>
        <v>United States</v>
      </c>
      <c r="I921" t="str" cm="1">
        <f t="array" ref="I921:L921">_xlfn.XLOOKUP(D921,products!$A$2:$A$49,products!$B$2:$E$49)</f>
        <v>Rob</v>
      </c>
      <c r="J921" t="str">
        <v>D</v>
      </c>
      <c r="K921" s="8">
        <v>0.2</v>
      </c>
      <c r="L921" s="6">
        <v>2.6849999999999996</v>
      </c>
      <c r="M921" s="7">
        <f t="shared" si="42"/>
        <v>13.424999999999997</v>
      </c>
      <c r="N921" t="str">
        <f t="shared" si="43"/>
        <v>Robusta</v>
      </c>
      <c r="O921" t="str">
        <f t="shared" si="44"/>
        <v>Dark</v>
      </c>
      <c r="P921" t="str">
        <f>_xlfn.XLOOKUP(Orders!C921,Customers!$A$2:$A$1001,Customers!$I$2:$I$1001)</f>
        <v>Yes</v>
      </c>
    </row>
    <row r="922" spans="1:16" x14ac:dyDescent="0.3">
      <c r="A922" t="s">
        <v>1780</v>
      </c>
      <c r="B922" s="11">
        <v>44711</v>
      </c>
      <c r="C922" t="s">
        <v>1781</v>
      </c>
      <c r="D922" t="s">
        <v>40</v>
      </c>
      <c r="E922">
        <v>6</v>
      </c>
      <c r="F922" t="str">
        <f>_xlfn.XLOOKUP(C922,Customers!$A$2:$A$1001,Customers!$B$2:$B$1001)</f>
        <v>Hadley Reuven</v>
      </c>
      <c r="G922" t="str">
        <f>_xlfn.XLOOKUP(C922,Customers!$A$2:$A$1001,Customers!$C$2:$C$1001)</f>
        <v>hreuvenpk@whitehouse.gov</v>
      </c>
      <c r="H922" t="str">
        <f>_xlfn.XLOOKUP(C922,Customers!$A$2:$A$1001,Customers!$G$2:$G$1001)</f>
        <v>United States</v>
      </c>
      <c r="I922" t="str" cm="1">
        <f t="array" ref="I922:L922">_xlfn.XLOOKUP(D922,products!$A$2:$A$49,products!$B$2:$E$49)</f>
        <v>Rob</v>
      </c>
      <c r="J922" t="str">
        <v>D</v>
      </c>
      <c r="K922" s="8">
        <v>2.5</v>
      </c>
      <c r="L922" s="6">
        <v>20.584999999999997</v>
      </c>
      <c r="M922" s="7">
        <f t="shared" si="42"/>
        <v>123.50999999999999</v>
      </c>
      <c r="N922" t="str">
        <f t="shared" si="43"/>
        <v>Robusta</v>
      </c>
      <c r="O922" t="str">
        <f t="shared" si="44"/>
        <v>Dark</v>
      </c>
      <c r="P922" t="str">
        <f>_xlfn.XLOOKUP(Orders!C922,Customers!$A$2:$A$1001,Customers!$I$2:$I$1001)</f>
        <v>No</v>
      </c>
    </row>
    <row r="923" spans="1:16" x14ac:dyDescent="0.3">
      <c r="A923" t="s">
        <v>1782</v>
      </c>
      <c r="B923" s="11">
        <v>44509</v>
      </c>
      <c r="C923" t="s">
        <v>1783</v>
      </c>
      <c r="D923" t="s">
        <v>43</v>
      </c>
      <c r="E923">
        <v>2</v>
      </c>
      <c r="F923" t="str">
        <f>_xlfn.XLOOKUP(C923,Customers!$A$2:$A$1001,Customers!$B$2:$B$1001)</f>
        <v>Mitch Attwool</v>
      </c>
      <c r="G923" t="str">
        <f>_xlfn.XLOOKUP(C923,Customers!$A$2:$A$1001,Customers!$C$2:$C$1001)</f>
        <v>mattwoolpl@nba.com</v>
      </c>
      <c r="H923" t="str">
        <f>_xlfn.XLOOKUP(C923,Customers!$A$2:$A$1001,Customers!$G$2:$G$1001)</f>
        <v>United States</v>
      </c>
      <c r="I923" t="str" cm="1">
        <f t="array" ref="I923:L923">_xlfn.XLOOKUP(D923,products!$A$2:$A$49,products!$B$2:$E$49)</f>
        <v>Lib</v>
      </c>
      <c r="J923" t="str">
        <v>D</v>
      </c>
      <c r="K923" s="8">
        <v>0.2</v>
      </c>
      <c r="L923" s="6">
        <v>3.8849999999999998</v>
      </c>
      <c r="M923" s="7">
        <f t="shared" si="42"/>
        <v>7.77</v>
      </c>
      <c r="N923" t="str">
        <f t="shared" si="43"/>
        <v>Liberica</v>
      </c>
      <c r="O923" t="str">
        <f t="shared" si="44"/>
        <v>Dark</v>
      </c>
      <c r="P923" t="str">
        <f>_xlfn.XLOOKUP(Orders!C923,Customers!$A$2:$A$1001,Customers!$I$2:$I$1001)</f>
        <v>No</v>
      </c>
    </row>
    <row r="924" spans="1:16" x14ac:dyDescent="0.3">
      <c r="A924" t="s">
        <v>1784</v>
      </c>
      <c r="B924" s="11">
        <v>44659</v>
      </c>
      <c r="C924" t="s">
        <v>1785</v>
      </c>
      <c r="D924" t="s">
        <v>66</v>
      </c>
      <c r="E924">
        <v>6</v>
      </c>
      <c r="F924" t="str">
        <f>_xlfn.XLOOKUP(C924,Customers!$A$2:$A$1001,Customers!$B$2:$B$1001)</f>
        <v>Charin Maplethorp</v>
      </c>
      <c r="G924">
        <f>_xlfn.XLOOKUP(C924,Customers!$A$2:$A$1001,Customers!$C$2:$C$1001)</f>
        <v>0</v>
      </c>
      <c r="H924" t="str">
        <f>_xlfn.XLOOKUP(C924,Customers!$A$2:$A$1001,Customers!$G$2:$G$1001)</f>
        <v>United States</v>
      </c>
      <c r="I924" t="str" cm="1">
        <f t="array" ref="I924:L924">_xlfn.XLOOKUP(D924,products!$A$2:$A$49,products!$B$2:$E$49)</f>
        <v>Ara</v>
      </c>
      <c r="J924" t="str">
        <v>M</v>
      </c>
      <c r="K924" s="8">
        <v>1</v>
      </c>
      <c r="L924" s="6">
        <v>11.25</v>
      </c>
      <c r="M924" s="7">
        <f t="shared" si="42"/>
        <v>67.5</v>
      </c>
      <c r="N924" t="str">
        <f t="shared" si="43"/>
        <v>Arasbica</v>
      </c>
      <c r="O924" t="str">
        <f t="shared" si="44"/>
        <v>Medium</v>
      </c>
      <c r="P924" t="str">
        <f>_xlfn.XLOOKUP(Orders!C924,Customers!$A$2:$A$1001,Customers!$I$2:$I$1001)</f>
        <v>Yes</v>
      </c>
    </row>
    <row r="925" spans="1:16" x14ac:dyDescent="0.3">
      <c r="A925" t="s">
        <v>1786</v>
      </c>
      <c r="B925" s="11">
        <v>43746</v>
      </c>
      <c r="C925" t="s">
        <v>1787</v>
      </c>
      <c r="D925" t="s">
        <v>535</v>
      </c>
      <c r="E925">
        <v>1</v>
      </c>
      <c r="F925" t="str">
        <f>_xlfn.XLOOKUP(C925,Customers!$A$2:$A$1001,Customers!$B$2:$B$1001)</f>
        <v>Goldie Wynes</v>
      </c>
      <c r="G925" t="str">
        <f>_xlfn.XLOOKUP(C925,Customers!$A$2:$A$1001,Customers!$C$2:$C$1001)</f>
        <v>gwynespn@dagondesign.com</v>
      </c>
      <c r="H925" t="str">
        <f>_xlfn.XLOOKUP(C925,Customers!$A$2:$A$1001,Customers!$G$2:$G$1001)</f>
        <v>United States</v>
      </c>
      <c r="I925" t="str" cm="1">
        <f t="array" ref="I925:L925">_xlfn.XLOOKUP(D925,products!$A$2:$A$49,products!$B$2:$E$49)</f>
        <v>Exc</v>
      </c>
      <c r="J925" t="str">
        <v>D</v>
      </c>
      <c r="K925" s="8">
        <v>2.5</v>
      </c>
      <c r="L925" s="6">
        <v>27.945</v>
      </c>
      <c r="M925" s="7">
        <f t="shared" si="42"/>
        <v>27.945</v>
      </c>
      <c r="N925" t="str">
        <f t="shared" si="43"/>
        <v>Excelsa</v>
      </c>
      <c r="O925" t="str">
        <f t="shared" si="44"/>
        <v>Dark</v>
      </c>
      <c r="P925" t="str">
        <f>_xlfn.XLOOKUP(Orders!C925,Customers!$A$2:$A$1001,Customers!$I$2:$I$1001)</f>
        <v>No</v>
      </c>
    </row>
    <row r="926" spans="1:16" x14ac:dyDescent="0.3">
      <c r="A926" t="s">
        <v>1788</v>
      </c>
      <c r="B926" s="11">
        <v>44451</v>
      </c>
      <c r="C926" t="s">
        <v>1789</v>
      </c>
      <c r="D926" t="s">
        <v>209</v>
      </c>
      <c r="E926">
        <v>3</v>
      </c>
      <c r="F926" t="str">
        <f>_xlfn.XLOOKUP(C926,Customers!$A$2:$A$1001,Customers!$B$2:$B$1001)</f>
        <v>Celie MacCourt</v>
      </c>
      <c r="G926" t="str">
        <f>_xlfn.XLOOKUP(C926,Customers!$A$2:$A$1001,Customers!$C$2:$C$1001)</f>
        <v>cmaccourtpo@amazon.com</v>
      </c>
      <c r="H926" t="str">
        <f>_xlfn.XLOOKUP(C926,Customers!$A$2:$A$1001,Customers!$G$2:$G$1001)</f>
        <v>United States</v>
      </c>
      <c r="I926" t="str" cm="1">
        <f t="array" ref="I926:L926">_xlfn.XLOOKUP(D926,products!$A$2:$A$49,products!$B$2:$E$49)</f>
        <v>Ara</v>
      </c>
      <c r="J926" t="str">
        <v>L</v>
      </c>
      <c r="K926" s="8">
        <v>2.5</v>
      </c>
      <c r="L926" s="6">
        <v>29.784999999999997</v>
      </c>
      <c r="M926" s="7">
        <f t="shared" si="42"/>
        <v>89.35499999999999</v>
      </c>
      <c r="N926" t="str">
        <f t="shared" si="43"/>
        <v>Arasbica</v>
      </c>
      <c r="O926" t="str">
        <f t="shared" si="44"/>
        <v>Lite</v>
      </c>
      <c r="P926" t="str">
        <f>_xlfn.XLOOKUP(Orders!C926,Customers!$A$2:$A$1001,Customers!$I$2:$I$1001)</f>
        <v>No</v>
      </c>
    </row>
    <row r="927" spans="1:16" x14ac:dyDescent="0.3">
      <c r="A927" t="s">
        <v>1790</v>
      </c>
      <c r="B927" s="11">
        <v>44770</v>
      </c>
      <c r="C927" t="s">
        <v>1734</v>
      </c>
      <c r="D927" t="s">
        <v>72</v>
      </c>
      <c r="E927">
        <v>3</v>
      </c>
      <c r="F927" t="str">
        <f>_xlfn.XLOOKUP(C927,Customers!$A$2:$A$1001,Customers!$B$2:$B$1001)</f>
        <v>Derick Snow</v>
      </c>
      <c r="G927">
        <f>_xlfn.XLOOKUP(C927,Customers!$A$2:$A$1001,Customers!$C$2:$C$1001)</f>
        <v>0</v>
      </c>
      <c r="H927" t="str">
        <f>_xlfn.XLOOKUP(C927,Customers!$A$2:$A$1001,Customers!$G$2:$G$1001)</f>
        <v>United States</v>
      </c>
      <c r="I927" t="str" cm="1">
        <f t="array" ref="I927:L927">_xlfn.XLOOKUP(D927,products!$A$2:$A$49,products!$B$2:$E$49)</f>
        <v>Ara</v>
      </c>
      <c r="J927" t="str">
        <v>M</v>
      </c>
      <c r="K927" s="8">
        <v>0.5</v>
      </c>
      <c r="L927" s="6">
        <v>6.75</v>
      </c>
      <c r="M927" s="7">
        <f t="shared" si="42"/>
        <v>20.25</v>
      </c>
      <c r="N927" t="str">
        <f t="shared" si="43"/>
        <v>Arasbica</v>
      </c>
      <c r="O927" t="str">
        <f t="shared" si="44"/>
        <v>Medium</v>
      </c>
      <c r="P927" t="str">
        <f>_xlfn.XLOOKUP(Orders!C927,Customers!$A$2:$A$1001,Customers!$I$2:$I$1001)</f>
        <v>No</v>
      </c>
    </row>
    <row r="928" spans="1:16" x14ac:dyDescent="0.3">
      <c r="A928" t="s">
        <v>1791</v>
      </c>
      <c r="B928" s="11">
        <v>44012</v>
      </c>
      <c r="C928" t="s">
        <v>1792</v>
      </c>
      <c r="D928" t="s">
        <v>72</v>
      </c>
      <c r="E928">
        <v>5</v>
      </c>
      <c r="F928" t="str">
        <f>_xlfn.XLOOKUP(C928,Customers!$A$2:$A$1001,Customers!$B$2:$B$1001)</f>
        <v>Evy Wilsone</v>
      </c>
      <c r="G928" t="str">
        <f>_xlfn.XLOOKUP(C928,Customers!$A$2:$A$1001,Customers!$C$2:$C$1001)</f>
        <v>ewilsonepq@eepurl.com</v>
      </c>
      <c r="H928" t="str">
        <f>_xlfn.XLOOKUP(C928,Customers!$A$2:$A$1001,Customers!$G$2:$G$1001)</f>
        <v>United States</v>
      </c>
      <c r="I928" t="str" cm="1">
        <f t="array" ref="I928:L928">_xlfn.XLOOKUP(D928,products!$A$2:$A$49,products!$B$2:$E$49)</f>
        <v>Ara</v>
      </c>
      <c r="J928" t="str">
        <v>M</v>
      </c>
      <c r="K928" s="8">
        <v>0.5</v>
      </c>
      <c r="L928" s="6">
        <v>6.75</v>
      </c>
      <c r="M928" s="7">
        <f t="shared" si="42"/>
        <v>33.75</v>
      </c>
      <c r="N928" t="str">
        <f t="shared" si="43"/>
        <v>Arasbica</v>
      </c>
      <c r="O928" t="str">
        <f t="shared" si="44"/>
        <v>Medium</v>
      </c>
      <c r="P928" t="str">
        <f>_xlfn.XLOOKUP(Orders!C928,Customers!$A$2:$A$1001,Customers!$I$2:$I$1001)</f>
        <v>Yes</v>
      </c>
    </row>
    <row r="929" spans="1:16" x14ac:dyDescent="0.3">
      <c r="A929" t="s">
        <v>1793</v>
      </c>
      <c r="B929" s="11">
        <v>43474</v>
      </c>
      <c r="C929" t="s">
        <v>1794</v>
      </c>
      <c r="D929" t="s">
        <v>535</v>
      </c>
      <c r="E929">
        <v>4</v>
      </c>
      <c r="F929" t="str">
        <f>_xlfn.XLOOKUP(C929,Customers!$A$2:$A$1001,Customers!$B$2:$B$1001)</f>
        <v>Dolores Duffie</v>
      </c>
      <c r="G929" t="str">
        <f>_xlfn.XLOOKUP(C929,Customers!$A$2:$A$1001,Customers!$C$2:$C$1001)</f>
        <v>dduffiepr@time.com</v>
      </c>
      <c r="H929" t="str">
        <f>_xlfn.XLOOKUP(C929,Customers!$A$2:$A$1001,Customers!$G$2:$G$1001)</f>
        <v>United States</v>
      </c>
      <c r="I929" t="str" cm="1">
        <f t="array" ref="I929:L929">_xlfn.XLOOKUP(D929,products!$A$2:$A$49,products!$B$2:$E$49)</f>
        <v>Exc</v>
      </c>
      <c r="J929" t="str">
        <v>D</v>
      </c>
      <c r="K929" s="8">
        <v>2.5</v>
      </c>
      <c r="L929" s="6">
        <v>27.945</v>
      </c>
      <c r="M929" s="7">
        <f t="shared" si="42"/>
        <v>111.78</v>
      </c>
      <c r="N929" t="str">
        <f t="shared" si="43"/>
        <v>Excelsa</v>
      </c>
      <c r="O929" t="str">
        <f t="shared" si="44"/>
        <v>Dark</v>
      </c>
      <c r="P929" t="str">
        <f>_xlfn.XLOOKUP(Orders!C929,Customers!$A$2:$A$1001,Customers!$I$2:$I$1001)</f>
        <v>No</v>
      </c>
    </row>
    <row r="930" spans="1:16" x14ac:dyDescent="0.3">
      <c r="A930" t="s">
        <v>1795</v>
      </c>
      <c r="B930" s="11">
        <v>44754</v>
      </c>
      <c r="C930" t="s">
        <v>1796</v>
      </c>
      <c r="D930" t="s">
        <v>117</v>
      </c>
      <c r="E930">
        <v>2</v>
      </c>
      <c r="F930" t="str">
        <f>_xlfn.XLOOKUP(C930,Customers!$A$2:$A$1001,Customers!$B$2:$B$1001)</f>
        <v>Mathilda Matiasek</v>
      </c>
      <c r="G930" t="str">
        <f>_xlfn.XLOOKUP(C930,Customers!$A$2:$A$1001,Customers!$C$2:$C$1001)</f>
        <v>mmatiasekps@ucoz.ru</v>
      </c>
      <c r="H930" t="str">
        <f>_xlfn.XLOOKUP(C930,Customers!$A$2:$A$1001,Customers!$G$2:$G$1001)</f>
        <v>United States</v>
      </c>
      <c r="I930" t="str" cm="1">
        <f t="array" ref="I930:L930">_xlfn.XLOOKUP(D930,products!$A$2:$A$49,products!$B$2:$E$49)</f>
        <v>Exc</v>
      </c>
      <c r="J930" t="str">
        <v>M</v>
      </c>
      <c r="K930" s="8">
        <v>2.5</v>
      </c>
      <c r="L930" s="6">
        <v>31.624999999999996</v>
      </c>
      <c r="M930" s="7">
        <f t="shared" si="42"/>
        <v>63.249999999999993</v>
      </c>
      <c r="N930" t="str">
        <f t="shared" si="43"/>
        <v>Excelsa</v>
      </c>
      <c r="O930" t="str">
        <f t="shared" si="44"/>
        <v>Medium</v>
      </c>
      <c r="P930" t="str">
        <f>_xlfn.XLOOKUP(Orders!C930,Customers!$A$2:$A$1001,Customers!$I$2:$I$1001)</f>
        <v>Yes</v>
      </c>
    </row>
    <row r="931" spans="1:16" x14ac:dyDescent="0.3">
      <c r="A931" t="s">
        <v>1797</v>
      </c>
      <c r="B931" s="11">
        <v>44165</v>
      </c>
      <c r="C931" t="s">
        <v>1798</v>
      </c>
      <c r="D931" t="s">
        <v>259</v>
      </c>
      <c r="E931">
        <v>2</v>
      </c>
      <c r="F931" t="str">
        <f>_xlfn.XLOOKUP(C931,Customers!$A$2:$A$1001,Customers!$B$2:$B$1001)</f>
        <v>Jarred Camillo</v>
      </c>
      <c r="G931" t="str">
        <f>_xlfn.XLOOKUP(C931,Customers!$A$2:$A$1001,Customers!$C$2:$C$1001)</f>
        <v>jcamillopt@shinystat.com</v>
      </c>
      <c r="H931" t="str">
        <f>_xlfn.XLOOKUP(C931,Customers!$A$2:$A$1001,Customers!$G$2:$G$1001)</f>
        <v>United States</v>
      </c>
      <c r="I931" t="str" cm="1">
        <f t="array" ref="I931:L931">_xlfn.XLOOKUP(D931,products!$A$2:$A$49,products!$B$2:$E$49)</f>
        <v>Exc</v>
      </c>
      <c r="J931" t="str">
        <v>L</v>
      </c>
      <c r="K931" s="8">
        <v>0.2</v>
      </c>
      <c r="L931" s="6">
        <v>4.4550000000000001</v>
      </c>
      <c r="M931" s="7">
        <f t="shared" si="42"/>
        <v>8.91</v>
      </c>
      <c r="N931" t="str">
        <f t="shared" si="43"/>
        <v>Excelsa</v>
      </c>
      <c r="O931" t="str">
        <f t="shared" si="44"/>
        <v>Lite</v>
      </c>
      <c r="P931" t="str">
        <f>_xlfn.XLOOKUP(Orders!C931,Customers!$A$2:$A$1001,Customers!$I$2:$I$1001)</f>
        <v>Yes</v>
      </c>
    </row>
    <row r="932" spans="1:16" x14ac:dyDescent="0.3">
      <c r="A932" t="s">
        <v>1799</v>
      </c>
      <c r="B932" s="11">
        <v>43546</v>
      </c>
      <c r="C932" t="s">
        <v>1800</v>
      </c>
      <c r="D932" t="s">
        <v>250</v>
      </c>
      <c r="E932">
        <v>1</v>
      </c>
      <c r="F932" t="str">
        <f>_xlfn.XLOOKUP(C932,Customers!$A$2:$A$1001,Customers!$B$2:$B$1001)</f>
        <v>Kameko Philbrick</v>
      </c>
      <c r="G932" t="str">
        <f>_xlfn.XLOOKUP(C932,Customers!$A$2:$A$1001,Customers!$C$2:$C$1001)</f>
        <v>kphilbrickpu@cdc.gov</v>
      </c>
      <c r="H932" t="str">
        <f>_xlfn.XLOOKUP(C932,Customers!$A$2:$A$1001,Customers!$G$2:$G$1001)</f>
        <v>United States</v>
      </c>
      <c r="I932" t="str" cm="1">
        <f t="array" ref="I932:L932">_xlfn.XLOOKUP(D932,products!$A$2:$A$49,products!$B$2:$E$49)</f>
        <v>Exc</v>
      </c>
      <c r="J932" t="str">
        <v>D</v>
      </c>
      <c r="K932" s="8">
        <v>1</v>
      </c>
      <c r="L932" s="6">
        <v>12.15</v>
      </c>
      <c r="M932" s="7">
        <f t="shared" si="42"/>
        <v>12.15</v>
      </c>
      <c r="N932" t="str">
        <f t="shared" si="43"/>
        <v>Excelsa</v>
      </c>
      <c r="O932" t="str">
        <f t="shared" si="44"/>
        <v>Dark</v>
      </c>
      <c r="P932" t="str">
        <f>_xlfn.XLOOKUP(Orders!C932,Customers!$A$2:$A$1001,Customers!$I$2:$I$1001)</f>
        <v>Yes</v>
      </c>
    </row>
    <row r="933" spans="1:16" x14ac:dyDescent="0.3">
      <c r="A933" t="s">
        <v>1801</v>
      </c>
      <c r="B933" s="11">
        <v>44607</v>
      </c>
      <c r="C933" t="s">
        <v>1802</v>
      </c>
      <c r="D933" t="s">
        <v>77</v>
      </c>
      <c r="E933">
        <v>4</v>
      </c>
      <c r="F933" t="str">
        <f>_xlfn.XLOOKUP(C933,Customers!$A$2:$A$1001,Customers!$B$2:$B$1001)</f>
        <v>Mallory Shrimpling</v>
      </c>
      <c r="G933">
        <f>_xlfn.XLOOKUP(C933,Customers!$A$2:$A$1001,Customers!$C$2:$C$1001)</f>
        <v>0</v>
      </c>
      <c r="H933" t="str">
        <f>_xlfn.XLOOKUP(C933,Customers!$A$2:$A$1001,Customers!$G$2:$G$1001)</f>
        <v>United States</v>
      </c>
      <c r="I933" t="str" cm="1">
        <f t="array" ref="I933:L933">_xlfn.XLOOKUP(D933,products!$A$2:$A$49,products!$B$2:$E$49)</f>
        <v>Ara</v>
      </c>
      <c r="J933" t="str">
        <v>D</v>
      </c>
      <c r="K933" s="8">
        <v>0.5</v>
      </c>
      <c r="L933" s="6">
        <v>5.97</v>
      </c>
      <c r="M933" s="7">
        <f t="shared" si="42"/>
        <v>23.88</v>
      </c>
      <c r="N933" t="str">
        <f t="shared" si="43"/>
        <v>Arasbica</v>
      </c>
      <c r="O933" t="str">
        <f t="shared" si="44"/>
        <v>Dark</v>
      </c>
      <c r="P933" t="str">
        <f>_xlfn.XLOOKUP(Orders!C933,Customers!$A$2:$A$1001,Customers!$I$2:$I$1001)</f>
        <v>Yes</v>
      </c>
    </row>
    <row r="934" spans="1:16" x14ac:dyDescent="0.3">
      <c r="A934" t="s">
        <v>1803</v>
      </c>
      <c r="B934" s="11">
        <v>44117</v>
      </c>
      <c r="C934" t="s">
        <v>1804</v>
      </c>
      <c r="D934" t="s">
        <v>14</v>
      </c>
      <c r="E934">
        <v>4</v>
      </c>
      <c r="F934" t="str">
        <f>_xlfn.XLOOKUP(C934,Customers!$A$2:$A$1001,Customers!$B$2:$B$1001)</f>
        <v>Barnett Sillis</v>
      </c>
      <c r="G934" t="str">
        <f>_xlfn.XLOOKUP(C934,Customers!$A$2:$A$1001,Customers!$C$2:$C$1001)</f>
        <v>bsillispw@istockphoto.com</v>
      </c>
      <c r="H934" t="str">
        <f>_xlfn.XLOOKUP(C934,Customers!$A$2:$A$1001,Customers!$G$2:$G$1001)</f>
        <v>United States</v>
      </c>
      <c r="I934" t="str" cm="1">
        <f t="array" ref="I934:L934">_xlfn.XLOOKUP(D934,products!$A$2:$A$49,products!$B$2:$E$49)</f>
        <v>Exc</v>
      </c>
      <c r="J934" t="str">
        <v>M</v>
      </c>
      <c r="K934" s="8">
        <v>1</v>
      </c>
      <c r="L934" s="6">
        <v>13.75</v>
      </c>
      <c r="M934" s="7">
        <f t="shared" si="42"/>
        <v>55</v>
      </c>
      <c r="N934" t="str">
        <f t="shared" si="43"/>
        <v>Excelsa</v>
      </c>
      <c r="O934" t="str">
        <f t="shared" si="44"/>
        <v>Medium</v>
      </c>
      <c r="P934" t="str">
        <f>_xlfn.XLOOKUP(Orders!C934,Customers!$A$2:$A$1001,Customers!$I$2:$I$1001)</f>
        <v>No</v>
      </c>
    </row>
    <row r="935" spans="1:16" x14ac:dyDescent="0.3">
      <c r="A935" t="s">
        <v>1805</v>
      </c>
      <c r="B935" s="11">
        <v>44557</v>
      </c>
      <c r="C935" t="s">
        <v>1806</v>
      </c>
      <c r="D935" t="s">
        <v>184</v>
      </c>
      <c r="E935">
        <v>3</v>
      </c>
      <c r="F935" t="str">
        <f>_xlfn.XLOOKUP(C935,Customers!$A$2:$A$1001,Customers!$B$2:$B$1001)</f>
        <v>Brenn Dundredge</v>
      </c>
      <c r="G935">
        <f>_xlfn.XLOOKUP(C935,Customers!$A$2:$A$1001,Customers!$C$2:$C$1001)</f>
        <v>0</v>
      </c>
      <c r="H935" t="str">
        <f>_xlfn.XLOOKUP(C935,Customers!$A$2:$A$1001,Customers!$G$2:$G$1001)</f>
        <v>United States</v>
      </c>
      <c r="I935" t="str" cm="1">
        <f t="array" ref="I935:L935">_xlfn.XLOOKUP(D935,products!$A$2:$A$49,products!$B$2:$E$49)</f>
        <v>Rob</v>
      </c>
      <c r="J935" t="str">
        <v>D</v>
      </c>
      <c r="K935" s="8">
        <v>1</v>
      </c>
      <c r="L935" s="6">
        <v>8.9499999999999993</v>
      </c>
      <c r="M935" s="7">
        <f t="shared" si="42"/>
        <v>26.849999999999998</v>
      </c>
      <c r="N935" t="str">
        <f t="shared" si="43"/>
        <v>Robusta</v>
      </c>
      <c r="O935" t="str">
        <f t="shared" si="44"/>
        <v>Dark</v>
      </c>
      <c r="P935" t="str">
        <f>_xlfn.XLOOKUP(Orders!C935,Customers!$A$2:$A$1001,Customers!$I$2:$I$1001)</f>
        <v>Yes</v>
      </c>
    </row>
    <row r="936" spans="1:16" x14ac:dyDescent="0.3">
      <c r="A936" t="s">
        <v>1807</v>
      </c>
      <c r="B936" s="11">
        <v>44409</v>
      </c>
      <c r="C936" t="s">
        <v>1808</v>
      </c>
      <c r="D936" t="s">
        <v>46</v>
      </c>
      <c r="E936">
        <v>5</v>
      </c>
      <c r="F936" t="str">
        <f>_xlfn.XLOOKUP(C936,Customers!$A$2:$A$1001,Customers!$B$2:$B$1001)</f>
        <v>Read Cutts</v>
      </c>
      <c r="G936" t="str">
        <f>_xlfn.XLOOKUP(C936,Customers!$A$2:$A$1001,Customers!$C$2:$C$1001)</f>
        <v>rcuttspy@techcrunch.com</v>
      </c>
      <c r="H936" t="str">
        <f>_xlfn.XLOOKUP(C936,Customers!$A$2:$A$1001,Customers!$G$2:$G$1001)</f>
        <v>United States</v>
      </c>
      <c r="I936" t="str" cm="1">
        <f t="array" ref="I936:L936">_xlfn.XLOOKUP(D936,products!$A$2:$A$49,products!$B$2:$E$49)</f>
        <v>Rob</v>
      </c>
      <c r="J936" t="str">
        <v>M</v>
      </c>
      <c r="K936" s="8">
        <v>2.5</v>
      </c>
      <c r="L936" s="6">
        <v>22.884999999999998</v>
      </c>
      <c r="M936" s="7">
        <f t="shared" si="42"/>
        <v>114.42499999999998</v>
      </c>
      <c r="N936" t="str">
        <f t="shared" si="43"/>
        <v>Robusta</v>
      </c>
      <c r="O936" t="str">
        <f t="shared" si="44"/>
        <v>Medium</v>
      </c>
      <c r="P936" t="str">
        <f>_xlfn.XLOOKUP(Orders!C936,Customers!$A$2:$A$1001,Customers!$I$2:$I$1001)</f>
        <v>No</v>
      </c>
    </row>
    <row r="937" spans="1:16" x14ac:dyDescent="0.3">
      <c r="A937" t="s">
        <v>1809</v>
      </c>
      <c r="B937" s="11">
        <v>44153</v>
      </c>
      <c r="C937" t="s">
        <v>1810</v>
      </c>
      <c r="D937" t="s">
        <v>176</v>
      </c>
      <c r="E937">
        <v>6</v>
      </c>
      <c r="F937" t="str">
        <f>_xlfn.XLOOKUP(C937,Customers!$A$2:$A$1001,Customers!$B$2:$B$1001)</f>
        <v>Michale Delves</v>
      </c>
      <c r="G937" t="str">
        <f>_xlfn.XLOOKUP(C937,Customers!$A$2:$A$1001,Customers!$C$2:$C$1001)</f>
        <v>mdelvespz@nature.com</v>
      </c>
      <c r="H937" t="str">
        <f>_xlfn.XLOOKUP(C937,Customers!$A$2:$A$1001,Customers!$G$2:$G$1001)</f>
        <v>United States</v>
      </c>
      <c r="I937" t="str" cm="1">
        <f t="array" ref="I937:L937">_xlfn.XLOOKUP(D937,products!$A$2:$A$49,products!$B$2:$E$49)</f>
        <v>Ara</v>
      </c>
      <c r="J937" t="str">
        <v>M</v>
      </c>
      <c r="K937" s="8">
        <v>2.5</v>
      </c>
      <c r="L937" s="6">
        <v>25.874999999999996</v>
      </c>
      <c r="M937" s="7">
        <f t="shared" si="42"/>
        <v>155.24999999999997</v>
      </c>
      <c r="N937" t="str">
        <f t="shared" si="43"/>
        <v>Arasbica</v>
      </c>
      <c r="O937" t="str">
        <f t="shared" si="44"/>
        <v>Medium</v>
      </c>
      <c r="P937" t="str">
        <f>_xlfn.XLOOKUP(Orders!C937,Customers!$A$2:$A$1001,Customers!$I$2:$I$1001)</f>
        <v>Yes</v>
      </c>
    </row>
    <row r="938" spans="1:16" x14ac:dyDescent="0.3">
      <c r="A938" t="s">
        <v>1811</v>
      </c>
      <c r="B938" s="11">
        <v>44493</v>
      </c>
      <c r="C938" t="s">
        <v>1812</v>
      </c>
      <c r="D938" t="s">
        <v>128</v>
      </c>
      <c r="E938">
        <v>3</v>
      </c>
      <c r="F938" t="str">
        <f>_xlfn.XLOOKUP(C938,Customers!$A$2:$A$1001,Customers!$B$2:$B$1001)</f>
        <v>Devland Gritton</v>
      </c>
      <c r="G938" t="str">
        <f>_xlfn.XLOOKUP(C938,Customers!$A$2:$A$1001,Customers!$C$2:$C$1001)</f>
        <v>dgrittonq0@nydailynews.com</v>
      </c>
      <c r="H938" t="str">
        <f>_xlfn.XLOOKUP(C938,Customers!$A$2:$A$1001,Customers!$G$2:$G$1001)</f>
        <v>United States</v>
      </c>
      <c r="I938" t="str" cm="1">
        <f t="array" ref="I938:L938">_xlfn.XLOOKUP(D938,products!$A$2:$A$49,products!$B$2:$E$49)</f>
        <v>Lib</v>
      </c>
      <c r="J938" t="str">
        <v>D</v>
      </c>
      <c r="K938" s="8">
        <v>0.5</v>
      </c>
      <c r="L938" s="6">
        <v>7.77</v>
      </c>
      <c r="M938" s="7">
        <f t="shared" si="42"/>
        <v>23.31</v>
      </c>
      <c r="N938" t="str">
        <f t="shared" si="43"/>
        <v>Liberica</v>
      </c>
      <c r="O938" t="str">
        <f t="shared" si="44"/>
        <v>Dark</v>
      </c>
      <c r="P938" t="str">
        <f>_xlfn.XLOOKUP(Orders!C938,Customers!$A$2:$A$1001,Customers!$I$2:$I$1001)</f>
        <v>Yes</v>
      </c>
    </row>
    <row r="939" spans="1:16" x14ac:dyDescent="0.3">
      <c r="A939" t="s">
        <v>1811</v>
      </c>
      <c r="B939" s="11">
        <v>44493</v>
      </c>
      <c r="C939" t="s">
        <v>1812</v>
      </c>
      <c r="D939" t="s">
        <v>46</v>
      </c>
      <c r="E939">
        <v>4</v>
      </c>
      <c r="F939" t="str">
        <f>_xlfn.XLOOKUP(C939,Customers!$A$2:$A$1001,Customers!$B$2:$B$1001)</f>
        <v>Devland Gritton</v>
      </c>
      <c r="G939" t="str">
        <f>_xlfn.XLOOKUP(C939,Customers!$A$2:$A$1001,Customers!$C$2:$C$1001)</f>
        <v>dgrittonq0@nydailynews.com</v>
      </c>
      <c r="H939" t="str">
        <f>_xlfn.XLOOKUP(C939,Customers!$A$2:$A$1001,Customers!$G$2:$G$1001)</f>
        <v>United States</v>
      </c>
      <c r="I939" t="str" cm="1">
        <f t="array" ref="I939:L939">_xlfn.XLOOKUP(D939,products!$A$2:$A$49,products!$B$2:$E$49)</f>
        <v>Rob</v>
      </c>
      <c r="J939" t="str">
        <v>M</v>
      </c>
      <c r="K939" s="8">
        <v>2.5</v>
      </c>
      <c r="L939" s="6">
        <v>22.884999999999998</v>
      </c>
      <c r="M939" s="7">
        <f t="shared" si="42"/>
        <v>91.539999999999992</v>
      </c>
      <c r="N939" t="str">
        <f t="shared" si="43"/>
        <v>Robusta</v>
      </c>
      <c r="O939" t="str">
        <f t="shared" si="44"/>
        <v>Medium</v>
      </c>
      <c r="P939" t="str">
        <f>_xlfn.XLOOKUP(Orders!C939,Customers!$A$2:$A$1001,Customers!$I$2:$I$1001)</f>
        <v>Yes</v>
      </c>
    </row>
    <row r="940" spans="1:16" x14ac:dyDescent="0.3">
      <c r="A940" t="s">
        <v>1813</v>
      </c>
      <c r="B940" s="11">
        <v>43829</v>
      </c>
      <c r="C940" t="s">
        <v>1814</v>
      </c>
      <c r="D940" t="s">
        <v>142</v>
      </c>
      <c r="E940">
        <v>5</v>
      </c>
      <c r="F940" t="str">
        <f>_xlfn.XLOOKUP(C940,Customers!$A$2:$A$1001,Customers!$B$2:$B$1001)</f>
        <v>Dell Gut</v>
      </c>
      <c r="G940" t="str">
        <f>_xlfn.XLOOKUP(C940,Customers!$A$2:$A$1001,Customers!$C$2:$C$1001)</f>
        <v>dgutq2@umich.edu</v>
      </c>
      <c r="H940" t="str">
        <f>_xlfn.XLOOKUP(C940,Customers!$A$2:$A$1001,Customers!$G$2:$G$1001)</f>
        <v>United States</v>
      </c>
      <c r="I940" t="str" cm="1">
        <f t="array" ref="I940:L940">_xlfn.XLOOKUP(D940,products!$A$2:$A$49,products!$B$2:$E$49)</f>
        <v>Exc</v>
      </c>
      <c r="J940" t="str">
        <v>L</v>
      </c>
      <c r="K940" s="8">
        <v>1</v>
      </c>
      <c r="L940" s="6">
        <v>14.85</v>
      </c>
      <c r="M940" s="7">
        <f t="shared" si="42"/>
        <v>74.25</v>
      </c>
      <c r="N940" t="str">
        <f t="shared" si="43"/>
        <v>Excelsa</v>
      </c>
      <c r="O940" t="str">
        <f t="shared" si="44"/>
        <v>Lite</v>
      </c>
      <c r="P940" t="str">
        <f>_xlfn.XLOOKUP(Orders!C940,Customers!$A$2:$A$1001,Customers!$I$2:$I$1001)</f>
        <v>Yes</v>
      </c>
    </row>
    <row r="941" spans="1:16" x14ac:dyDescent="0.3">
      <c r="A941" t="s">
        <v>1815</v>
      </c>
      <c r="B941" s="11">
        <v>44229</v>
      </c>
      <c r="C941" t="s">
        <v>1816</v>
      </c>
      <c r="D941" t="s">
        <v>24</v>
      </c>
      <c r="E941">
        <v>6</v>
      </c>
      <c r="F941" t="str">
        <f>_xlfn.XLOOKUP(C941,Customers!$A$2:$A$1001,Customers!$B$2:$B$1001)</f>
        <v>Willy Pummery</v>
      </c>
      <c r="G941" t="str">
        <f>_xlfn.XLOOKUP(C941,Customers!$A$2:$A$1001,Customers!$C$2:$C$1001)</f>
        <v>wpummeryq3@topsy.com</v>
      </c>
      <c r="H941" t="str">
        <f>_xlfn.XLOOKUP(C941,Customers!$A$2:$A$1001,Customers!$G$2:$G$1001)</f>
        <v>United States</v>
      </c>
      <c r="I941" t="str" cm="1">
        <f t="array" ref="I941:L941">_xlfn.XLOOKUP(D941,products!$A$2:$A$49,products!$B$2:$E$49)</f>
        <v>Lib</v>
      </c>
      <c r="J941" t="str">
        <v>L</v>
      </c>
      <c r="K941" s="8">
        <v>0.2</v>
      </c>
      <c r="L941" s="6">
        <v>4.7549999999999999</v>
      </c>
      <c r="M941" s="7">
        <f t="shared" si="42"/>
        <v>28.53</v>
      </c>
      <c r="N941" t="str">
        <f t="shared" si="43"/>
        <v>Liberica</v>
      </c>
      <c r="O941" t="str">
        <f t="shared" si="44"/>
        <v>Lite</v>
      </c>
      <c r="P941" t="str">
        <f>_xlfn.XLOOKUP(Orders!C941,Customers!$A$2:$A$1001,Customers!$I$2:$I$1001)</f>
        <v>No</v>
      </c>
    </row>
    <row r="942" spans="1:16" x14ac:dyDescent="0.3">
      <c r="A942" t="s">
        <v>1817</v>
      </c>
      <c r="B942" s="11">
        <v>44332</v>
      </c>
      <c r="C942" t="s">
        <v>1818</v>
      </c>
      <c r="D942" t="s">
        <v>162</v>
      </c>
      <c r="E942">
        <v>2</v>
      </c>
      <c r="F942" t="str">
        <f>_xlfn.XLOOKUP(C942,Customers!$A$2:$A$1001,Customers!$B$2:$B$1001)</f>
        <v>Geoffrey Siuda</v>
      </c>
      <c r="G942" t="str">
        <f>_xlfn.XLOOKUP(C942,Customers!$A$2:$A$1001,Customers!$C$2:$C$1001)</f>
        <v>gsiudaq4@nytimes.com</v>
      </c>
      <c r="H942" t="str">
        <f>_xlfn.XLOOKUP(C942,Customers!$A$2:$A$1001,Customers!$G$2:$G$1001)</f>
        <v>United States</v>
      </c>
      <c r="I942" t="str" cm="1">
        <f t="array" ref="I942:L942">_xlfn.XLOOKUP(D942,products!$A$2:$A$49,products!$B$2:$E$49)</f>
        <v>Rob</v>
      </c>
      <c r="J942" t="str">
        <v>L</v>
      </c>
      <c r="K942" s="8">
        <v>0.5</v>
      </c>
      <c r="L942" s="6">
        <v>7.169999999999999</v>
      </c>
      <c r="M942" s="7">
        <f t="shared" si="42"/>
        <v>14.339999999999998</v>
      </c>
      <c r="N942" t="str">
        <f t="shared" si="43"/>
        <v>Robusta</v>
      </c>
      <c r="O942" t="str">
        <f t="shared" si="44"/>
        <v>Lite</v>
      </c>
      <c r="P942" t="str">
        <f>_xlfn.XLOOKUP(Orders!C942,Customers!$A$2:$A$1001,Customers!$I$2:$I$1001)</f>
        <v>Yes</v>
      </c>
    </row>
    <row r="943" spans="1:16" x14ac:dyDescent="0.3">
      <c r="A943" t="s">
        <v>1819</v>
      </c>
      <c r="B943" s="11">
        <v>44674</v>
      </c>
      <c r="C943" t="s">
        <v>1820</v>
      </c>
      <c r="D943" t="s">
        <v>197</v>
      </c>
      <c r="E943">
        <v>2</v>
      </c>
      <c r="F943" t="str">
        <f>_xlfn.XLOOKUP(C943,Customers!$A$2:$A$1001,Customers!$B$2:$B$1001)</f>
        <v>Henderson Crowne</v>
      </c>
      <c r="G943" t="str">
        <f>_xlfn.XLOOKUP(C943,Customers!$A$2:$A$1001,Customers!$C$2:$C$1001)</f>
        <v>hcrowneq5@wufoo.com</v>
      </c>
      <c r="H943" t="str">
        <f>_xlfn.XLOOKUP(C943,Customers!$A$2:$A$1001,Customers!$G$2:$G$1001)</f>
        <v>Ireland</v>
      </c>
      <c r="I943" t="str" cm="1">
        <f t="array" ref="I943:L943">_xlfn.XLOOKUP(D943,products!$A$2:$A$49,products!$B$2:$E$49)</f>
        <v>Ara</v>
      </c>
      <c r="J943" t="str">
        <v>L</v>
      </c>
      <c r="K943" s="8">
        <v>0.5</v>
      </c>
      <c r="L943" s="6">
        <v>7.77</v>
      </c>
      <c r="M943" s="7">
        <f t="shared" si="42"/>
        <v>15.54</v>
      </c>
      <c r="N943" t="str">
        <f t="shared" si="43"/>
        <v>Arasbica</v>
      </c>
      <c r="O943" t="str">
        <f t="shared" si="44"/>
        <v>Lite</v>
      </c>
      <c r="P943" t="str">
        <f>_xlfn.XLOOKUP(Orders!C943,Customers!$A$2:$A$1001,Customers!$I$2:$I$1001)</f>
        <v>Yes</v>
      </c>
    </row>
    <row r="944" spans="1:16" x14ac:dyDescent="0.3">
      <c r="A944" t="s">
        <v>1821</v>
      </c>
      <c r="B944" s="11">
        <v>44464</v>
      </c>
      <c r="C944" t="s">
        <v>1822</v>
      </c>
      <c r="D944" t="s">
        <v>194</v>
      </c>
      <c r="E944">
        <v>3</v>
      </c>
      <c r="F944" t="str">
        <f>_xlfn.XLOOKUP(C944,Customers!$A$2:$A$1001,Customers!$B$2:$B$1001)</f>
        <v>Vernor Pawsey</v>
      </c>
      <c r="G944" t="str">
        <f>_xlfn.XLOOKUP(C944,Customers!$A$2:$A$1001,Customers!$C$2:$C$1001)</f>
        <v>vpawseyq6@tiny.cc</v>
      </c>
      <c r="H944" t="str">
        <f>_xlfn.XLOOKUP(C944,Customers!$A$2:$A$1001,Customers!$G$2:$G$1001)</f>
        <v>United States</v>
      </c>
      <c r="I944" t="str" cm="1">
        <f t="array" ref="I944:L944">_xlfn.XLOOKUP(D944,products!$A$2:$A$49,products!$B$2:$E$49)</f>
        <v>Rob</v>
      </c>
      <c r="J944" t="str">
        <v>L</v>
      </c>
      <c r="K944" s="8">
        <v>1</v>
      </c>
      <c r="L944" s="6">
        <v>11.95</v>
      </c>
      <c r="M944" s="7">
        <f t="shared" si="42"/>
        <v>35.849999999999994</v>
      </c>
      <c r="N944" t="str">
        <f t="shared" si="43"/>
        <v>Robusta</v>
      </c>
      <c r="O944" t="str">
        <f t="shared" si="44"/>
        <v>Lite</v>
      </c>
      <c r="P944" t="str">
        <f>_xlfn.XLOOKUP(Orders!C944,Customers!$A$2:$A$1001,Customers!$I$2:$I$1001)</f>
        <v>No</v>
      </c>
    </row>
    <row r="945" spans="1:16" x14ac:dyDescent="0.3">
      <c r="A945" t="s">
        <v>1823</v>
      </c>
      <c r="B945" s="11">
        <v>44719</v>
      </c>
      <c r="C945" t="s">
        <v>1824</v>
      </c>
      <c r="D945" t="s">
        <v>197</v>
      </c>
      <c r="E945">
        <v>6</v>
      </c>
      <c r="F945" t="str">
        <f>_xlfn.XLOOKUP(C945,Customers!$A$2:$A$1001,Customers!$B$2:$B$1001)</f>
        <v>Augustin Waterhouse</v>
      </c>
      <c r="G945" t="str">
        <f>_xlfn.XLOOKUP(C945,Customers!$A$2:$A$1001,Customers!$C$2:$C$1001)</f>
        <v>awaterhouseq7@istockphoto.com</v>
      </c>
      <c r="H945" t="str">
        <f>_xlfn.XLOOKUP(C945,Customers!$A$2:$A$1001,Customers!$G$2:$G$1001)</f>
        <v>United States</v>
      </c>
      <c r="I945" t="str" cm="1">
        <f t="array" ref="I945:L945">_xlfn.XLOOKUP(D945,products!$A$2:$A$49,products!$B$2:$E$49)</f>
        <v>Ara</v>
      </c>
      <c r="J945" t="str">
        <v>L</v>
      </c>
      <c r="K945" s="8">
        <v>0.5</v>
      </c>
      <c r="L945" s="6">
        <v>7.77</v>
      </c>
      <c r="M945" s="7">
        <f t="shared" si="42"/>
        <v>46.62</v>
      </c>
      <c r="N945" t="str">
        <f t="shared" si="43"/>
        <v>Arasbica</v>
      </c>
      <c r="O945" t="str">
        <f t="shared" si="44"/>
        <v>Lite</v>
      </c>
      <c r="P945" t="str">
        <f>_xlfn.XLOOKUP(Orders!C945,Customers!$A$2:$A$1001,Customers!$I$2:$I$1001)</f>
        <v>No</v>
      </c>
    </row>
    <row r="946" spans="1:16" x14ac:dyDescent="0.3">
      <c r="A946" t="s">
        <v>1825</v>
      </c>
      <c r="B946" s="11">
        <v>44054</v>
      </c>
      <c r="C946" t="s">
        <v>1826</v>
      </c>
      <c r="D946" t="s">
        <v>162</v>
      </c>
      <c r="E946">
        <v>5</v>
      </c>
      <c r="F946" t="str">
        <f>_xlfn.XLOOKUP(C946,Customers!$A$2:$A$1001,Customers!$B$2:$B$1001)</f>
        <v>Fanchon Haughian</v>
      </c>
      <c r="G946" t="str">
        <f>_xlfn.XLOOKUP(C946,Customers!$A$2:$A$1001,Customers!$C$2:$C$1001)</f>
        <v>fhaughianq8@1688.com</v>
      </c>
      <c r="H946" t="str">
        <f>_xlfn.XLOOKUP(C946,Customers!$A$2:$A$1001,Customers!$G$2:$G$1001)</f>
        <v>United States</v>
      </c>
      <c r="I946" t="str" cm="1">
        <f t="array" ref="I946:L946">_xlfn.XLOOKUP(D946,products!$A$2:$A$49,products!$B$2:$E$49)</f>
        <v>Rob</v>
      </c>
      <c r="J946" t="str">
        <v>L</v>
      </c>
      <c r="K946" s="8">
        <v>0.5</v>
      </c>
      <c r="L946" s="6">
        <v>7.169999999999999</v>
      </c>
      <c r="M946" s="7">
        <f t="shared" si="42"/>
        <v>35.849999999999994</v>
      </c>
      <c r="N946" t="str">
        <f t="shared" si="43"/>
        <v>Robusta</v>
      </c>
      <c r="O946" t="str">
        <f t="shared" si="44"/>
        <v>Lite</v>
      </c>
      <c r="P946" t="str">
        <f>_xlfn.XLOOKUP(Orders!C946,Customers!$A$2:$A$1001,Customers!$I$2:$I$1001)</f>
        <v>No</v>
      </c>
    </row>
    <row r="947" spans="1:16" x14ac:dyDescent="0.3">
      <c r="A947" t="s">
        <v>1827</v>
      </c>
      <c r="B947" s="11">
        <v>43524</v>
      </c>
      <c r="C947" t="s">
        <v>1828</v>
      </c>
      <c r="D947" t="s">
        <v>114</v>
      </c>
      <c r="E947">
        <v>4</v>
      </c>
      <c r="F947" t="str">
        <f>_xlfn.XLOOKUP(C947,Customers!$A$2:$A$1001,Customers!$B$2:$B$1001)</f>
        <v>Jaimie Hatz</v>
      </c>
      <c r="G947">
        <f>_xlfn.XLOOKUP(C947,Customers!$A$2:$A$1001,Customers!$C$2:$C$1001)</f>
        <v>0</v>
      </c>
      <c r="H947" t="str">
        <f>_xlfn.XLOOKUP(C947,Customers!$A$2:$A$1001,Customers!$G$2:$G$1001)</f>
        <v>United States</v>
      </c>
      <c r="I947" t="str" cm="1">
        <f t="array" ref="I947:L947">_xlfn.XLOOKUP(D947,products!$A$2:$A$49,products!$B$2:$E$49)</f>
        <v>Lib</v>
      </c>
      <c r="J947" t="str">
        <v>D</v>
      </c>
      <c r="K947" s="8">
        <v>2.5</v>
      </c>
      <c r="L947" s="6">
        <v>29.784999999999997</v>
      </c>
      <c r="M947" s="7">
        <f t="shared" si="42"/>
        <v>119.13999999999999</v>
      </c>
      <c r="N947" t="str">
        <f t="shared" si="43"/>
        <v>Liberica</v>
      </c>
      <c r="O947" t="str">
        <f t="shared" si="44"/>
        <v>Dark</v>
      </c>
      <c r="P947" t="str">
        <f>_xlfn.XLOOKUP(Orders!C947,Customers!$A$2:$A$1001,Customers!$I$2:$I$1001)</f>
        <v>No</v>
      </c>
    </row>
    <row r="948" spans="1:16" x14ac:dyDescent="0.3">
      <c r="A948" t="s">
        <v>1829</v>
      </c>
      <c r="B948" s="11">
        <v>43719</v>
      </c>
      <c r="C948" t="s">
        <v>1830</v>
      </c>
      <c r="D948" t="s">
        <v>128</v>
      </c>
      <c r="E948">
        <v>3</v>
      </c>
      <c r="F948" t="str">
        <f>_xlfn.XLOOKUP(C948,Customers!$A$2:$A$1001,Customers!$B$2:$B$1001)</f>
        <v>Edeline Edney</v>
      </c>
      <c r="G948">
        <f>_xlfn.XLOOKUP(C948,Customers!$A$2:$A$1001,Customers!$C$2:$C$1001)</f>
        <v>0</v>
      </c>
      <c r="H948" t="str">
        <f>_xlfn.XLOOKUP(C948,Customers!$A$2:$A$1001,Customers!$G$2:$G$1001)</f>
        <v>United States</v>
      </c>
      <c r="I948" t="str" cm="1">
        <f t="array" ref="I948:L948">_xlfn.XLOOKUP(D948,products!$A$2:$A$49,products!$B$2:$E$49)</f>
        <v>Lib</v>
      </c>
      <c r="J948" t="str">
        <v>D</v>
      </c>
      <c r="K948" s="8">
        <v>0.5</v>
      </c>
      <c r="L948" s="6">
        <v>7.77</v>
      </c>
      <c r="M948" s="7">
        <f t="shared" si="42"/>
        <v>23.31</v>
      </c>
      <c r="N948" t="str">
        <f t="shared" si="43"/>
        <v>Liberica</v>
      </c>
      <c r="O948" t="str">
        <f t="shared" si="44"/>
        <v>Dark</v>
      </c>
      <c r="P948" t="str">
        <f>_xlfn.XLOOKUP(Orders!C948,Customers!$A$2:$A$1001,Customers!$I$2:$I$1001)</f>
        <v>No</v>
      </c>
    </row>
    <row r="949" spans="1:16" x14ac:dyDescent="0.3">
      <c r="A949" t="s">
        <v>1831</v>
      </c>
      <c r="B949" s="11">
        <v>44294</v>
      </c>
      <c r="C949" t="s">
        <v>1832</v>
      </c>
      <c r="D949" t="s">
        <v>66</v>
      </c>
      <c r="E949">
        <v>1</v>
      </c>
      <c r="F949" t="str">
        <f>_xlfn.XLOOKUP(C949,Customers!$A$2:$A$1001,Customers!$B$2:$B$1001)</f>
        <v>Rickie Faltin</v>
      </c>
      <c r="G949" t="str">
        <f>_xlfn.XLOOKUP(C949,Customers!$A$2:$A$1001,Customers!$C$2:$C$1001)</f>
        <v>rfaltinqb@topsy.com</v>
      </c>
      <c r="H949" t="str">
        <f>_xlfn.XLOOKUP(C949,Customers!$A$2:$A$1001,Customers!$G$2:$G$1001)</f>
        <v>Ireland</v>
      </c>
      <c r="I949" t="str" cm="1">
        <f t="array" ref="I949:L949">_xlfn.XLOOKUP(D949,products!$A$2:$A$49,products!$B$2:$E$49)</f>
        <v>Ara</v>
      </c>
      <c r="J949" t="str">
        <v>M</v>
      </c>
      <c r="K949" s="8">
        <v>1</v>
      </c>
      <c r="L949" s="6">
        <v>11.25</v>
      </c>
      <c r="M949" s="7">
        <f t="shared" si="42"/>
        <v>11.25</v>
      </c>
      <c r="N949" t="str">
        <f t="shared" si="43"/>
        <v>Arasbica</v>
      </c>
      <c r="O949" t="str">
        <f t="shared" si="44"/>
        <v>Medium</v>
      </c>
      <c r="P949" t="str">
        <f>_xlfn.XLOOKUP(Orders!C949,Customers!$A$2:$A$1001,Customers!$I$2:$I$1001)</f>
        <v>No</v>
      </c>
    </row>
    <row r="950" spans="1:16" x14ac:dyDescent="0.3">
      <c r="A950" t="s">
        <v>1833</v>
      </c>
      <c r="B950" s="11">
        <v>44445</v>
      </c>
      <c r="C950" t="s">
        <v>1834</v>
      </c>
      <c r="D950" t="s">
        <v>535</v>
      </c>
      <c r="E950">
        <v>3</v>
      </c>
      <c r="F950" t="str">
        <f>_xlfn.XLOOKUP(C950,Customers!$A$2:$A$1001,Customers!$B$2:$B$1001)</f>
        <v>Gnni Cheeke</v>
      </c>
      <c r="G950" t="str">
        <f>_xlfn.XLOOKUP(C950,Customers!$A$2:$A$1001,Customers!$C$2:$C$1001)</f>
        <v>gcheekeqc@sitemeter.com</v>
      </c>
      <c r="H950" t="str">
        <f>_xlfn.XLOOKUP(C950,Customers!$A$2:$A$1001,Customers!$G$2:$G$1001)</f>
        <v>United Kingdom</v>
      </c>
      <c r="I950" t="str" cm="1">
        <f t="array" ref="I950:L950">_xlfn.XLOOKUP(D950,products!$A$2:$A$49,products!$B$2:$E$49)</f>
        <v>Exc</v>
      </c>
      <c r="J950" t="str">
        <v>D</v>
      </c>
      <c r="K950" s="8">
        <v>2.5</v>
      </c>
      <c r="L950" s="6">
        <v>27.945</v>
      </c>
      <c r="M950" s="7">
        <f t="shared" si="42"/>
        <v>83.835000000000008</v>
      </c>
      <c r="N950" t="str">
        <f t="shared" si="43"/>
        <v>Excelsa</v>
      </c>
      <c r="O950" t="str">
        <f t="shared" si="44"/>
        <v>Dark</v>
      </c>
      <c r="P950" t="str">
        <f>_xlfn.XLOOKUP(Orders!C950,Customers!$A$2:$A$1001,Customers!$I$2:$I$1001)</f>
        <v>Yes</v>
      </c>
    </row>
    <row r="951" spans="1:16" x14ac:dyDescent="0.3">
      <c r="A951" t="s">
        <v>1835</v>
      </c>
      <c r="B951" s="11">
        <v>44449</v>
      </c>
      <c r="C951" t="s">
        <v>1836</v>
      </c>
      <c r="D951" t="s">
        <v>15</v>
      </c>
      <c r="E951">
        <v>4</v>
      </c>
      <c r="F951" t="str">
        <f>_xlfn.XLOOKUP(C951,Customers!$A$2:$A$1001,Customers!$B$2:$B$1001)</f>
        <v>Gwenni Ratt</v>
      </c>
      <c r="G951" t="str">
        <f>_xlfn.XLOOKUP(C951,Customers!$A$2:$A$1001,Customers!$C$2:$C$1001)</f>
        <v>grattqd@phpbb.com</v>
      </c>
      <c r="H951" t="str">
        <f>_xlfn.XLOOKUP(C951,Customers!$A$2:$A$1001,Customers!$G$2:$G$1001)</f>
        <v>Ireland</v>
      </c>
      <c r="I951" t="str" cm="1">
        <f t="array" ref="I951:L951">_xlfn.XLOOKUP(D951,products!$A$2:$A$49,products!$B$2:$E$49)</f>
        <v>Rob</v>
      </c>
      <c r="J951" t="str">
        <v>L</v>
      </c>
      <c r="K951" s="8">
        <v>2.5</v>
      </c>
      <c r="L951" s="6">
        <v>27.484999999999996</v>
      </c>
      <c r="M951" s="7">
        <f t="shared" si="42"/>
        <v>109.93999999999998</v>
      </c>
      <c r="N951" t="str">
        <f t="shared" si="43"/>
        <v>Robusta</v>
      </c>
      <c r="O951" t="str">
        <f t="shared" si="44"/>
        <v>Lite</v>
      </c>
      <c r="P951" t="str">
        <f>_xlfn.XLOOKUP(Orders!C951,Customers!$A$2:$A$1001,Customers!$I$2:$I$1001)</f>
        <v>No</v>
      </c>
    </row>
    <row r="952" spans="1:16" x14ac:dyDescent="0.3">
      <c r="A952" t="s">
        <v>1837</v>
      </c>
      <c r="B952" s="11">
        <v>44703</v>
      </c>
      <c r="C952" t="s">
        <v>1838</v>
      </c>
      <c r="D952" t="s">
        <v>187</v>
      </c>
      <c r="E952">
        <v>4</v>
      </c>
      <c r="F952" t="str">
        <f>_xlfn.XLOOKUP(C952,Customers!$A$2:$A$1001,Customers!$B$2:$B$1001)</f>
        <v>Johnath Fairebrother</v>
      </c>
      <c r="G952">
        <f>_xlfn.XLOOKUP(C952,Customers!$A$2:$A$1001,Customers!$C$2:$C$1001)</f>
        <v>0</v>
      </c>
      <c r="H952" t="str">
        <f>_xlfn.XLOOKUP(C952,Customers!$A$2:$A$1001,Customers!$G$2:$G$1001)</f>
        <v>United States</v>
      </c>
      <c r="I952" t="str" cm="1">
        <f t="array" ref="I952:L952">_xlfn.XLOOKUP(D952,products!$A$2:$A$49,products!$B$2:$E$49)</f>
        <v>Rob</v>
      </c>
      <c r="J952" t="str">
        <v>L</v>
      </c>
      <c r="K952" s="8">
        <v>0.2</v>
      </c>
      <c r="L952" s="6">
        <v>3.5849999999999995</v>
      </c>
      <c r="M952" s="7">
        <f t="shared" si="42"/>
        <v>14.339999999999998</v>
      </c>
      <c r="N952" t="str">
        <f t="shared" si="43"/>
        <v>Robusta</v>
      </c>
      <c r="O952" t="str">
        <f t="shared" si="44"/>
        <v>Lite</v>
      </c>
      <c r="P952" t="str">
        <f>_xlfn.XLOOKUP(Orders!C952,Customers!$A$2:$A$1001,Customers!$I$2:$I$1001)</f>
        <v>Yes</v>
      </c>
    </row>
    <row r="953" spans="1:16" x14ac:dyDescent="0.3">
      <c r="A953" t="s">
        <v>1839</v>
      </c>
      <c r="B953" s="11">
        <v>44092</v>
      </c>
      <c r="C953" t="s">
        <v>1840</v>
      </c>
      <c r="D953" t="s">
        <v>187</v>
      </c>
      <c r="E953">
        <v>6</v>
      </c>
      <c r="F953" t="str">
        <f>_xlfn.XLOOKUP(C953,Customers!$A$2:$A$1001,Customers!$B$2:$B$1001)</f>
        <v>Ingamar Eberlein</v>
      </c>
      <c r="G953" t="str">
        <f>_xlfn.XLOOKUP(C953,Customers!$A$2:$A$1001,Customers!$C$2:$C$1001)</f>
        <v>ieberleinqf@hc360.com</v>
      </c>
      <c r="H953" t="str">
        <f>_xlfn.XLOOKUP(C953,Customers!$A$2:$A$1001,Customers!$G$2:$G$1001)</f>
        <v>United States</v>
      </c>
      <c r="I953" t="str" cm="1">
        <f t="array" ref="I953:L953">_xlfn.XLOOKUP(D953,products!$A$2:$A$49,products!$B$2:$E$49)</f>
        <v>Rob</v>
      </c>
      <c r="J953" t="str">
        <v>L</v>
      </c>
      <c r="K953" s="8">
        <v>0.2</v>
      </c>
      <c r="L953" s="6">
        <v>3.5849999999999995</v>
      </c>
      <c r="M953" s="7">
        <f t="shared" si="42"/>
        <v>21.509999999999998</v>
      </c>
      <c r="N953" t="str">
        <f t="shared" si="43"/>
        <v>Robusta</v>
      </c>
      <c r="O953" t="str">
        <f t="shared" si="44"/>
        <v>Lite</v>
      </c>
      <c r="P953" t="str">
        <f>_xlfn.XLOOKUP(Orders!C953,Customers!$A$2:$A$1001,Customers!$I$2:$I$1001)</f>
        <v>No</v>
      </c>
    </row>
    <row r="954" spans="1:16" x14ac:dyDescent="0.3">
      <c r="A954" t="s">
        <v>1841</v>
      </c>
      <c r="B954" s="11">
        <v>44439</v>
      </c>
      <c r="C954" t="s">
        <v>1842</v>
      </c>
      <c r="D954" t="s">
        <v>66</v>
      </c>
      <c r="E954">
        <v>2</v>
      </c>
      <c r="F954" t="str">
        <f>_xlfn.XLOOKUP(C954,Customers!$A$2:$A$1001,Customers!$B$2:$B$1001)</f>
        <v>Jilly Dreng</v>
      </c>
      <c r="G954" t="str">
        <f>_xlfn.XLOOKUP(C954,Customers!$A$2:$A$1001,Customers!$C$2:$C$1001)</f>
        <v>jdrengqg@uiuc.edu</v>
      </c>
      <c r="H954" t="str">
        <f>_xlfn.XLOOKUP(C954,Customers!$A$2:$A$1001,Customers!$G$2:$G$1001)</f>
        <v>Ireland</v>
      </c>
      <c r="I954" t="str" cm="1">
        <f t="array" ref="I954:L954">_xlfn.XLOOKUP(D954,products!$A$2:$A$49,products!$B$2:$E$49)</f>
        <v>Ara</v>
      </c>
      <c r="J954" t="str">
        <v>M</v>
      </c>
      <c r="K954" s="8">
        <v>1</v>
      </c>
      <c r="L954" s="6">
        <v>11.25</v>
      </c>
      <c r="M954" s="7">
        <f t="shared" si="42"/>
        <v>22.5</v>
      </c>
      <c r="N954" t="str">
        <f t="shared" si="43"/>
        <v>Arasbica</v>
      </c>
      <c r="O954" t="str">
        <f t="shared" si="44"/>
        <v>Medium</v>
      </c>
      <c r="P954" t="str">
        <f>_xlfn.XLOOKUP(Orders!C954,Customers!$A$2:$A$1001,Customers!$I$2:$I$1001)</f>
        <v>Yes</v>
      </c>
    </row>
    <row r="955" spans="1:16" x14ac:dyDescent="0.3">
      <c r="A955" t="s">
        <v>1843</v>
      </c>
      <c r="B955" s="11">
        <v>44582</v>
      </c>
      <c r="C955" t="s">
        <v>1806</v>
      </c>
      <c r="D955" t="s">
        <v>120</v>
      </c>
      <c r="E955">
        <v>1</v>
      </c>
      <c r="F955" t="str">
        <f>_xlfn.XLOOKUP(C955,Customers!$A$2:$A$1001,Customers!$B$2:$B$1001)</f>
        <v>Brenn Dundredge</v>
      </c>
      <c r="G955">
        <f>_xlfn.XLOOKUP(C955,Customers!$A$2:$A$1001,Customers!$C$2:$C$1001)</f>
        <v>0</v>
      </c>
      <c r="H955" t="str">
        <f>_xlfn.XLOOKUP(C955,Customers!$A$2:$A$1001,Customers!$G$2:$G$1001)</f>
        <v>United States</v>
      </c>
      <c r="I955" t="str" cm="1">
        <f t="array" ref="I955:L955">_xlfn.XLOOKUP(D955,products!$A$2:$A$49,products!$B$2:$E$49)</f>
        <v>Ara</v>
      </c>
      <c r="J955" t="str">
        <v>L</v>
      </c>
      <c r="K955" s="8">
        <v>0.2</v>
      </c>
      <c r="L955" s="6">
        <v>3.8849999999999998</v>
      </c>
      <c r="M955" s="7">
        <f t="shared" si="42"/>
        <v>3.8849999999999998</v>
      </c>
      <c r="N955" t="str">
        <f t="shared" si="43"/>
        <v>Arasbica</v>
      </c>
      <c r="O955" t="str">
        <f t="shared" si="44"/>
        <v>Lite</v>
      </c>
      <c r="P955" t="str">
        <f>_xlfn.XLOOKUP(Orders!C955,Customers!$A$2:$A$1001,Customers!$I$2:$I$1001)</f>
        <v>Yes</v>
      </c>
    </row>
    <row r="956" spans="1:16" x14ac:dyDescent="0.3">
      <c r="A956" t="s">
        <v>1844</v>
      </c>
      <c r="B956" s="11">
        <v>44722</v>
      </c>
      <c r="C956" t="s">
        <v>1806</v>
      </c>
      <c r="D956" t="s">
        <v>535</v>
      </c>
      <c r="E956">
        <v>1</v>
      </c>
      <c r="F956" t="str">
        <f>_xlfn.XLOOKUP(C956,Customers!$A$2:$A$1001,Customers!$B$2:$B$1001)</f>
        <v>Brenn Dundredge</v>
      </c>
      <c r="G956">
        <f>_xlfn.XLOOKUP(C956,Customers!$A$2:$A$1001,Customers!$C$2:$C$1001)</f>
        <v>0</v>
      </c>
      <c r="H956" t="str">
        <f>_xlfn.XLOOKUP(C956,Customers!$A$2:$A$1001,Customers!$G$2:$G$1001)</f>
        <v>United States</v>
      </c>
      <c r="I956" t="str" cm="1">
        <f t="array" ref="I956:L956">_xlfn.XLOOKUP(D956,products!$A$2:$A$49,products!$B$2:$E$49)</f>
        <v>Exc</v>
      </c>
      <c r="J956" t="str">
        <v>D</v>
      </c>
      <c r="K956" s="8">
        <v>2.5</v>
      </c>
      <c r="L956" s="6">
        <v>27.945</v>
      </c>
      <c r="M956" s="7">
        <f t="shared" si="42"/>
        <v>27.945</v>
      </c>
      <c r="N956" t="str">
        <f t="shared" si="43"/>
        <v>Excelsa</v>
      </c>
      <c r="O956" t="str">
        <f t="shared" si="44"/>
        <v>Dark</v>
      </c>
      <c r="P956" t="str">
        <f>_xlfn.XLOOKUP(Orders!C956,Customers!$A$2:$A$1001,Customers!$I$2:$I$1001)</f>
        <v>Yes</v>
      </c>
    </row>
    <row r="957" spans="1:16" x14ac:dyDescent="0.3">
      <c r="A957" t="s">
        <v>1845</v>
      </c>
      <c r="B957" s="11">
        <v>43582</v>
      </c>
      <c r="C957" t="s">
        <v>1806</v>
      </c>
      <c r="D957" t="s">
        <v>35</v>
      </c>
      <c r="E957">
        <v>5</v>
      </c>
      <c r="F957" t="str">
        <f>_xlfn.XLOOKUP(C957,Customers!$A$2:$A$1001,Customers!$B$2:$B$1001)</f>
        <v>Brenn Dundredge</v>
      </c>
      <c r="G957">
        <f>_xlfn.XLOOKUP(C957,Customers!$A$2:$A$1001,Customers!$C$2:$C$1001)</f>
        <v>0</v>
      </c>
      <c r="H957" t="str">
        <f>_xlfn.XLOOKUP(C957,Customers!$A$2:$A$1001,Customers!$G$2:$G$1001)</f>
        <v>United States</v>
      </c>
      <c r="I957" t="str" cm="1">
        <f t="array" ref="I957:L957">_xlfn.XLOOKUP(D957,products!$A$2:$A$49,products!$B$2:$E$49)</f>
        <v>Exc</v>
      </c>
      <c r="J957" t="str">
        <v>L</v>
      </c>
      <c r="K957" s="8">
        <v>2.5</v>
      </c>
      <c r="L957" s="6">
        <v>34.154999999999994</v>
      </c>
      <c r="M957" s="7">
        <f t="shared" si="42"/>
        <v>170.77499999999998</v>
      </c>
      <c r="N957" t="str">
        <f t="shared" si="43"/>
        <v>Excelsa</v>
      </c>
      <c r="O957" t="str">
        <f t="shared" si="44"/>
        <v>Lite</v>
      </c>
      <c r="P957" t="str">
        <f>_xlfn.XLOOKUP(Orders!C957,Customers!$A$2:$A$1001,Customers!$I$2:$I$1001)</f>
        <v>Yes</v>
      </c>
    </row>
    <row r="958" spans="1:16" x14ac:dyDescent="0.3">
      <c r="A958" t="s">
        <v>1845</v>
      </c>
      <c r="B958" s="11">
        <v>43582</v>
      </c>
      <c r="C958" t="s">
        <v>1806</v>
      </c>
      <c r="D958" t="s">
        <v>15</v>
      </c>
      <c r="E958">
        <v>2</v>
      </c>
      <c r="F958" t="str">
        <f>_xlfn.XLOOKUP(C958,Customers!$A$2:$A$1001,Customers!$B$2:$B$1001)</f>
        <v>Brenn Dundredge</v>
      </c>
      <c r="G958">
        <f>_xlfn.XLOOKUP(C958,Customers!$A$2:$A$1001,Customers!$C$2:$C$1001)</f>
        <v>0</v>
      </c>
      <c r="H958" t="str">
        <f>_xlfn.XLOOKUP(C958,Customers!$A$2:$A$1001,Customers!$G$2:$G$1001)</f>
        <v>United States</v>
      </c>
      <c r="I958" t="str" cm="1">
        <f t="array" ref="I958:L958">_xlfn.XLOOKUP(D958,products!$A$2:$A$49,products!$B$2:$E$49)</f>
        <v>Rob</v>
      </c>
      <c r="J958" t="str">
        <v>L</v>
      </c>
      <c r="K958" s="8">
        <v>2.5</v>
      </c>
      <c r="L958" s="6">
        <v>27.484999999999996</v>
      </c>
      <c r="M958" s="7">
        <f t="shared" si="42"/>
        <v>54.969999999999992</v>
      </c>
      <c r="N958" t="str">
        <f t="shared" si="43"/>
        <v>Robusta</v>
      </c>
      <c r="O958" t="str">
        <f t="shared" si="44"/>
        <v>Lite</v>
      </c>
      <c r="P958" t="str">
        <f>_xlfn.XLOOKUP(Orders!C958,Customers!$A$2:$A$1001,Customers!$I$2:$I$1001)</f>
        <v>Yes</v>
      </c>
    </row>
    <row r="959" spans="1:16" x14ac:dyDescent="0.3">
      <c r="A959" t="s">
        <v>1845</v>
      </c>
      <c r="B959" s="11">
        <v>43582</v>
      </c>
      <c r="C959" t="s">
        <v>1806</v>
      </c>
      <c r="D959" t="s">
        <v>142</v>
      </c>
      <c r="E959">
        <v>1</v>
      </c>
      <c r="F959" t="str">
        <f>_xlfn.XLOOKUP(C959,Customers!$A$2:$A$1001,Customers!$B$2:$B$1001)</f>
        <v>Brenn Dundredge</v>
      </c>
      <c r="G959">
        <f>_xlfn.XLOOKUP(C959,Customers!$A$2:$A$1001,Customers!$C$2:$C$1001)</f>
        <v>0</v>
      </c>
      <c r="H959" t="str">
        <f>_xlfn.XLOOKUP(C959,Customers!$A$2:$A$1001,Customers!$G$2:$G$1001)</f>
        <v>United States</v>
      </c>
      <c r="I959" t="str" cm="1">
        <f t="array" ref="I959:L959">_xlfn.XLOOKUP(D959,products!$A$2:$A$49,products!$B$2:$E$49)</f>
        <v>Exc</v>
      </c>
      <c r="J959" t="str">
        <v>L</v>
      </c>
      <c r="K959" s="8">
        <v>1</v>
      </c>
      <c r="L959" s="6">
        <v>14.85</v>
      </c>
      <c r="M959" s="7">
        <f t="shared" si="42"/>
        <v>14.85</v>
      </c>
      <c r="N959" t="str">
        <f t="shared" si="43"/>
        <v>Excelsa</v>
      </c>
      <c r="O959" t="str">
        <f t="shared" si="44"/>
        <v>Lite</v>
      </c>
      <c r="P959" t="str">
        <f>_xlfn.XLOOKUP(Orders!C959,Customers!$A$2:$A$1001,Customers!$I$2:$I$1001)</f>
        <v>Yes</v>
      </c>
    </row>
    <row r="960" spans="1:16" x14ac:dyDescent="0.3">
      <c r="A960" t="s">
        <v>1845</v>
      </c>
      <c r="B960" s="11">
        <v>43582</v>
      </c>
      <c r="C960" t="s">
        <v>1806</v>
      </c>
      <c r="D960" t="s">
        <v>120</v>
      </c>
      <c r="E960">
        <v>2</v>
      </c>
      <c r="F960" t="str">
        <f>_xlfn.XLOOKUP(C960,Customers!$A$2:$A$1001,Customers!$B$2:$B$1001)</f>
        <v>Brenn Dundredge</v>
      </c>
      <c r="G960">
        <f>_xlfn.XLOOKUP(C960,Customers!$A$2:$A$1001,Customers!$C$2:$C$1001)</f>
        <v>0</v>
      </c>
      <c r="H960" t="str">
        <f>_xlfn.XLOOKUP(C960,Customers!$A$2:$A$1001,Customers!$G$2:$G$1001)</f>
        <v>United States</v>
      </c>
      <c r="I960" t="str" cm="1">
        <f t="array" ref="I960:L960">_xlfn.XLOOKUP(D960,products!$A$2:$A$49,products!$B$2:$E$49)</f>
        <v>Ara</v>
      </c>
      <c r="J960" t="str">
        <v>L</v>
      </c>
      <c r="K960" s="8">
        <v>0.2</v>
      </c>
      <c r="L960" s="6">
        <v>3.8849999999999998</v>
      </c>
      <c r="M960" s="7">
        <f t="shared" si="42"/>
        <v>7.77</v>
      </c>
      <c r="N960" t="str">
        <f t="shared" si="43"/>
        <v>Arasbica</v>
      </c>
      <c r="O960" t="str">
        <f t="shared" si="44"/>
        <v>Lite</v>
      </c>
      <c r="P960" t="str">
        <f>_xlfn.XLOOKUP(Orders!C960,Customers!$A$2:$A$1001,Customers!$I$2:$I$1001)</f>
        <v>Yes</v>
      </c>
    </row>
    <row r="961" spans="1:16" x14ac:dyDescent="0.3">
      <c r="A961" t="s">
        <v>1846</v>
      </c>
      <c r="B961" s="11">
        <v>44598</v>
      </c>
      <c r="C961" t="s">
        <v>1847</v>
      </c>
      <c r="D961" t="s">
        <v>24</v>
      </c>
      <c r="E961">
        <v>5</v>
      </c>
      <c r="F961" t="str">
        <f>_xlfn.XLOOKUP(C961,Customers!$A$2:$A$1001,Customers!$B$2:$B$1001)</f>
        <v>Rhodie Strathern</v>
      </c>
      <c r="G961" t="str">
        <f>_xlfn.XLOOKUP(C961,Customers!$A$2:$A$1001,Customers!$C$2:$C$1001)</f>
        <v>rstrathernqn@devhub.com</v>
      </c>
      <c r="H961" t="str">
        <f>_xlfn.XLOOKUP(C961,Customers!$A$2:$A$1001,Customers!$G$2:$G$1001)</f>
        <v>United States</v>
      </c>
      <c r="I961" t="str" cm="1">
        <f t="array" ref="I961:L961">_xlfn.XLOOKUP(D961,products!$A$2:$A$49,products!$B$2:$E$49)</f>
        <v>Lib</v>
      </c>
      <c r="J961" t="str">
        <v>L</v>
      </c>
      <c r="K961" s="8">
        <v>0.2</v>
      </c>
      <c r="L961" s="6">
        <v>4.7549999999999999</v>
      </c>
      <c r="M961" s="7">
        <f t="shared" si="42"/>
        <v>23.774999999999999</v>
      </c>
      <c r="N961" t="str">
        <f t="shared" si="43"/>
        <v>Liberica</v>
      </c>
      <c r="O961" t="str">
        <f t="shared" si="44"/>
        <v>Lite</v>
      </c>
      <c r="P961" t="str">
        <f>_xlfn.XLOOKUP(Orders!C961,Customers!$A$2:$A$1001,Customers!$I$2:$I$1001)</f>
        <v>Yes</v>
      </c>
    </row>
    <row r="962" spans="1:16" x14ac:dyDescent="0.3">
      <c r="A962" t="s">
        <v>1848</v>
      </c>
      <c r="B962" s="11">
        <v>44591</v>
      </c>
      <c r="C962" t="s">
        <v>1849</v>
      </c>
      <c r="D962" t="s">
        <v>137</v>
      </c>
      <c r="E962">
        <v>5</v>
      </c>
      <c r="F962" t="str">
        <f>_xlfn.XLOOKUP(C962,Customers!$A$2:$A$1001,Customers!$B$2:$B$1001)</f>
        <v>Chad Miguel</v>
      </c>
      <c r="G962" t="str">
        <f>_xlfn.XLOOKUP(C962,Customers!$A$2:$A$1001,Customers!$C$2:$C$1001)</f>
        <v>cmiguelqo@exblog.jp</v>
      </c>
      <c r="H962" t="str">
        <f>_xlfn.XLOOKUP(C962,Customers!$A$2:$A$1001,Customers!$G$2:$G$1001)</f>
        <v>United States</v>
      </c>
      <c r="I962" t="str" cm="1">
        <f t="array" ref="I962:L962">_xlfn.XLOOKUP(D962,products!$A$2:$A$49,products!$B$2:$E$49)</f>
        <v>Lib</v>
      </c>
      <c r="J962" t="str">
        <v>L</v>
      </c>
      <c r="K962" s="8">
        <v>1</v>
      </c>
      <c r="L962" s="6">
        <v>15.85</v>
      </c>
      <c r="M962" s="7">
        <f t="shared" si="42"/>
        <v>79.25</v>
      </c>
      <c r="N962" t="str">
        <f t="shared" si="43"/>
        <v>Liberica</v>
      </c>
      <c r="O962" t="str">
        <f t="shared" si="44"/>
        <v>Lite</v>
      </c>
      <c r="P962" t="str">
        <f>_xlfn.XLOOKUP(Orders!C962,Customers!$A$2:$A$1001,Customers!$I$2:$I$1001)</f>
        <v>Yes</v>
      </c>
    </row>
    <row r="963" spans="1:16" x14ac:dyDescent="0.3">
      <c r="A963" t="s">
        <v>1850</v>
      </c>
      <c r="B963" s="11">
        <v>44158</v>
      </c>
      <c r="C963" t="s">
        <v>1851</v>
      </c>
      <c r="D963" t="s">
        <v>123</v>
      </c>
      <c r="E963">
        <v>2</v>
      </c>
      <c r="F963" t="str">
        <f>_xlfn.XLOOKUP(C963,Customers!$A$2:$A$1001,Customers!$B$2:$B$1001)</f>
        <v>Florinda Matusovsky</v>
      </c>
      <c r="G963">
        <f>_xlfn.XLOOKUP(C963,Customers!$A$2:$A$1001,Customers!$C$2:$C$1001)</f>
        <v>0</v>
      </c>
      <c r="H963" t="str">
        <f>_xlfn.XLOOKUP(C963,Customers!$A$2:$A$1001,Customers!$G$2:$G$1001)</f>
        <v>United States</v>
      </c>
      <c r="I963" t="str" cm="1">
        <f t="array" ref="I963:L963">_xlfn.XLOOKUP(D963,products!$A$2:$A$49,products!$B$2:$E$49)</f>
        <v>Ara</v>
      </c>
      <c r="J963" t="str">
        <v>D</v>
      </c>
      <c r="K963" s="8">
        <v>2.5</v>
      </c>
      <c r="L963" s="6">
        <v>22.884999999999998</v>
      </c>
      <c r="M963" s="7">
        <f t="shared" ref="M963:M1000" si="45">E963*L963</f>
        <v>45.769999999999996</v>
      </c>
      <c r="N963" t="str">
        <f t="shared" ref="N963:N1001" si="46">IF(I963="rob","Robusta",IF(I963="Exc","Excelsa",IF(I963="Ara","Arasbica",IF(I963="Lib","Liberica"))))</f>
        <v>Arasbica</v>
      </c>
      <c r="O963" t="str">
        <f t="shared" ref="O963:O999" si="47">IF(J963="M","Medium",IF(J963="L","Lite",IF(J963="D","Dark")))</f>
        <v>Dark</v>
      </c>
      <c r="P963" t="str">
        <f>_xlfn.XLOOKUP(Orders!C963,Customers!$A$2:$A$1001,Customers!$I$2:$I$1001)</f>
        <v>Yes</v>
      </c>
    </row>
    <row r="964" spans="1:16" x14ac:dyDescent="0.3">
      <c r="A964" t="s">
        <v>1852</v>
      </c>
      <c r="B964" s="11">
        <v>44664</v>
      </c>
      <c r="C964" t="s">
        <v>1853</v>
      </c>
      <c r="D964" t="s">
        <v>184</v>
      </c>
      <c r="E964">
        <v>1</v>
      </c>
      <c r="F964" t="str">
        <f>_xlfn.XLOOKUP(C964,Customers!$A$2:$A$1001,Customers!$B$2:$B$1001)</f>
        <v>Morly Rocks</v>
      </c>
      <c r="G964" t="str">
        <f>_xlfn.XLOOKUP(C964,Customers!$A$2:$A$1001,Customers!$C$2:$C$1001)</f>
        <v>mrocksqq@exblog.jp</v>
      </c>
      <c r="H964" t="str">
        <f>_xlfn.XLOOKUP(C964,Customers!$A$2:$A$1001,Customers!$G$2:$G$1001)</f>
        <v>Ireland</v>
      </c>
      <c r="I964" t="str" cm="1">
        <f t="array" ref="I964:L964">_xlfn.XLOOKUP(D964,products!$A$2:$A$49,products!$B$2:$E$49)</f>
        <v>Rob</v>
      </c>
      <c r="J964" t="str">
        <v>D</v>
      </c>
      <c r="K964" s="8">
        <v>1</v>
      </c>
      <c r="L964" s="6">
        <v>8.9499999999999993</v>
      </c>
      <c r="M964" s="7">
        <f t="shared" si="45"/>
        <v>8.9499999999999993</v>
      </c>
      <c r="N964" t="str">
        <f t="shared" si="46"/>
        <v>Robusta</v>
      </c>
      <c r="O964" t="str">
        <f t="shared" si="47"/>
        <v>Dark</v>
      </c>
      <c r="P964" t="str">
        <f>_xlfn.XLOOKUP(Orders!C964,Customers!$A$2:$A$1001,Customers!$I$2:$I$1001)</f>
        <v>Yes</v>
      </c>
    </row>
    <row r="965" spans="1:16" x14ac:dyDescent="0.3">
      <c r="A965" t="s">
        <v>1854</v>
      </c>
      <c r="B965" s="11">
        <v>44203</v>
      </c>
      <c r="C965" t="s">
        <v>1855</v>
      </c>
      <c r="D965" t="s">
        <v>27</v>
      </c>
      <c r="E965">
        <v>4</v>
      </c>
      <c r="F965" t="str">
        <f>_xlfn.XLOOKUP(C965,Customers!$A$2:$A$1001,Customers!$B$2:$B$1001)</f>
        <v>Yuri Burrells</v>
      </c>
      <c r="G965" t="str">
        <f>_xlfn.XLOOKUP(C965,Customers!$A$2:$A$1001,Customers!$C$2:$C$1001)</f>
        <v>yburrellsqr@vinaora.com</v>
      </c>
      <c r="H965" t="str">
        <f>_xlfn.XLOOKUP(C965,Customers!$A$2:$A$1001,Customers!$G$2:$G$1001)</f>
        <v>United States</v>
      </c>
      <c r="I965" t="str" cm="1">
        <f t="array" ref="I965:L965">_xlfn.XLOOKUP(D965,products!$A$2:$A$49,products!$B$2:$E$49)</f>
        <v>Rob</v>
      </c>
      <c r="J965" t="str">
        <v>M</v>
      </c>
      <c r="K965" s="8">
        <v>0.5</v>
      </c>
      <c r="L965" s="6">
        <v>5.97</v>
      </c>
      <c r="M965" s="7">
        <f t="shared" si="45"/>
        <v>23.88</v>
      </c>
      <c r="N965" t="str">
        <f t="shared" si="46"/>
        <v>Robusta</v>
      </c>
      <c r="O965" t="str">
        <f t="shared" si="47"/>
        <v>Medium</v>
      </c>
      <c r="P965" t="str">
        <f>_xlfn.XLOOKUP(Orders!C965,Customers!$A$2:$A$1001,Customers!$I$2:$I$1001)</f>
        <v>Yes</v>
      </c>
    </row>
    <row r="966" spans="1:16" x14ac:dyDescent="0.3">
      <c r="A966" t="s">
        <v>1856</v>
      </c>
      <c r="B966" s="11">
        <v>43865</v>
      </c>
      <c r="C966" t="s">
        <v>1857</v>
      </c>
      <c r="D966" t="s">
        <v>259</v>
      </c>
      <c r="E966">
        <v>5</v>
      </c>
      <c r="F966" t="str">
        <f>_xlfn.XLOOKUP(C966,Customers!$A$2:$A$1001,Customers!$B$2:$B$1001)</f>
        <v>Cleopatra Goodrum</v>
      </c>
      <c r="G966" t="str">
        <f>_xlfn.XLOOKUP(C966,Customers!$A$2:$A$1001,Customers!$C$2:$C$1001)</f>
        <v>cgoodrumqs@goodreads.com</v>
      </c>
      <c r="H966" t="str">
        <f>_xlfn.XLOOKUP(C966,Customers!$A$2:$A$1001,Customers!$G$2:$G$1001)</f>
        <v>United States</v>
      </c>
      <c r="I966" t="str" cm="1">
        <f t="array" ref="I966:L966">_xlfn.XLOOKUP(D966,products!$A$2:$A$49,products!$B$2:$E$49)</f>
        <v>Exc</v>
      </c>
      <c r="J966" t="str">
        <v>L</v>
      </c>
      <c r="K966" s="8">
        <v>0.2</v>
      </c>
      <c r="L966" s="6">
        <v>4.4550000000000001</v>
      </c>
      <c r="M966" s="7">
        <f t="shared" si="45"/>
        <v>22.274999999999999</v>
      </c>
      <c r="N966" t="str">
        <f t="shared" si="46"/>
        <v>Excelsa</v>
      </c>
      <c r="O966" t="str">
        <f t="shared" si="47"/>
        <v>Lite</v>
      </c>
      <c r="P966" t="str">
        <f>_xlfn.XLOOKUP(Orders!C966,Customers!$A$2:$A$1001,Customers!$I$2:$I$1001)</f>
        <v>No</v>
      </c>
    </row>
    <row r="967" spans="1:16" x14ac:dyDescent="0.3">
      <c r="A967" t="s">
        <v>1858</v>
      </c>
      <c r="B967" s="11">
        <v>43724</v>
      </c>
      <c r="C967" t="s">
        <v>1859</v>
      </c>
      <c r="D967" t="s">
        <v>7</v>
      </c>
      <c r="E967">
        <v>3</v>
      </c>
      <c r="F967" t="str">
        <f>_xlfn.XLOOKUP(C967,Customers!$A$2:$A$1001,Customers!$B$2:$B$1001)</f>
        <v>Joey Jefferys</v>
      </c>
      <c r="G967" t="str">
        <f>_xlfn.XLOOKUP(C967,Customers!$A$2:$A$1001,Customers!$C$2:$C$1001)</f>
        <v>jjefferysqt@blog.com</v>
      </c>
      <c r="H967" t="str">
        <f>_xlfn.XLOOKUP(C967,Customers!$A$2:$A$1001,Customers!$G$2:$G$1001)</f>
        <v>United States</v>
      </c>
      <c r="I967" t="str" cm="1">
        <f t="array" ref="I967:L967">_xlfn.XLOOKUP(D967,products!$A$2:$A$49,products!$B$2:$E$49)</f>
        <v>Rob</v>
      </c>
      <c r="J967" t="str">
        <v>M</v>
      </c>
      <c r="K967" s="8">
        <v>1</v>
      </c>
      <c r="L967" s="6">
        <v>9.9499999999999993</v>
      </c>
      <c r="M967" s="7">
        <f t="shared" si="45"/>
        <v>29.849999999999998</v>
      </c>
      <c r="N967" t="str">
        <f t="shared" si="46"/>
        <v>Robusta</v>
      </c>
      <c r="O967" t="str">
        <f t="shared" si="47"/>
        <v>Medium</v>
      </c>
      <c r="P967" t="str">
        <f>_xlfn.XLOOKUP(Orders!C967,Customers!$A$2:$A$1001,Customers!$I$2:$I$1001)</f>
        <v>Yes</v>
      </c>
    </row>
    <row r="968" spans="1:16" x14ac:dyDescent="0.3">
      <c r="A968" t="s">
        <v>1860</v>
      </c>
      <c r="B968" s="11">
        <v>43491</v>
      </c>
      <c r="C968" t="s">
        <v>1861</v>
      </c>
      <c r="D968" t="s">
        <v>181</v>
      </c>
      <c r="E968">
        <v>6</v>
      </c>
      <c r="F968" t="str">
        <f>_xlfn.XLOOKUP(C968,Customers!$A$2:$A$1001,Customers!$B$2:$B$1001)</f>
        <v>Bearnard Wardell</v>
      </c>
      <c r="G968" t="str">
        <f>_xlfn.XLOOKUP(C968,Customers!$A$2:$A$1001,Customers!$C$2:$C$1001)</f>
        <v>bwardellqu@adobe.com</v>
      </c>
      <c r="H968" t="str">
        <f>_xlfn.XLOOKUP(C968,Customers!$A$2:$A$1001,Customers!$G$2:$G$1001)</f>
        <v>United States</v>
      </c>
      <c r="I968" t="str" cm="1">
        <f t="array" ref="I968:L968">_xlfn.XLOOKUP(D968,products!$A$2:$A$49,products!$B$2:$E$49)</f>
        <v>Exc</v>
      </c>
      <c r="J968" t="str">
        <v>L</v>
      </c>
      <c r="K968" s="8">
        <v>0.5</v>
      </c>
      <c r="L968" s="6">
        <v>8.91</v>
      </c>
      <c r="M968" s="7">
        <f t="shared" si="45"/>
        <v>53.46</v>
      </c>
      <c r="N968" t="str">
        <f t="shared" si="46"/>
        <v>Excelsa</v>
      </c>
      <c r="O968" t="str">
        <f t="shared" si="47"/>
        <v>Lite</v>
      </c>
      <c r="P968" t="str">
        <f>_xlfn.XLOOKUP(Orders!C968,Customers!$A$2:$A$1001,Customers!$I$2:$I$1001)</f>
        <v>Yes</v>
      </c>
    </row>
    <row r="969" spans="1:16" x14ac:dyDescent="0.3">
      <c r="A969" t="s">
        <v>1862</v>
      </c>
      <c r="B969" s="11">
        <v>44246</v>
      </c>
      <c r="C969" t="s">
        <v>1863</v>
      </c>
      <c r="D969" t="s">
        <v>106</v>
      </c>
      <c r="E969">
        <v>1</v>
      </c>
      <c r="F969" t="str">
        <f>_xlfn.XLOOKUP(C969,Customers!$A$2:$A$1001,Customers!$B$2:$B$1001)</f>
        <v>Zeke Walisiak</v>
      </c>
      <c r="G969" t="str">
        <f>_xlfn.XLOOKUP(C969,Customers!$A$2:$A$1001,Customers!$C$2:$C$1001)</f>
        <v>zwalisiakqv@ucsd.edu</v>
      </c>
      <c r="H969" t="str">
        <f>_xlfn.XLOOKUP(C969,Customers!$A$2:$A$1001,Customers!$G$2:$G$1001)</f>
        <v>Ireland</v>
      </c>
      <c r="I969" t="str" cm="1">
        <f t="array" ref="I969:L969">_xlfn.XLOOKUP(D969,products!$A$2:$A$49,products!$B$2:$E$49)</f>
        <v>Rob</v>
      </c>
      <c r="J969" t="str">
        <v>D</v>
      </c>
      <c r="K969" s="8">
        <v>0.2</v>
      </c>
      <c r="L969" s="6">
        <v>2.6849999999999996</v>
      </c>
      <c r="M969" s="7">
        <f t="shared" si="45"/>
        <v>2.6849999999999996</v>
      </c>
      <c r="N969" t="str">
        <f t="shared" si="46"/>
        <v>Robusta</v>
      </c>
      <c r="O969" t="str">
        <f t="shared" si="47"/>
        <v>Dark</v>
      </c>
      <c r="P969" t="str">
        <f>_xlfn.XLOOKUP(Orders!C969,Customers!$A$2:$A$1001,Customers!$I$2:$I$1001)</f>
        <v>Yes</v>
      </c>
    </row>
    <row r="970" spans="1:16" x14ac:dyDescent="0.3">
      <c r="A970" t="s">
        <v>1864</v>
      </c>
      <c r="B970" s="11">
        <v>44642</v>
      </c>
      <c r="C970" t="s">
        <v>1865</v>
      </c>
      <c r="D970" t="s">
        <v>167</v>
      </c>
      <c r="E970">
        <v>2</v>
      </c>
      <c r="F970" t="str">
        <f>_xlfn.XLOOKUP(C970,Customers!$A$2:$A$1001,Customers!$B$2:$B$1001)</f>
        <v>Wiley Leopold</v>
      </c>
      <c r="G970" t="str">
        <f>_xlfn.XLOOKUP(C970,Customers!$A$2:$A$1001,Customers!$C$2:$C$1001)</f>
        <v>wleopoldqw@blogspot.com</v>
      </c>
      <c r="H970" t="str">
        <f>_xlfn.XLOOKUP(C970,Customers!$A$2:$A$1001,Customers!$G$2:$G$1001)</f>
        <v>United States</v>
      </c>
      <c r="I970" t="str" cm="1">
        <f t="array" ref="I970:L970">_xlfn.XLOOKUP(D970,products!$A$2:$A$49,products!$B$2:$E$49)</f>
        <v>Rob</v>
      </c>
      <c r="J970" t="str">
        <v>M</v>
      </c>
      <c r="K970" s="8">
        <v>0.2</v>
      </c>
      <c r="L970" s="6">
        <v>2.9849999999999999</v>
      </c>
      <c r="M970" s="7">
        <f t="shared" si="45"/>
        <v>5.97</v>
      </c>
      <c r="N970" t="str">
        <f t="shared" si="46"/>
        <v>Robusta</v>
      </c>
      <c r="O970" t="str">
        <f t="shared" si="47"/>
        <v>Medium</v>
      </c>
      <c r="P970" t="str">
        <f>_xlfn.XLOOKUP(Orders!C970,Customers!$A$2:$A$1001,Customers!$I$2:$I$1001)</f>
        <v>No</v>
      </c>
    </row>
    <row r="971" spans="1:16" x14ac:dyDescent="0.3">
      <c r="A971" t="s">
        <v>1866</v>
      </c>
      <c r="B971" s="11">
        <v>43649</v>
      </c>
      <c r="C971" t="s">
        <v>1867</v>
      </c>
      <c r="D971" t="s">
        <v>18</v>
      </c>
      <c r="E971">
        <v>1</v>
      </c>
      <c r="F971" t="str">
        <f>_xlfn.XLOOKUP(C971,Customers!$A$2:$A$1001,Customers!$B$2:$B$1001)</f>
        <v>Chiarra Shalders</v>
      </c>
      <c r="G971" t="str">
        <f>_xlfn.XLOOKUP(C971,Customers!$A$2:$A$1001,Customers!$C$2:$C$1001)</f>
        <v>cshaldersqx@cisco.com</v>
      </c>
      <c r="H971" t="str">
        <f>_xlfn.XLOOKUP(C971,Customers!$A$2:$A$1001,Customers!$G$2:$G$1001)</f>
        <v>United States</v>
      </c>
      <c r="I971" t="str" cm="1">
        <f t="array" ref="I971:L971">_xlfn.XLOOKUP(D971,products!$A$2:$A$49,products!$B$2:$E$49)</f>
        <v>Lib</v>
      </c>
      <c r="J971" t="str">
        <v>D</v>
      </c>
      <c r="K971" s="8">
        <v>1</v>
      </c>
      <c r="L971" s="6">
        <v>12.95</v>
      </c>
      <c r="M971" s="7">
        <f t="shared" si="45"/>
        <v>12.95</v>
      </c>
      <c r="N971" t="str">
        <f t="shared" si="46"/>
        <v>Liberica</v>
      </c>
      <c r="O971" t="str">
        <f t="shared" si="47"/>
        <v>Dark</v>
      </c>
      <c r="P971" t="str">
        <f>_xlfn.XLOOKUP(Orders!C971,Customers!$A$2:$A$1001,Customers!$I$2:$I$1001)</f>
        <v>Yes</v>
      </c>
    </row>
    <row r="972" spans="1:16" x14ac:dyDescent="0.3">
      <c r="A972" t="s">
        <v>1868</v>
      </c>
      <c r="B972" s="11">
        <v>43729</v>
      </c>
      <c r="C972" t="s">
        <v>1869</v>
      </c>
      <c r="D972" t="s">
        <v>8</v>
      </c>
      <c r="E972">
        <v>1</v>
      </c>
      <c r="F972" t="str">
        <f>_xlfn.XLOOKUP(C972,Customers!$A$2:$A$1001,Customers!$B$2:$B$1001)</f>
        <v>Sharl Southerill</v>
      </c>
      <c r="G972">
        <f>_xlfn.XLOOKUP(C972,Customers!$A$2:$A$1001,Customers!$C$2:$C$1001)</f>
        <v>0</v>
      </c>
      <c r="H972" t="str">
        <f>_xlfn.XLOOKUP(C972,Customers!$A$2:$A$1001,Customers!$G$2:$G$1001)</f>
        <v>United States</v>
      </c>
      <c r="I972" t="str" cm="1">
        <f t="array" ref="I972:L972">_xlfn.XLOOKUP(D972,products!$A$2:$A$49,products!$B$2:$E$49)</f>
        <v>Exc</v>
      </c>
      <c r="J972" t="str">
        <v>M</v>
      </c>
      <c r="K972" s="8">
        <v>0.5</v>
      </c>
      <c r="L972" s="6">
        <v>8.25</v>
      </c>
      <c r="M972" s="7">
        <f t="shared" si="45"/>
        <v>8.25</v>
      </c>
      <c r="N972" t="str">
        <f t="shared" si="46"/>
        <v>Excelsa</v>
      </c>
      <c r="O972" t="str">
        <f t="shared" si="47"/>
        <v>Medium</v>
      </c>
      <c r="P972" t="str">
        <f>_xlfn.XLOOKUP(Orders!C972,Customers!$A$2:$A$1001,Customers!$I$2:$I$1001)</f>
        <v>No</v>
      </c>
    </row>
    <row r="973" spans="1:16" x14ac:dyDescent="0.3">
      <c r="A973" t="s">
        <v>1870</v>
      </c>
      <c r="B973" s="11">
        <v>43703</v>
      </c>
      <c r="C973" t="s">
        <v>1871</v>
      </c>
      <c r="D973" t="s">
        <v>209</v>
      </c>
      <c r="E973">
        <v>5</v>
      </c>
      <c r="F973" t="str">
        <f>_xlfn.XLOOKUP(C973,Customers!$A$2:$A$1001,Customers!$B$2:$B$1001)</f>
        <v>Noni Furber</v>
      </c>
      <c r="G973" t="str">
        <f>_xlfn.XLOOKUP(C973,Customers!$A$2:$A$1001,Customers!$C$2:$C$1001)</f>
        <v>nfurberqz@jugem.jp</v>
      </c>
      <c r="H973" t="str">
        <f>_xlfn.XLOOKUP(C973,Customers!$A$2:$A$1001,Customers!$G$2:$G$1001)</f>
        <v>United States</v>
      </c>
      <c r="I973" t="str" cm="1">
        <f t="array" ref="I973:L973">_xlfn.XLOOKUP(D973,products!$A$2:$A$49,products!$B$2:$E$49)</f>
        <v>Ara</v>
      </c>
      <c r="J973" t="str">
        <v>L</v>
      </c>
      <c r="K973" s="8">
        <v>2.5</v>
      </c>
      <c r="L973" s="6">
        <v>29.784999999999997</v>
      </c>
      <c r="M973" s="7">
        <f t="shared" si="45"/>
        <v>148.92499999999998</v>
      </c>
      <c r="N973" t="str">
        <f t="shared" si="46"/>
        <v>Arasbica</v>
      </c>
      <c r="O973" t="str">
        <f t="shared" si="47"/>
        <v>Lite</v>
      </c>
      <c r="P973" t="str">
        <f>_xlfn.XLOOKUP(Orders!C973,Customers!$A$2:$A$1001,Customers!$I$2:$I$1001)</f>
        <v>No</v>
      </c>
    </row>
    <row r="974" spans="1:16" x14ac:dyDescent="0.3">
      <c r="A974" t="s">
        <v>1872</v>
      </c>
      <c r="B974" s="11">
        <v>44411</v>
      </c>
      <c r="C974" t="s">
        <v>1873</v>
      </c>
      <c r="D974" t="s">
        <v>209</v>
      </c>
      <c r="E974">
        <v>3</v>
      </c>
      <c r="F974" t="str">
        <f>_xlfn.XLOOKUP(C974,Customers!$A$2:$A$1001,Customers!$B$2:$B$1001)</f>
        <v>Dinah Crutcher</v>
      </c>
      <c r="G974">
        <f>_xlfn.XLOOKUP(C974,Customers!$A$2:$A$1001,Customers!$C$2:$C$1001)</f>
        <v>0</v>
      </c>
      <c r="H974" t="str">
        <f>_xlfn.XLOOKUP(C974,Customers!$A$2:$A$1001,Customers!$G$2:$G$1001)</f>
        <v>Ireland</v>
      </c>
      <c r="I974" t="str" cm="1">
        <f t="array" ref="I974:L974">_xlfn.XLOOKUP(D974,products!$A$2:$A$49,products!$B$2:$E$49)</f>
        <v>Ara</v>
      </c>
      <c r="J974" t="str">
        <v>L</v>
      </c>
      <c r="K974" s="8">
        <v>2.5</v>
      </c>
      <c r="L974" s="6">
        <v>29.784999999999997</v>
      </c>
      <c r="M974" s="7">
        <f t="shared" si="45"/>
        <v>89.35499999999999</v>
      </c>
      <c r="N974" t="str">
        <f t="shared" si="46"/>
        <v>Arasbica</v>
      </c>
      <c r="O974" t="str">
        <f t="shared" si="47"/>
        <v>Lite</v>
      </c>
      <c r="P974" t="str">
        <f>_xlfn.XLOOKUP(Orders!C974,Customers!$A$2:$A$1001,Customers!$I$2:$I$1001)</f>
        <v>Yes</v>
      </c>
    </row>
    <row r="975" spans="1:16" x14ac:dyDescent="0.3">
      <c r="A975" t="s">
        <v>1874</v>
      </c>
      <c r="B975" s="11">
        <v>44493</v>
      </c>
      <c r="C975" t="s">
        <v>1875</v>
      </c>
      <c r="D975" t="s">
        <v>101</v>
      </c>
      <c r="E975">
        <v>6</v>
      </c>
      <c r="F975" t="str">
        <f>_xlfn.XLOOKUP(C975,Customers!$A$2:$A$1001,Customers!$B$2:$B$1001)</f>
        <v>Charlean Keave</v>
      </c>
      <c r="G975" t="str">
        <f>_xlfn.XLOOKUP(C975,Customers!$A$2:$A$1001,Customers!$C$2:$C$1001)</f>
        <v>ckeaver1@ucoz.com</v>
      </c>
      <c r="H975" t="str">
        <f>_xlfn.XLOOKUP(C975,Customers!$A$2:$A$1001,Customers!$G$2:$G$1001)</f>
        <v>United States</v>
      </c>
      <c r="I975" t="str" cm="1">
        <f t="array" ref="I975:L975">_xlfn.XLOOKUP(D975,products!$A$2:$A$49,products!$B$2:$E$49)</f>
        <v>Lib</v>
      </c>
      <c r="J975" t="str">
        <v>M</v>
      </c>
      <c r="K975" s="8">
        <v>1</v>
      </c>
      <c r="L975" s="6">
        <v>14.55</v>
      </c>
      <c r="M975" s="7">
        <f t="shared" si="45"/>
        <v>87.300000000000011</v>
      </c>
      <c r="N975" t="str">
        <f t="shared" si="46"/>
        <v>Liberica</v>
      </c>
      <c r="O975" t="str">
        <f t="shared" si="47"/>
        <v>Medium</v>
      </c>
      <c r="P975" t="str">
        <f>_xlfn.XLOOKUP(Orders!C975,Customers!$A$2:$A$1001,Customers!$I$2:$I$1001)</f>
        <v>No</v>
      </c>
    </row>
    <row r="976" spans="1:16" x14ac:dyDescent="0.3">
      <c r="A976" t="s">
        <v>1876</v>
      </c>
      <c r="B976" s="11">
        <v>43556</v>
      </c>
      <c r="C976" t="s">
        <v>1877</v>
      </c>
      <c r="D976" t="s">
        <v>151</v>
      </c>
      <c r="E976">
        <v>1</v>
      </c>
      <c r="F976" t="str">
        <f>_xlfn.XLOOKUP(C976,Customers!$A$2:$A$1001,Customers!$B$2:$B$1001)</f>
        <v>Sada Roseborough</v>
      </c>
      <c r="G976" t="str">
        <f>_xlfn.XLOOKUP(C976,Customers!$A$2:$A$1001,Customers!$C$2:$C$1001)</f>
        <v>sroseboroughr2@virginia.edu</v>
      </c>
      <c r="H976" t="str">
        <f>_xlfn.XLOOKUP(C976,Customers!$A$2:$A$1001,Customers!$G$2:$G$1001)</f>
        <v>United States</v>
      </c>
      <c r="I976" t="str" cm="1">
        <f t="array" ref="I976:L976">_xlfn.XLOOKUP(D976,products!$A$2:$A$49,products!$B$2:$E$49)</f>
        <v>Rob</v>
      </c>
      <c r="J976" t="str">
        <v>D</v>
      </c>
      <c r="K976" s="8">
        <v>0.5</v>
      </c>
      <c r="L976" s="6">
        <v>5.3699999999999992</v>
      </c>
      <c r="M976" s="7">
        <f t="shared" si="45"/>
        <v>5.3699999999999992</v>
      </c>
      <c r="N976" t="str">
        <f t="shared" si="46"/>
        <v>Robusta</v>
      </c>
      <c r="O976" t="str">
        <f t="shared" si="47"/>
        <v>Dark</v>
      </c>
      <c r="P976" t="str">
        <f>_xlfn.XLOOKUP(Orders!C976,Customers!$A$2:$A$1001,Customers!$I$2:$I$1001)</f>
        <v>Yes</v>
      </c>
    </row>
    <row r="977" spans="1:16" x14ac:dyDescent="0.3">
      <c r="A977" t="s">
        <v>1878</v>
      </c>
      <c r="B977" s="11">
        <v>44538</v>
      </c>
      <c r="C977" t="s">
        <v>1879</v>
      </c>
      <c r="D977" t="s">
        <v>59</v>
      </c>
      <c r="E977">
        <v>3</v>
      </c>
      <c r="F977" t="str">
        <f>_xlfn.XLOOKUP(C977,Customers!$A$2:$A$1001,Customers!$B$2:$B$1001)</f>
        <v>Clayton Kingwell</v>
      </c>
      <c r="G977" t="str">
        <f>_xlfn.XLOOKUP(C977,Customers!$A$2:$A$1001,Customers!$C$2:$C$1001)</f>
        <v>ckingwellr3@squarespace.com</v>
      </c>
      <c r="H977" t="str">
        <f>_xlfn.XLOOKUP(C977,Customers!$A$2:$A$1001,Customers!$G$2:$G$1001)</f>
        <v>Ireland</v>
      </c>
      <c r="I977" t="str" cm="1">
        <f t="array" ref="I977:L977">_xlfn.XLOOKUP(D977,products!$A$2:$A$49,products!$B$2:$E$49)</f>
        <v>Ara</v>
      </c>
      <c r="J977" t="str">
        <v>D</v>
      </c>
      <c r="K977" s="8">
        <v>0.2</v>
      </c>
      <c r="L977" s="6">
        <v>2.9849999999999999</v>
      </c>
      <c r="M977" s="7">
        <f t="shared" si="45"/>
        <v>8.9550000000000001</v>
      </c>
      <c r="N977" t="str">
        <f t="shared" si="46"/>
        <v>Arasbica</v>
      </c>
      <c r="O977" t="str">
        <f t="shared" si="47"/>
        <v>Dark</v>
      </c>
      <c r="P977" t="str">
        <f>_xlfn.XLOOKUP(Orders!C977,Customers!$A$2:$A$1001,Customers!$I$2:$I$1001)</f>
        <v>Yes</v>
      </c>
    </row>
    <row r="978" spans="1:16" x14ac:dyDescent="0.3">
      <c r="A978" t="s">
        <v>1880</v>
      </c>
      <c r="B978" s="11">
        <v>43643</v>
      </c>
      <c r="C978" t="s">
        <v>1881</v>
      </c>
      <c r="D978" t="s">
        <v>15</v>
      </c>
      <c r="E978">
        <v>5</v>
      </c>
      <c r="F978" t="str">
        <f>_xlfn.XLOOKUP(C978,Customers!$A$2:$A$1001,Customers!$B$2:$B$1001)</f>
        <v>Kacy Canto</v>
      </c>
      <c r="G978" t="str">
        <f>_xlfn.XLOOKUP(C978,Customers!$A$2:$A$1001,Customers!$C$2:$C$1001)</f>
        <v>kcantor4@gmpg.org</v>
      </c>
      <c r="H978" t="str">
        <f>_xlfn.XLOOKUP(C978,Customers!$A$2:$A$1001,Customers!$G$2:$G$1001)</f>
        <v>United States</v>
      </c>
      <c r="I978" t="str" cm="1">
        <f t="array" ref="I978:L978">_xlfn.XLOOKUP(D978,products!$A$2:$A$49,products!$B$2:$E$49)</f>
        <v>Rob</v>
      </c>
      <c r="J978" t="str">
        <v>L</v>
      </c>
      <c r="K978" s="8">
        <v>2.5</v>
      </c>
      <c r="L978" s="6">
        <v>27.484999999999996</v>
      </c>
      <c r="M978" s="7">
        <f t="shared" si="45"/>
        <v>137.42499999999998</v>
      </c>
      <c r="N978" t="str">
        <f t="shared" si="46"/>
        <v>Robusta</v>
      </c>
      <c r="O978" t="str">
        <f t="shared" si="47"/>
        <v>Lite</v>
      </c>
      <c r="P978" t="str">
        <f>_xlfn.XLOOKUP(Orders!C978,Customers!$A$2:$A$1001,Customers!$I$2:$I$1001)</f>
        <v>Yes</v>
      </c>
    </row>
    <row r="979" spans="1:16" x14ac:dyDescent="0.3">
      <c r="A979" t="s">
        <v>1882</v>
      </c>
      <c r="B979" s="11">
        <v>44026</v>
      </c>
      <c r="C979" t="s">
        <v>1883</v>
      </c>
      <c r="D979" t="s">
        <v>194</v>
      </c>
      <c r="E979">
        <v>5</v>
      </c>
      <c r="F979" t="str">
        <f>_xlfn.XLOOKUP(C979,Customers!$A$2:$A$1001,Customers!$B$2:$B$1001)</f>
        <v>Mab Blakemore</v>
      </c>
      <c r="G979" t="str">
        <f>_xlfn.XLOOKUP(C979,Customers!$A$2:$A$1001,Customers!$C$2:$C$1001)</f>
        <v>mblakemorer5@nsw.gov.au</v>
      </c>
      <c r="H979" t="str">
        <f>_xlfn.XLOOKUP(C979,Customers!$A$2:$A$1001,Customers!$G$2:$G$1001)</f>
        <v>United States</v>
      </c>
      <c r="I979" t="str" cm="1">
        <f t="array" ref="I979:L979">_xlfn.XLOOKUP(D979,products!$A$2:$A$49,products!$B$2:$E$49)</f>
        <v>Rob</v>
      </c>
      <c r="J979" t="str">
        <v>L</v>
      </c>
      <c r="K979" s="8">
        <v>1</v>
      </c>
      <c r="L979" s="6">
        <v>11.95</v>
      </c>
      <c r="M979" s="7">
        <f t="shared" si="45"/>
        <v>59.75</v>
      </c>
      <c r="N979" t="str">
        <f t="shared" si="46"/>
        <v>Robusta</v>
      </c>
      <c r="O979" t="str">
        <f t="shared" si="47"/>
        <v>Lite</v>
      </c>
      <c r="P979" t="str">
        <f>_xlfn.XLOOKUP(Orders!C979,Customers!$A$2:$A$1001,Customers!$I$2:$I$1001)</f>
        <v>No</v>
      </c>
    </row>
    <row r="980" spans="1:16" x14ac:dyDescent="0.3">
      <c r="A980" t="s">
        <v>1884</v>
      </c>
      <c r="B980" s="11">
        <v>43913</v>
      </c>
      <c r="C980" t="s">
        <v>1875</v>
      </c>
      <c r="D980" t="s">
        <v>197</v>
      </c>
      <c r="E980">
        <v>3</v>
      </c>
      <c r="F980" t="str">
        <f>_xlfn.XLOOKUP(C980,Customers!$A$2:$A$1001,Customers!$B$2:$B$1001)</f>
        <v>Charlean Keave</v>
      </c>
      <c r="G980" t="str">
        <f>_xlfn.XLOOKUP(C980,Customers!$A$2:$A$1001,Customers!$C$2:$C$1001)</f>
        <v>ckeaver1@ucoz.com</v>
      </c>
      <c r="H980" t="str">
        <f>_xlfn.XLOOKUP(C980,Customers!$A$2:$A$1001,Customers!$G$2:$G$1001)</f>
        <v>United States</v>
      </c>
      <c r="I980" t="str" cm="1">
        <f t="array" ref="I980:L980">_xlfn.XLOOKUP(D980,products!$A$2:$A$49,products!$B$2:$E$49)</f>
        <v>Ara</v>
      </c>
      <c r="J980" t="str">
        <v>L</v>
      </c>
      <c r="K980" s="8">
        <v>0.5</v>
      </c>
      <c r="L980" s="6">
        <v>7.77</v>
      </c>
      <c r="M980" s="7">
        <f t="shared" si="45"/>
        <v>23.31</v>
      </c>
      <c r="N980" t="str">
        <f t="shared" si="46"/>
        <v>Arasbica</v>
      </c>
      <c r="O980" t="str">
        <f t="shared" si="47"/>
        <v>Lite</v>
      </c>
      <c r="P980" t="str">
        <f>_xlfn.XLOOKUP(Orders!C980,Customers!$A$2:$A$1001,Customers!$I$2:$I$1001)</f>
        <v>No</v>
      </c>
    </row>
    <row r="981" spans="1:16" x14ac:dyDescent="0.3">
      <c r="A981" t="s">
        <v>1885</v>
      </c>
      <c r="B981" s="11">
        <v>43856</v>
      </c>
      <c r="C981" t="s">
        <v>1886</v>
      </c>
      <c r="D981" t="s">
        <v>151</v>
      </c>
      <c r="E981">
        <v>2</v>
      </c>
      <c r="F981" t="str">
        <f>_xlfn.XLOOKUP(C981,Customers!$A$2:$A$1001,Customers!$B$2:$B$1001)</f>
        <v>Javier Causnett</v>
      </c>
      <c r="G981">
        <f>_xlfn.XLOOKUP(C981,Customers!$A$2:$A$1001,Customers!$C$2:$C$1001)</f>
        <v>0</v>
      </c>
      <c r="H981" t="str">
        <f>_xlfn.XLOOKUP(C981,Customers!$A$2:$A$1001,Customers!$G$2:$G$1001)</f>
        <v>United States</v>
      </c>
      <c r="I981" t="str" cm="1">
        <f t="array" ref="I981:L981">_xlfn.XLOOKUP(D981,products!$A$2:$A$49,products!$B$2:$E$49)</f>
        <v>Rob</v>
      </c>
      <c r="J981" t="str">
        <v>D</v>
      </c>
      <c r="K981" s="8">
        <v>0.5</v>
      </c>
      <c r="L981" s="6">
        <v>5.3699999999999992</v>
      </c>
      <c r="M981" s="7">
        <f t="shared" si="45"/>
        <v>10.739999999999998</v>
      </c>
      <c r="N981" t="str">
        <f t="shared" si="46"/>
        <v>Robusta</v>
      </c>
      <c r="O981" t="str">
        <f t="shared" si="47"/>
        <v>Dark</v>
      </c>
      <c r="P981" t="str">
        <f>_xlfn.XLOOKUP(Orders!C981,Customers!$A$2:$A$1001,Customers!$I$2:$I$1001)</f>
        <v>No</v>
      </c>
    </row>
    <row r="982" spans="1:16" x14ac:dyDescent="0.3">
      <c r="A982" t="s">
        <v>1887</v>
      </c>
      <c r="B982" s="11">
        <v>43982</v>
      </c>
      <c r="C982" t="s">
        <v>1888</v>
      </c>
      <c r="D982" t="s">
        <v>535</v>
      </c>
      <c r="E982">
        <v>6</v>
      </c>
      <c r="F982" t="str">
        <f>_xlfn.XLOOKUP(C982,Customers!$A$2:$A$1001,Customers!$B$2:$B$1001)</f>
        <v>Demetris Micheli</v>
      </c>
      <c r="G982">
        <f>_xlfn.XLOOKUP(C982,Customers!$A$2:$A$1001,Customers!$C$2:$C$1001)</f>
        <v>0</v>
      </c>
      <c r="H982" t="str">
        <f>_xlfn.XLOOKUP(C982,Customers!$A$2:$A$1001,Customers!$G$2:$G$1001)</f>
        <v>United States</v>
      </c>
      <c r="I982" t="str" cm="1">
        <f t="array" ref="I982:L982">_xlfn.XLOOKUP(D982,products!$A$2:$A$49,products!$B$2:$E$49)</f>
        <v>Exc</v>
      </c>
      <c r="J982" t="str">
        <v>D</v>
      </c>
      <c r="K982" s="8">
        <v>2.5</v>
      </c>
      <c r="L982" s="6">
        <v>27.945</v>
      </c>
      <c r="M982" s="7">
        <f t="shared" si="45"/>
        <v>167.67000000000002</v>
      </c>
      <c r="N982" t="str">
        <f t="shared" si="46"/>
        <v>Excelsa</v>
      </c>
      <c r="O982" t="str">
        <f t="shared" si="47"/>
        <v>Dark</v>
      </c>
      <c r="P982" t="str">
        <f>_xlfn.XLOOKUP(Orders!C982,Customers!$A$2:$A$1001,Customers!$I$2:$I$1001)</f>
        <v>Yes</v>
      </c>
    </row>
    <row r="983" spans="1:16" x14ac:dyDescent="0.3">
      <c r="A983" t="s">
        <v>1889</v>
      </c>
      <c r="B983" s="11">
        <v>44397</v>
      </c>
      <c r="C983" t="s">
        <v>1890</v>
      </c>
      <c r="D983" t="s">
        <v>56</v>
      </c>
      <c r="E983">
        <v>6</v>
      </c>
      <c r="F983" t="str">
        <f>_xlfn.XLOOKUP(C983,Customers!$A$2:$A$1001,Customers!$B$2:$B$1001)</f>
        <v>Chloette Bernardot</v>
      </c>
      <c r="G983" t="str">
        <f>_xlfn.XLOOKUP(C983,Customers!$A$2:$A$1001,Customers!$C$2:$C$1001)</f>
        <v>cbernardotr9@wix.com</v>
      </c>
      <c r="H983" t="str">
        <f>_xlfn.XLOOKUP(C983,Customers!$A$2:$A$1001,Customers!$G$2:$G$1001)</f>
        <v>United States</v>
      </c>
      <c r="I983" t="str" cm="1">
        <f t="array" ref="I983:L983">_xlfn.XLOOKUP(D983,products!$A$2:$A$49,products!$B$2:$E$49)</f>
        <v>Exc</v>
      </c>
      <c r="J983" t="str">
        <v>D</v>
      </c>
      <c r="K983" s="8">
        <v>0.2</v>
      </c>
      <c r="L983" s="6">
        <v>3.645</v>
      </c>
      <c r="M983" s="7">
        <f t="shared" si="45"/>
        <v>21.87</v>
      </c>
      <c r="N983" t="str">
        <f t="shared" si="46"/>
        <v>Excelsa</v>
      </c>
      <c r="O983" t="str">
        <f t="shared" si="47"/>
        <v>Dark</v>
      </c>
      <c r="P983" t="str">
        <f>_xlfn.XLOOKUP(Orders!C983,Customers!$A$2:$A$1001,Customers!$I$2:$I$1001)</f>
        <v>Yes</v>
      </c>
    </row>
    <row r="984" spans="1:16" x14ac:dyDescent="0.3">
      <c r="A984" t="s">
        <v>1891</v>
      </c>
      <c r="B984" s="11">
        <v>44785</v>
      </c>
      <c r="C984" t="s">
        <v>1892</v>
      </c>
      <c r="D984" t="s">
        <v>194</v>
      </c>
      <c r="E984">
        <v>2</v>
      </c>
      <c r="F984" t="str">
        <f>_xlfn.XLOOKUP(C984,Customers!$A$2:$A$1001,Customers!$B$2:$B$1001)</f>
        <v>Kim Kemery</v>
      </c>
      <c r="G984" t="str">
        <f>_xlfn.XLOOKUP(C984,Customers!$A$2:$A$1001,Customers!$C$2:$C$1001)</f>
        <v>kkemeryra@t.co</v>
      </c>
      <c r="H984" t="str">
        <f>_xlfn.XLOOKUP(C984,Customers!$A$2:$A$1001,Customers!$G$2:$G$1001)</f>
        <v>United States</v>
      </c>
      <c r="I984" t="str" cm="1">
        <f t="array" ref="I984:L984">_xlfn.XLOOKUP(D984,products!$A$2:$A$49,products!$B$2:$E$49)</f>
        <v>Rob</v>
      </c>
      <c r="J984" t="str">
        <v>L</v>
      </c>
      <c r="K984" s="8">
        <v>1</v>
      </c>
      <c r="L984" s="6">
        <v>11.95</v>
      </c>
      <c r="M984" s="7">
        <f t="shared" si="45"/>
        <v>23.9</v>
      </c>
      <c r="N984" t="str">
        <f t="shared" si="46"/>
        <v>Robusta</v>
      </c>
      <c r="O984" t="str">
        <f t="shared" si="47"/>
        <v>Lite</v>
      </c>
      <c r="P984" t="str">
        <f>_xlfn.XLOOKUP(Orders!C984,Customers!$A$2:$A$1001,Customers!$I$2:$I$1001)</f>
        <v>Yes</v>
      </c>
    </row>
    <row r="985" spans="1:16" x14ac:dyDescent="0.3">
      <c r="A985" t="s">
        <v>1893</v>
      </c>
      <c r="B985" s="11">
        <v>43831</v>
      </c>
      <c r="C985" t="s">
        <v>1894</v>
      </c>
      <c r="D985" t="s">
        <v>49</v>
      </c>
      <c r="E985">
        <v>2</v>
      </c>
      <c r="F985" t="str">
        <f>_xlfn.XLOOKUP(C985,Customers!$A$2:$A$1001,Customers!$B$2:$B$1001)</f>
        <v>Fanchette Parlot</v>
      </c>
      <c r="G985" t="str">
        <f>_xlfn.XLOOKUP(C985,Customers!$A$2:$A$1001,Customers!$C$2:$C$1001)</f>
        <v>fparlotrb@forbes.com</v>
      </c>
      <c r="H985" t="str">
        <f>_xlfn.XLOOKUP(C985,Customers!$A$2:$A$1001,Customers!$G$2:$G$1001)</f>
        <v>United States</v>
      </c>
      <c r="I985" t="str" cm="1">
        <f t="array" ref="I985:L985">_xlfn.XLOOKUP(D985,products!$A$2:$A$49,products!$B$2:$E$49)</f>
        <v>Ara</v>
      </c>
      <c r="J985" t="str">
        <v>M</v>
      </c>
      <c r="K985" s="8">
        <v>0.2</v>
      </c>
      <c r="L985" s="6">
        <v>3.375</v>
      </c>
      <c r="M985" s="7">
        <f t="shared" si="45"/>
        <v>6.75</v>
      </c>
      <c r="N985" t="str">
        <f t="shared" si="46"/>
        <v>Arasbica</v>
      </c>
      <c r="O985" t="str">
        <f t="shared" si="47"/>
        <v>Medium</v>
      </c>
      <c r="P985" t="str">
        <f>_xlfn.XLOOKUP(Orders!C985,Customers!$A$2:$A$1001,Customers!$I$2:$I$1001)</f>
        <v>Yes</v>
      </c>
    </row>
    <row r="986" spans="1:16" x14ac:dyDescent="0.3">
      <c r="A986" t="s">
        <v>1895</v>
      </c>
      <c r="B986" s="11">
        <v>44214</v>
      </c>
      <c r="C986" t="s">
        <v>1896</v>
      </c>
      <c r="D986" t="s">
        <v>117</v>
      </c>
      <c r="E986">
        <v>1</v>
      </c>
      <c r="F986" t="str">
        <f>_xlfn.XLOOKUP(C986,Customers!$A$2:$A$1001,Customers!$B$2:$B$1001)</f>
        <v>Ramon Cheak</v>
      </c>
      <c r="G986" t="str">
        <f>_xlfn.XLOOKUP(C986,Customers!$A$2:$A$1001,Customers!$C$2:$C$1001)</f>
        <v>rcheakrc@tripadvisor.com</v>
      </c>
      <c r="H986" t="str">
        <f>_xlfn.XLOOKUP(C986,Customers!$A$2:$A$1001,Customers!$G$2:$G$1001)</f>
        <v>Ireland</v>
      </c>
      <c r="I986" t="str" cm="1">
        <f t="array" ref="I986:L986">_xlfn.XLOOKUP(D986,products!$A$2:$A$49,products!$B$2:$E$49)</f>
        <v>Exc</v>
      </c>
      <c r="J986" t="str">
        <v>M</v>
      </c>
      <c r="K986" s="8">
        <v>2.5</v>
      </c>
      <c r="L986" s="6">
        <v>31.624999999999996</v>
      </c>
      <c r="M986" s="7">
        <f t="shared" si="45"/>
        <v>31.624999999999996</v>
      </c>
      <c r="N986" t="str">
        <f t="shared" si="46"/>
        <v>Excelsa</v>
      </c>
      <c r="O986" t="str">
        <f t="shared" si="47"/>
        <v>Medium</v>
      </c>
      <c r="P986" t="str">
        <f>_xlfn.XLOOKUP(Orders!C986,Customers!$A$2:$A$1001,Customers!$I$2:$I$1001)</f>
        <v>Yes</v>
      </c>
    </row>
    <row r="987" spans="1:16" x14ac:dyDescent="0.3">
      <c r="A987" t="s">
        <v>1897</v>
      </c>
      <c r="B987" s="11">
        <v>44561</v>
      </c>
      <c r="C987" t="s">
        <v>1898</v>
      </c>
      <c r="D987" t="s">
        <v>194</v>
      </c>
      <c r="E987">
        <v>4</v>
      </c>
      <c r="F987" t="str">
        <f>_xlfn.XLOOKUP(C987,Customers!$A$2:$A$1001,Customers!$B$2:$B$1001)</f>
        <v>Koressa O'Geneay</v>
      </c>
      <c r="G987" t="str">
        <f>_xlfn.XLOOKUP(C987,Customers!$A$2:$A$1001,Customers!$C$2:$C$1001)</f>
        <v>kogeneayrd@utexas.edu</v>
      </c>
      <c r="H987" t="str">
        <f>_xlfn.XLOOKUP(C987,Customers!$A$2:$A$1001,Customers!$G$2:$G$1001)</f>
        <v>United States</v>
      </c>
      <c r="I987" t="str" cm="1">
        <f t="array" ref="I987:L987">_xlfn.XLOOKUP(D987,products!$A$2:$A$49,products!$B$2:$E$49)</f>
        <v>Rob</v>
      </c>
      <c r="J987" t="str">
        <v>L</v>
      </c>
      <c r="K987" s="8">
        <v>1</v>
      </c>
      <c r="L987" s="6">
        <v>11.95</v>
      </c>
      <c r="M987" s="7">
        <f t="shared" si="45"/>
        <v>47.8</v>
      </c>
      <c r="N987" t="str">
        <f t="shared" si="46"/>
        <v>Robusta</v>
      </c>
      <c r="O987" t="str">
        <f t="shared" si="47"/>
        <v>Lite</v>
      </c>
      <c r="P987" t="str">
        <f>_xlfn.XLOOKUP(Orders!C987,Customers!$A$2:$A$1001,Customers!$I$2:$I$1001)</f>
        <v>No</v>
      </c>
    </row>
    <row r="988" spans="1:16" x14ac:dyDescent="0.3">
      <c r="A988" t="s">
        <v>1899</v>
      </c>
      <c r="B988" s="11">
        <v>43955</v>
      </c>
      <c r="C988" t="s">
        <v>1900</v>
      </c>
      <c r="D988" t="s">
        <v>202</v>
      </c>
      <c r="E988">
        <v>1</v>
      </c>
      <c r="F988" t="str">
        <f>_xlfn.XLOOKUP(C988,Customers!$A$2:$A$1001,Customers!$B$2:$B$1001)</f>
        <v>Claudell Ayre</v>
      </c>
      <c r="G988" t="str">
        <f>_xlfn.XLOOKUP(C988,Customers!$A$2:$A$1001,Customers!$C$2:$C$1001)</f>
        <v>cayrere@symantec.com</v>
      </c>
      <c r="H988" t="str">
        <f>_xlfn.XLOOKUP(C988,Customers!$A$2:$A$1001,Customers!$G$2:$G$1001)</f>
        <v>United States</v>
      </c>
      <c r="I988" t="str" cm="1">
        <f t="array" ref="I988:L988">_xlfn.XLOOKUP(D988,products!$A$2:$A$49,products!$B$2:$E$49)</f>
        <v>Lib</v>
      </c>
      <c r="J988" t="str">
        <v>M</v>
      </c>
      <c r="K988" s="8">
        <v>2.5</v>
      </c>
      <c r="L988" s="6">
        <v>33.464999999999996</v>
      </c>
      <c r="M988" s="7">
        <f t="shared" si="45"/>
        <v>33.464999999999996</v>
      </c>
      <c r="N988" t="str">
        <f t="shared" si="46"/>
        <v>Liberica</v>
      </c>
      <c r="O988" t="str">
        <f t="shared" si="47"/>
        <v>Medium</v>
      </c>
      <c r="P988" t="str">
        <f>_xlfn.XLOOKUP(Orders!C988,Customers!$A$2:$A$1001,Customers!$I$2:$I$1001)</f>
        <v>No</v>
      </c>
    </row>
    <row r="989" spans="1:16" x14ac:dyDescent="0.3">
      <c r="A989" t="s">
        <v>1901</v>
      </c>
      <c r="B989" s="11">
        <v>44247</v>
      </c>
      <c r="C989" t="s">
        <v>1902</v>
      </c>
      <c r="D989" t="s">
        <v>77</v>
      </c>
      <c r="E989">
        <v>5</v>
      </c>
      <c r="F989" t="str">
        <f>_xlfn.XLOOKUP(C989,Customers!$A$2:$A$1001,Customers!$B$2:$B$1001)</f>
        <v>Lorianne Kyneton</v>
      </c>
      <c r="G989" t="str">
        <f>_xlfn.XLOOKUP(C989,Customers!$A$2:$A$1001,Customers!$C$2:$C$1001)</f>
        <v>lkynetonrf@macromedia.com</v>
      </c>
      <c r="H989" t="str">
        <f>_xlfn.XLOOKUP(C989,Customers!$A$2:$A$1001,Customers!$G$2:$G$1001)</f>
        <v>United Kingdom</v>
      </c>
      <c r="I989" t="str" cm="1">
        <f t="array" ref="I989:L989">_xlfn.XLOOKUP(D989,products!$A$2:$A$49,products!$B$2:$E$49)</f>
        <v>Ara</v>
      </c>
      <c r="J989" t="str">
        <v>D</v>
      </c>
      <c r="K989" s="8">
        <v>0.5</v>
      </c>
      <c r="L989" s="6">
        <v>5.97</v>
      </c>
      <c r="M989" s="7">
        <f t="shared" si="45"/>
        <v>29.849999999999998</v>
      </c>
      <c r="N989" t="str">
        <f t="shared" si="46"/>
        <v>Arasbica</v>
      </c>
      <c r="O989" t="str">
        <f t="shared" si="47"/>
        <v>Dark</v>
      </c>
      <c r="P989" t="str">
        <f>_xlfn.XLOOKUP(Orders!C989,Customers!$A$2:$A$1001,Customers!$I$2:$I$1001)</f>
        <v>Yes</v>
      </c>
    </row>
    <row r="990" spans="1:16" x14ac:dyDescent="0.3">
      <c r="A990" t="s">
        <v>1903</v>
      </c>
      <c r="B990" s="11">
        <v>43897</v>
      </c>
      <c r="C990" t="s">
        <v>1904</v>
      </c>
      <c r="D990" t="s">
        <v>7</v>
      </c>
      <c r="E990">
        <v>3</v>
      </c>
      <c r="F990" t="str">
        <f>_xlfn.XLOOKUP(C990,Customers!$A$2:$A$1001,Customers!$B$2:$B$1001)</f>
        <v>Adele McFayden</v>
      </c>
      <c r="G990">
        <f>_xlfn.XLOOKUP(C990,Customers!$A$2:$A$1001,Customers!$C$2:$C$1001)</f>
        <v>0</v>
      </c>
      <c r="H990" t="str">
        <f>_xlfn.XLOOKUP(C990,Customers!$A$2:$A$1001,Customers!$G$2:$G$1001)</f>
        <v>United Kingdom</v>
      </c>
      <c r="I990" t="str" cm="1">
        <f t="array" ref="I990:L990">_xlfn.XLOOKUP(D990,products!$A$2:$A$49,products!$B$2:$E$49)</f>
        <v>Rob</v>
      </c>
      <c r="J990" t="str">
        <v>M</v>
      </c>
      <c r="K990" s="8">
        <v>1</v>
      </c>
      <c r="L990" s="6">
        <v>9.9499999999999993</v>
      </c>
      <c r="M990" s="7">
        <f t="shared" si="45"/>
        <v>29.849999999999998</v>
      </c>
      <c r="N990" t="str">
        <f t="shared" si="46"/>
        <v>Robusta</v>
      </c>
      <c r="O990" t="str">
        <f t="shared" si="47"/>
        <v>Medium</v>
      </c>
      <c r="P990" t="str">
        <f>_xlfn.XLOOKUP(Orders!C990,Customers!$A$2:$A$1001,Customers!$I$2:$I$1001)</f>
        <v>Yes</v>
      </c>
    </row>
    <row r="991" spans="1:16" x14ac:dyDescent="0.3">
      <c r="A991" t="s">
        <v>1905</v>
      </c>
      <c r="B991" s="11">
        <v>43560</v>
      </c>
      <c r="C991" t="s">
        <v>1906</v>
      </c>
      <c r="D991" t="s">
        <v>176</v>
      </c>
      <c r="E991">
        <v>6</v>
      </c>
      <c r="F991" t="str">
        <f>_xlfn.XLOOKUP(C991,Customers!$A$2:$A$1001,Customers!$B$2:$B$1001)</f>
        <v>Herta Layne</v>
      </c>
      <c r="G991">
        <f>_xlfn.XLOOKUP(C991,Customers!$A$2:$A$1001,Customers!$C$2:$C$1001)</f>
        <v>0</v>
      </c>
      <c r="H991" t="str">
        <f>_xlfn.XLOOKUP(C991,Customers!$A$2:$A$1001,Customers!$G$2:$G$1001)</f>
        <v>United States</v>
      </c>
      <c r="I991" t="str" cm="1">
        <f t="array" ref="I991:L991">_xlfn.XLOOKUP(D991,products!$A$2:$A$49,products!$B$2:$E$49)</f>
        <v>Ara</v>
      </c>
      <c r="J991" t="str">
        <v>M</v>
      </c>
      <c r="K991" s="8">
        <v>2.5</v>
      </c>
      <c r="L991" s="6">
        <v>25.874999999999996</v>
      </c>
      <c r="M991" s="7">
        <f t="shared" si="45"/>
        <v>155.24999999999997</v>
      </c>
      <c r="N991" t="str">
        <f t="shared" si="46"/>
        <v>Arasbica</v>
      </c>
      <c r="O991" t="str">
        <f t="shared" si="47"/>
        <v>Medium</v>
      </c>
      <c r="P991" t="str">
        <f>_xlfn.XLOOKUP(Orders!C991,Customers!$A$2:$A$1001,Customers!$I$2:$I$1001)</f>
        <v>Yes</v>
      </c>
    </row>
    <row r="992" spans="1:16" x14ac:dyDescent="0.3">
      <c r="A992" t="s">
        <v>1907</v>
      </c>
      <c r="B992" s="11">
        <v>44718</v>
      </c>
      <c r="C992" t="s">
        <v>1908</v>
      </c>
      <c r="D992" t="s">
        <v>56</v>
      </c>
      <c r="E992">
        <v>5</v>
      </c>
      <c r="F992" t="str">
        <f>_xlfn.XLOOKUP(C992,Customers!$A$2:$A$1001,Customers!$B$2:$B$1001)</f>
        <v>Marguerite Graves</v>
      </c>
      <c r="G992">
        <f>_xlfn.XLOOKUP(C992,Customers!$A$2:$A$1001,Customers!$C$2:$C$1001)</f>
        <v>0</v>
      </c>
      <c r="H992" t="str">
        <f>_xlfn.XLOOKUP(C992,Customers!$A$2:$A$1001,Customers!$G$2:$G$1001)</f>
        <v>United States</v>
      </c>
      <c r="I992" t="str" cm="1">
        <f t="array" ref="I992:L992">_xlfn.XLOOKUP(D992,products!$A$2:$A$49,products!$B$2:$E$49)</f>
        <v>Exc</v>
      </c>
      <c r="J992" t="str">
        <v>D</v>
      </c>
      <c r="K992" s="8">
        <v>0.2</v>
      </c>
      <c r="L992" s="6">
        <v>3.645</v>
      </c>
      <c r="M992" s="7">
        <f t="shared" si="45"/>
        <v>18.225000000000001</v>
      </c>
      <c r="N992" t="str">
        <f t="shared" si="46"/>
        <v>Excelsa</v>
      </c>
      <c r="O992" t="str">
        <f t="shared" si="47"/>
        <v>Dark</v>
      </c>
      <c r="P992" t="str">
        <f>_xlfn.XLOOKUP(Orders!C992,Customers!$A$2:$A$1001,Customers!$I$2:$I$1001)</f>
        <v>No</v>
      </c>
    </row>
    <row r="993" spans="1:16" x14ac:dyDescent="0.3">
      <c r="A993" t="s">
        <v>1907</v>
      </c>
      <c r="B993" s="11">
        <v>44718</v>
      </c>
      <c r="C993" t="s">
        <v>1908</v>
      </c>
      <c r="D993" t="s">
        <v>128</v>
      </c>
      <c r="E993">
        <v>2</v>
      </c>
      <c r="F993" t="str">
        <f>_xlfn.XLOOKUP(C993,Customers!$A$2:$A$1001,Customers!$B$2:$B$1001)</f>
        <v>Marguerite Graves</v>
      </c>
      <c r="G993">
        <f>_xlfn.XLOOKUP(C993,Customers!$A$2:$A$1001,Customers!$C$2:$C$1001)</f>
        <v>0</v>
      </c>
      <c r="H993" t="str">
        <f>_xlfn.XLOOKUP(C993,Customers!$A$2:$A$1001,Customers!$G$2:$G$1001)</f>
        <v>United States</v>
      </c>
      <c r="I993" t="str" cm="1">
        <f t="array" ref="I993:L993">_xlfn.XLOOKUP(D993,products!$A$2:$A$49,products!$B$2:$E$49)</f>
        <v>Lib</v>
      </c>
      <c r="J993" t="str">
        <v>D</v>
      </c>
      <c r="K993" s="8">
        <v>0.5</v>
      </c>
      <c r="L993" s="6">
        <v>7.77</v>
      </c>
      <c r="M993" s="7">
        <f t="shared" si="45"/>
        <v>15.54</v>
      </c>
      <c r="N993" t="str">
        <f t="shared" si="46"/>
        <v>Liberica</v>
      </c>
      <c r="O993" t="str">
        <f t="shared" si="47"/>
        <v>Dark</v>
      </c>
      <c r="P993" t="str">
        <f>_xlfn.XLOOKUP(Orders!C993,Customers!$A$2:$A$1001,Customers!$I$2:$I$1001)</f>
        <v>No</v>
      </c>
    </row>
    <row r="994" spans="1:16" x14ac:dyDescent="0.3">
      <c r="A994" t="s">
        <v>1909</v>
      </c>
      <c r="B994" s="11">
        <v>44276</v>
      </c>
      <c r="C994" t="s">
        <v>1910</v>
      </c>
      <c r="D994" t="s">
        <v>109</v>
      </c>
      <c r="E994">
        <v>3</v>
      </c>
      <c r="F994" t="str">
        <f>_xlfn.XLOOKUP(C994,Customers!$A$2:$A$1001,Customers!$B$2:$B$1001)</f>
        <v>Desdemona Eye</v>
      </c>
      <c r="G994">
        <f>_xlfn.XLOOKUP(C994,Customers!$A$2:$A$1001,Customers!$C$2:$C$1001)</f>
        <v>0</v>
      </c>
      <c r="H994" t="str">
        <f>_xlfn.XLOOKUP(C994,Customers!$A$2:$A$1001,Customers!$G$2:$G$1001)</f>
        <v>Ireland</v>
      </c>
      <c r="I994" t="str" cm="1">
        <f t="array" ref="I994:L994">_xlfn.XLOOKUP(D994,products!$A$2:$A$49,products!$B$2:$E$49)</f>
        <v>Lib</v>
      </c>
      <c r="J994" t="str">
        <v>L</v>
      </c>
      <c r="K994" s="8">
        <v>2.5</v>
      </c>
      <c r="L994" s="6">
        <v>36.454999999999998</v>
      </c>
      <c r="M994" s="7">
        <f t="shared" si="45"/>
        <v>109.36499999999999</v>
      </c>
      <c r="N994" t="str">
        <f t="shared" si="46"/>
        <v>Liberica</v>
      </c>
      <c r="O994" t="str">
        <f t="shared" si="47"/>
        <v>Lite</v>
      </c>
      <c r="P994" t="str">
        <f>_xlfn.XLOOKUP(Orders!C994,Customers!$A$2:$A$1001,Customers!$I$2:$I$1001)</f>
        <v>No</v>
      </c>
    </row>
    <row r="995" spans="1:16" x14ac:dyDescent="0.3">
      <c r="A995" t="s">
        <v>1911</v>
      </c>
      <c r="B995" s="11">
        <v>44549</v>
      </c>
      <c r="C995" t="s">
        <v>1912</v>
      </c>
      <c r="D995" t="s">
        <v>11</v>
      </c>
      <c r="E995">
        <v>6</v>
      </c>
      <c r="F995" t="str">
        <f>_xlfn.XLOOKUP(C995,Customers!$A$2:$A$1001,Customers!$B$2:$B$1001)</f>
        <v>Margarette Sterland</v>
      </c>
      <c r="G995">
        <f>_xlfn.XLOOKUP(C995,Customers!$A$2:$A$1001,Customers!$C$2:$C$1001)</f>
        <v>0</v>
      </c>
      <c r="H995" t="str">
        <f>_xlfn.XLOOKUP(C995,Customers!$A$2:$A$1001,Customers!$G$2:$G$1001)</f>
        <v>United States</v>
      </c>
      <c r="I995" t="str" cm="1">
        <f t="array" ref="I995:L995">_xlfn.XLOOKUP(D995,products!$A$2:$A$49,products!$B$2:$E$49)</f>
        <v>Ara</v>
      </c>
      <c r="J995" t="str">
        <v>L</v>
      </c>
      <c r="K995" s="8">
        <v>1</v>
      </c>
      <c r="L995" s="6">
        <v>12.95</v>
      </c>
      <c r="M995" s="7">
        <f t="shared" si="45"/>
        <v>77.699999999999989</v>
      </c>
      <c r="N995" t="str">
        <f t="shared" si="46"/>
        <v>Arasbica</v>
      </c>
      <c r="O995" t="str">
        <f t="shared" si="47"/>
        <v>Lite</v>
      </c>
      <c r="P995" t="str">
        <f>_xlfn.XLOOKUP(Orders!C995,Customers!$A$2:$A$1001,Customers!$I$2:$I$1001)</f>
        <v>No</v>
      </c>
    </row>
    <row r="996" spans="1:16" x14ac:dyDescent="0.3">
      <c r="A996" t="s">
        <v>1913</v>
      </c>
      <c r="B996" s="11">
        <v>44244</v>
      </c>
      <c r="C996" t="s">
        <v>1914</v>
      </c>
      <c r="D996" t="s">
        <v>59</v>
      </c>
      <c r="E996">
        <v>3</v>
      </c>
      <c r="F996" t="str">
        <f>_xlfn.XLOOKUP(C996,Customers!$A$2:$A$1001,Customers!$B$2:$B$1001)</f>
        <v>Catharine Scoines</v>
      </c>
      <c r="G996">
        <f>_xlfn.XLOOKUP(C996,Customers!$A$2:$A$1001,Customers!$C$2:$C$1001)</f>
        <v>0</v>
      </c>
      <c r="H996" t="str">
        <f>_xlfn.XLOOKUP(C996,Customers!$A$2:$A$1001,Customers!$G$2:$G$1001)</f>
        <v>Ireland</v>
      </c>
      <c r="I996" t="str" cm="1">
        <f t="array" ref="I996:L996">_xlfn.XLOOKUP(D996,products!$A$2:$A$49,products!$B$2:$E$49)</f>
        <v>Ara</v>
      </c>
      <c r="J996" t="str">
        <v>D</v>
      </c>
      <c r="K996" s="8">
        <v>0.2</v>
      </c>
      <c r="L996" s="6">
        <v>2.9849999999999999</v>
      </c>
      <c r="M996" s="7">
        <f t="shared" si="45"/>
        <v>8.9550000000000001</v>
      </c>
      <c r="N996" t="str">
        <f t="shared" si="46"/>
        <v>Arasbica</v>
      </c>
      <c r="O996" t="str">
        <f t="shared" si="47"/>
        <v>Dark</v>
      </c>
      <c r="P996" t="str">
        <f>_xlfn.XLOOKUP(Orders!C996,Customers!$A$2:$A$1001,Customers!$I$2:$I$1001)</f>
        <v>No</v>
      </c>
    </row>
    <row r="997" spans="1:16" x14ac:dyDescent="0.3">
      <c r="A997" t="s">
        <v>1915</v>
      </c>
      <c r="B997" s="11">
        <v>43836</v>
      </c>
      <c r="C997" t="s">
        <v>1916</v>
      </c>
      <c r="D997" t="s">
        <v>15</v>
      </c>
      <c r="E997">
        <v>1</v>
      </c>
      <c r="F997" t="str">
        <f>_xlfn.XLOOKUP(C997,Customers!$A$2:$A$1001,Customers!$B$2:$B$1001)</f>
        <v>Jennica Tewelson</v>
      </c>
      <c r="G997" t="str">
        <f>_xlfn.XLOOKUP(C997,Customers!$A$2:$A$1001,Customers!$C$2:$C$1001)</f>
        <v>jtewelsonrn@samsung.com</v>
      </c>
      <c r="H997" t="str">
        <f>_xlfn.XLOOKUP(C997,Customers!$A$2:$A$1001,Customers!$G$2:$G$1001)</f>
        <v>United States</v>
      </c>
      <c r="I997" t="str" cm="1">
        <f t="array" ref="I997:L997">_xlfn.XLOOKUP(D997,products!$A$2:$A$49,products!$B$2:$E$49)</f>
        <v>Rob</v>
      </c>
      <c r="J997" t="str">
        <v>L</v>
      </c>
      <c r="K997" s="8">
        <v>2.5</v>
      </c>
      <c r="L997" s="6">
        <v>27.484999999999996</v>
      </c>
      <c r="M997" s="7">
        <f t="shared" si="45"/>
        <v>27.484999999999996</v>
      </c>
      <c r="N997" t="str">
        <f t="shared" si="46"/>
        <v>Robusta</v>
      </c>
      <c r="O997" t="str">
        <f t="shared" si="47"/>
        <v>Lite</v>
      </c>
      <c r="P997" t="str">
        <f>_xlfn.XLOOKUP(Orders!C997,Customers!$A$2:$A$1001,Customers!$I$2:$I$1001)</f>
        <v>No</v>
      </c>
    </row>
    <row r="998" spans="1:16" x14ac:dyDescent="0.3">
      <c r="A998" t="s">
        <v>1917</v>
      </c>
      <c r="B998" s="11">
        <v>44685</v>
      </c>
      <c r="C998" t="s">
        <v>1908</v>
      </c>
      <c r="D998" t="s">
        <v>27</v>
      </c>
      <c r="E998">
        <v>5</v>
      </c>
      <c r="F998" t="str">
        <f>_xlfn.XLOOKUP(C998,Customers!$A$2:$A$1001,Customers!$B$2:$B$1001)</f>
        <v>Marguerite Graves</v>
      </c>
      <c r="G998">
        <f>_xlfn.XLOOKUP(C998,Customers!$A$2:$A$1001,Customers!$C$2:$C$1001)</f>
        <v>0</v>
      </c>
      <c r="H998" t="str">
        <f>_xlfn.XLOOKUP(C998,Customers!$A$2:$A$1001,Customers!$G$2:$G$1001)</f>
        <v>United States</v>
      </c>
      <c r="I998" t="str" cm="1">
        <f t="array" ref="I998:L998">_xlfn.XLOOKUP(D998,products!$A$2:$A$49,products!$B$2:$E$49)</f>
        <v>Rob</v>
      </c>
      <c r="J998" t="str">
        <v>M</v>
      </c>
      <c r="K998" s="8">
        <v>0.5</v>
      </c>
      <c r="L998" s="6">
        <v>5.97</v>
      </c>
      <c r="M998" s="7">
        <f t="shared" si="45"/>
        <v>29.849999999999998</v>
      </c>
      <c r="N998" t="str">
        <f t="shared" si="46"/>
        <v>Robusta</v>
      </c>
      <c r="O998" t="str">
        <f t="shared" si="47"/>
        <v>Medium</v>
      </c>
      <c r="P998" t="str">
        <f>_xlfn.XLOOKUP(Orders!C998,Customers!$A$2:$A$1001,Customers!$I$2:$I$1001)</f>
        <v>No</v>
      </c>
    </row>
    <row r="999" spans="1:16" x14ac:dyDescent="0.3">
      <c r="A999" t="s">
        <v>1918</v>
      </c>
      <c r="B999" s="11">
        <v>43749</v>
      </c>
      <c r="C999" t="s">
        <v>1908</v>
      </c>
      <c r="D999" t="s">
        <v>72</v>
      </c>
      <c r="E999">
        <v>4</v>
      </c>
      <c r="F999" t="str">
        <f>_xlfn.XLOOKUP(C999,Customers!$A$2:$A$1001,Customers!$B$2:$B$1001)</f>
        <v>Marguerite Graves</v>
      </c>
      <c r="G999">
        <f>_xlfn.XLOOKUP(C999,Customers!$A$2:$A$1001,Customers!$C$2:$C$1001)</f>
        <v>0</v>
      </c>
      <c r="H999" t="str">
        <f>_xlfn.XLOOKUP(C999,Customers!$A$2:$A$1001,Customers!$G$2:$G$1001)</f>
        <v>United States</v>
      </c>
      <c r="I999" t="str" cm="1">
        <f t="array" ref="I999:L999">_xlfn.XLOOKUP(D999,products!$A$2:$A$49,products!$B$2:$E$49)</f>
        <v>Ara</v>
      </c>
      <c r="J999" t="str">
        <v>M</v>
      </c>
      <c r="K999" s="8">
        <v>0.5</v>
      </c>
      <c r="L999" s="6">
        <v>6.75</v>
      </c>
      <c r="M999" s="7">
        <f t="shared" si="45"/>
        <v>27</v>
      </c>
      <c r="N999" t="str">
        <f t="shared" si="46"/>
        <v>Arasbica</v>
      </c>
      <c r="O999" t="str">
        <f t="shared" si="47"/>
        <v>Medium</v>
      </c>
      <c r="P999" t="str">
        <f>_xlfn.XLOOKUP(Orders!C999,Customers!$A$2:$A$1001,Customers!$I$2:$I$1001)</f>
        <v>No</v>
      </c>
    </row>
    <row r="1000" spans="1:16" x14ac:dyDescent="0.3">
      <c r="A1000" t="s">
        <v>1919</v>
      </c>
      <c r="B1000" s="11">
        <v>44411</v>
      </c>
      <c r="C1000" t="s">
        <v>1920</v>
      </c>
      <c r="D1000" t="s">
        <v>32</v>
      </c>
      <c r="E1000">
        <v>1</v>
      </c>
      <c r="F1000" t="str">
        <f>_xlfn.XLOOKUP(C1000,Customers!$A$2:$A$1001,Customers!$B$2:$B$1001)</f>
        <v>Nicolina Jenny</v>
      </c>
      <c r="G1000" t="str">
        <f>_xlfn.XLOOKUP(C1000,Customers!$A$2:$A$1001,Customers!$C$2:$C$1001)</f>
        <v>njennyrq@bigcartel.com</v>
      </c>
      <c r="H1000" t="str">
        <f>_xlfn.XLOOKUP(C1000,Customers!$A$2:$A$1001,Customers!$G$2:$G$1001)</f>
        <v>United States</v>
      </c>
      <c r="I1000" t="str" cm="1">
        <f t="array" ref="I1000:L1000">_xlfn.XLOOKUP(D1000,products!$A$2:$A$49,products!$B$2:$E$49)</f>
        <v>Ara</v>
      </c>
      <c r="J1000" t="str">
        <v>D</v>
      </c>
      <c r="K1000" s="8">
        <v>1</v>
      </c>
      <c r="L1000" s="6">
        <v>9.9499999999999993</v>
      </c>
      <c r="M1000" s="7">
        <f t="shared" si="45"/>
        <v>9.9499999999999993</v>
      </c>
      <c r="N1000" t="str">
        <f t="shared" si="46"/>
        <v>Arasbica</v>
      </c>
      <c r="O1000" t="str">
        <f>IF(J1000="M","Medium",IF(J1000="L","Lite",IF(J1000="D","Dark")))</f>
        <v>Dark</v>
      </c>
      <c r="P1000" t="str">
        <f>_xlfn.XLOOKUP(Orders!C1000,Customers!$A$2:$A$1001,Customers!$I$2:$I$1001)</f>
        <v>No</v>
      </c>
    </row>
    <row r="1001" spans="1:16" x14ac:dyDescent="0.3">
      <c r="A1001" t="s">
        <v>1921</v>
      </c>
      <c r="B1001" s="12">
        <v>44119</v>
      </c>
      <c r="C1001" t="s">
        <v>1922</v>
      </c>
      <c r="D1001" t="s">
        <v>69</v>
      </c>
      <c r="E1001">
        <v>3</v>
      </c>
      <c r="F1001" t="str">
        <f>_xlfn.XLOOKUP(C1001,Customers!$A$2:$A$1001,Customers!$B$2:$B$1001)</f>
        <v>Vidovic Antonelli</v>
      </c>
      <c r="G1001">
        <f>_xlfn.XLOOKUP(C1001,Customers!$A$2:$A$1001,Customers!$C$2:$C$1001)</f>
        <v>0</v>
      </c>
      <c r="H1001" t="str">
        <f>_xlfn.XLOOKUP(C1001,Customers!$A$2:$A$1001,Customers!$G$2:$G$1001)</f>
        <v>United Kingdom</v>
      </c>
      <c r="I1001" t="str" cm="1">
        <f t="array" ref="I1001:L1001">_xlfn.XLOOKUP(D1001,products!$A$2:$A$49,products!$B$2:$E$49)</f>
        <v>Exc</v>
      </c>
      <c r="J1001" t="str">
        <v>M</v>
      </c>
      <c r="K1001" s="8">
        <v>0.2</v>
      </c>
      <c r="L1001" s="6">
        <v>4.125</v>
      </c>
      <c r="M1001" s="7">
        <f>E1001*L1001</f>
        <v>12.375</v>
      </c>
      <c r="N1001" t="str">
        <f t="shared" si="46"/>
        <v>Excelsa</v>
      </c>
      <c r="O1001" t="str">
        <f t="shared" ref="O1001" si="48">IF(J1001="M","Medium",IF(J1001="L","Lite",IF(J1001="D","Dark")))</f>
        <v>Medium</v>
      </c>
      <c r="P1001" t="str">
        <f>_xlfn.XLOOKUP(Orders!C1001,Customers!$A$2:$A$1001,Customers!$I$2:$I$1001)</f>
        <v>Yes</v>
      </c>
    </row>
  </sheetData>
  <autoFilter ref="A1:P1001" xr:uid="{D4AD229B-CC65-426A-A439-34C701D80B1D}"/>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D1442-06FD-4BA9-95BF-4442030E9A5D}">
  <dimension ref="A1:H49"/>
  <sheetViews>
    <sheetView workbookViewId="0">
      <selection activeCell="K43" sqref="K43"/>
    </sheetView>
  </sheetViews>
  <sheetFormatPr defaultRowHeight="14.4" x14ac:dyDescent="0.3"/>
  <cols>
    <col min="1" max="1" width="9.5546875" bestFit="1" customWidth="1"/>
    <col min="2" max="2" width="13.109375" bestFit="1" customWidth="1"/>
    <col min="3" max="3" width="12.21875" bestFit="1" customWidth="1"/>
    <col min="4" max="4" width="6.33203125" bestFit="1" customWidth="1"/>
    <col min="5" max="5" width="11.109375" bestFit="1" customWidth="1"/>
    <col min="6" max="6" width="14.6640625" bestFit="1" customWidth="1"/>
    <col min="7" max="7" width="8" bestFit="1" customWidth="1"/>
  </cols>
  <sheetData>
    <row r="1" spans="1:8" x14ac:dyDescent="0.3">
      <c r="A1" s="4" t="s">
        <v>3</v>
      </c>
      <c r="B1" s="4" t="s">
        <v>6182</v>
      </c>
      <c r="C1" s="4" t="s">
        <v>6183</v>
      </c>
      <c r="D1" s="4" t="s">
        <v>6184</v>
      </c>
      <c r="E1" s="4" t="s">
        <v>6185</v>
      </c>
      <c r="F1" s="4" t="s">
        <v>6186</v>
      </c>
      <c r="G1" s="4" t="s">
        <v>6187</v>
      </c>
      <c r="H1" s="4" t="s">
        <v>6222</v>
      </c>
    </row>
    <row r="2" spans="1:8" x14ac:dyDescent="0.3">
      <c r="A2" t="s">
        <v>120</v>
      </c>
      <c r="B2" t="s">
        <v>6188</v>
      </c>
      <c r="C2" t="s">
        <v>6189</v>
      </c>
      <c r="D2" s="2">
        <v>0.2</v>
      </c>
      <c r="E2">
        <v>3.8849999999999998</v>
      </c>
      <c r="F2">
        <v>1.9424999999999999</v>
      </c>
      <c r="G2">
        <v>0.34964999999999996</v>
      </c>
      <c r="H2" t="str">
        <f>IF(C2="L","Lite",IF(C2="M","Medium",IF(C2="D","Dark")))</f>
        <v>Lite</v>
      </c>
    </row>
    <row r="3" spans="1:8" x14ac:dyDescent="0.3">
      <c r="A3" t="s">
        <v>197</v>
      </c>
      <c r="B3" t="s">
        <v>6188</v>
      </c>
      <c r="C3" t="s">
        <v>6189</v>
      </c>
      <c r="D3" s="2">
        <v>0.5</v>
      </c>
      <c r="E3">
        <v>7.77</v>
      </c>
      <c r="F3">
        <v>1.5539999999999998</v>
      </c>
      <c r="G3">
        <v>0.69929999999999992</v>
      </c>
      <c r="H3" t="str">
        <f t="shared" ref="H3:H49" si="0">IF(C3="L","Lite",IF(C3="M","Medium",IF(C3="D","Dark")))</f>
        <v>Lite</v>
      </c>
    </row>
    <row r="4" spans="1:8" x14ac:dyDescent="0.3">
      <c r="A4" t="s">
        <v>11</v>
      </c>
      <c r="B4" t="s">
        <v>6188</v>
      </c>
      <c r="C4" t="s">
        <v>6189</v>
      </c>
      <c r="D4" s="2">
        <v>1</v>
      </c>
      <c r="E4">
        <v>12.95</v>
      </c>
      <c r="F4">
        <v>1.2949999999999999</v>
      </c>
      <c r="G4">
        <v>1.1655</v>
      </c>
      <c r="H4" t="str">
        <f t="shared" si="0"/>
        <v>Lite</v>
      </c>
    </row>
    <row r="5" spans="1:8" x14ac:dyDescent="0.3">
      <c r="A5" t="s">
        <v>209</v>
      </c>
      <c r="B5" t="s">
        <v>6188</v>
      </c>
      <c r="C5" t="s">
        <v>6189</v>
      </c>
      <c r="D5" s="2">
        <v>2.5</v>
      </c>
      <c r="E5">
        <v>29.784999999999997</v>
      </c>
      <c r="F5">
        <v>1.1913999999999998</v>
      </c>
      <c r="G5">
        <v>2.6806499999999995</v>
      </c>
      <c r="H5" t="str">
        <f t="shared" si="0"/>
        <v>Lite</v>
      </c>
    </row>
    <row r="6" spans="1:8" x14ac:dyDescent="0.3">
      <c r="A6" t="s">
        <v>49</v>
      </c>
      <c r="B6" t="s">
        <v>6188</v>
      </c>
      <c r="C6" t="s">
        <v>6190</v>
      </c>
      <c r="D6" s="2">
        <v>0.2</v>
      </c>
      <c r="E6">
        <v>3.375</v>
      </c>
      <c r="F6">
        <v>1.6875</v>
      </c>
      <c r="G6">
        <v>0.30374999999999996</v>
      </c>
      <c r="H6" t="str">
        <f t="shared" si="0"/>
        <v>Medium</v>
      </c>
    </row>
    <row r="7" spans="1:8" x14ac:dyDescent="0.3">
      <c r="A7" t="s">
        <v>72</v>
      </c>
      <c r="B7" t="s">
        <v>6188</v>
      </c>
      <c r="C7" t="s">
        <v>6190</v>
      </c>
      <c r="D7" s="2">
        <v>0.5</v>
      </c>
      <c r="E7">
        <v>6.75</v>
      </c>
      <c r="F7">
        <v>1.35</v>
      </c>
      <c r="G7">
        <v>0.60749999999999993</v>
      </c>
      <c r="H7" t="str">
        <f t="shared" si="0"/>
        <v>Medium</v>
      </c>
    </row>
    <row r="8" spans="1:8" x14ac:dyDescent="0.3">
      <c r="A8" t="s">
        <v>66</v>
      </c>
      <c r="B8" t="s">
        <v>6188</v>
      </c>
      <c r="C8" t="s">
        <v>6190</v>
      </c>
      <c r="D8" s="2">
        <v>1</v>
      </c>
      <c r="E8">
        <v>11.25</v>
      </c>
      <c r="F8">
        <v>1.125</v>
      </c>
      <c r="G8">
        <v>1.0125</v>
      </c>
      <c r="H8" t="str">
        <f t="shared" si="0"/>
        <v>Medium</v>
      </c>
    </row>
    <row r="9" spans="1:8" x14ac:dyDescent="0.3">
      <c r="A9" t="s">
        <v>176</v>
      </c>
      <c r="B9" t="s">
        <v>6188</v>
      </c>
      <c r="C9" t="s">
        <v>6190</v>
      </c>
      <c r="D9" s="2">
        <v>2.5</v>
      </c>
      <c r="E9">
        <v>25.874999999999996</v>
      </c>
      <c r="F9">
        <v>1.0349999999999999</v>
      </c>
      <c r="G9">
        <v>2.3287499999999994</v>
      </c>
      <c r="H9" t="str">
        <f t="shared" si="0"/>
        <v>Medium</v>
      </c>
    </row>
    <row r="10" spans="1:8" x14ac:dyDescent="0.3">
      <c r="A10" t="s">
        <v>59</v>
      </c>
      <c r="B10" t="s">
        <v>6188</v>
      </c>
      <c r="C10" t="s">
        <v>6191</v>
      </c>
      <c r="D10" s="2">
        <v>0.2</v>
      </c>
      <c r="E10">
        <v>2.9849999999999999</v>
      </c>
      <c r="F10">
        <v>1.4924999999999999</v>
      </c>
      <c r="G10">
        <v>0.26865</v>
      </c>
      <c r="H10" t="str">
        <f t="shared" si="0"/>
        <v>Dark</v>
      </c>
    </row>
    <row r="11" spans="1:8" x14ac:dyDescent="0.3">
      <c r="A11" t="s">
        <v>77</v>
      </c>
      <c r="B11" t="s">
        <v>6188</v>
      </c>
      <c r="C11" t="s">
        <v>6191</v>
      </c>
      <c r="D11" s="2">
        <v>0.5</v>
      </c>
      <c r="E11">
        <v>5.97</v>
      </c>
      <c r="F11">
        <v>1.194</v>
      </c>
      <c r="G11">
        <v>0.5373</v>
      </c>
      <c r="H11" t="str">
        <f t="shared" si="0"/>
        <v>Dark</v>
      </c>
    </row>
    <row r="12" spans="1:8" x14ac:dyDescent="0.3">
      <c r="A12" t="s">
        <v>32</v>
      </c>
      <c r="B12" t="s">
        <v>6188</v>
      </c>
      <c r="C12" t="s">
        <v>6191</v>
      </c>
      <c r="D12" s="2">
        <v>1</v>
      </c>
      <c r="E12">
        <v>9.9499999999999993</v>
      </c>
      <c r="F12">
        <v>0.99499999999999988</v>
      </c>
      <c r="G12">
        <v>0.89549999999999985</v>
      </c>
      <c r="H12" t="str">
        <f t="shared" si="0"/>
        <v>Dark</v>
      </c>
    </row>
    <row r="13" spans="1:8" x14ac:dyDescent="0.3">
      <c r="A13" t="s">
        <v>123</v>
      </c>
      <c r="B13" t="s">
        <v>6188</v>
      </c>
      <c r="C13" t="s">
        <v>6191</v>
      </c>
      <c r="D13" s="2">
        <v>2.5</v>
      </c>
      <c r="E13">
        <v>22.884999999999998</v>
      </c>
      <c r="F13">
        <v>0.91539999999999988</v>
      </c>
      <c r="G13">
        <v>2.0596499999999995</v>
      </c>
      <c r="H13" t="str">
        <f t="shared" si="0"/>
        <v>Dark</v>
      </c>
    </row>
    <row r="14" spans="1:8" x14ac:dyDescent="0.3">
      <c r="A14" t="s">
        <v>187</v>
      </c>
      <c r="B14" t="s">
        <v>6192</v>
      </c>
      <c r="C14" t="s">
        <v>6189</v>
      </c>
      <c r="D14" s="2">
        <v>0.2</v>
      </c>
      <c r="E14">
        <v>3.5849999999999995</v>
      </c>
      <c r="F14">
        <v>1.7924999999999998</v>
      </c>
      <c r="G14">
        <v>0.21509999999999996</v>
      </c>
      <c r="H14" t="str">
        <f t="shared" si="0"/>
        <v>Lite</v>
      </c>
    </row>
    <row r="15" spans="1:8" x14ac:dyDescent="0.3">
      <c r="A15" t="s">
        <v>162</v>
      </c>
      <c r="B15" t="s">
        <v>6192</v>
      </c>
      <c r="C15" t="s">
        <v>6189</v>
      </c>
      <c r="D15" s="2">
        <v>0.5</v>
      </c>
      <c r="E15">
        <v>7.169999999999999</v>
      </c>
      <c r="F15">
        <v>1.4339999999999997</v>
      </c>
      <c r="G15">
        <v>0.43019999999999992</v>
      </c>
      <c r="H15" t="str">
        <f t="shared" si="0"/>
        <v>Lite</v>
      </c>
    </row>
    <row r="16" spans="1:8" x14ac:dyDescent="0.3">
      <c r="A16" t="s">
        <v>194</v>
      </c>
      <c r="B16" t="s">
        <v>6192</v>
      </c>
      <c r="C16" t="s">
        <v>6189</v>
      </c>
      <c r="D16" s="2">
        <v>1</v>
      </c>
      <c r="E16">
        <v>11.95</v>
      </c>
      <c r="F16">
        <v>1.1949999999999998</v>
      </c>
      <c r="G16">
        <v>0.71699999999999997</v>
      </c>
      <c r="H16" t="str">
        <f t="shared" si="0"/>
        <v>Lite</v>
      </c>
    </row>
    <row r="17" spans="1:8" x14ac:dyDescent="0.3">
      <c r="A17" t="s">
        <v>15</v>
      </c>
      <c r="B17" t="s">
        <v>6192</v>
      </c>
      <c r="C17" t="s">
        <v>6189</v>
      </c>
      <c r="D17" s="2">
        <v>2.5</v>
      </c>
      <c r="E17">
        <v>27.484999999999996</v>
      </c>
      <c r="F17">
        <v>1.0993999999999999</v>
      </c>
      <c r="G17">
        <v>1.6490999999999998</v>
      </c>
      <c r="H17" t="str">
        <f t="shared" si="0"/>
        <v>Lite</v>
      </c>
    </row>
    <row r="18" spans="1:8" x14ac:dyDescent="0.3">
      <c r="A18" t="s">
        <v>167</v>
      </c>
      <c r="B18" t="s">
        <v>6192</v>
      </c>
      <c r="C18" t="s">
        <v>6190</v>
      </c>
      <c r="D18" s="2">
        <v>0.2</v>
      </c>
      <c r="E18">
        <v>2.9849999999999999</v>
      </c>
      <c r="F18">
        <v>1.4924999999999999</v>
      </c>
      <c r="G18">
        <v>0.17909999999999998</v>
      </c>
      <c r="H18" t="str">
        <f t="shared" si="0"/>
        <v>Medium</v>
      </c>
    </row>
    <row r="19" spans="1:8" x14ac:dyDescent="0.3">
      <c r="A19" t="s">
        <v>27</v>
      </c>
      <c r="B19" t="s">
        <v>6192</v>
      </c>
      <c r="C19" t="s">
        <v>6190</v>
      </c>
      <c r="D19" s="2">
        <v>0.5</v>
      </c>
      <c r="E19">
        <v>5.97</v>
      </c>
      <c r="F19">
        <v>1.194</v>
      </c>
      <c r="G19">
        <v>0.35819999999999996</v>
      </c>
      <c r="H19" t="str">
        <f t="shared" si="0"/>
        <v>Medium</v>
      </c>
    </row>
    <row r="20" spans="1:8" x14ac:dyDescent="0.3">
      <c r="A20" t="s">
        <v>7</v>
      </c>
      <c r="B20" t="s">
        <v>6192</v>
      </c>
      <c r="C20" t="s">
        <v>6190</v>
      </c>
      <c r="D20" s="2">
        <v>1</v>
      </c>
      <c r="E20">
        <v>9.9499999999999993</v>
      </c>
      <c r="F20">
        <v>0.99499999999999988</v>
      </c>
      <c r="G20">
        <v>0.59699999999999998</v>
      </c>
      <c r="H20" t="str">
        <f t="shared" si="0"/>
        <v>Medium</v>
      </c>
    </row>
    <row r="21" spans="1:8" x14ac:dyDescent="0.3">
      <c r="A21" t="s">
        <v>46</v>
      </c>
      <c r="B21" t="s">
        <v>6192</v>
      </c>
      <c r="C21" t="s">
        <v>6190</v>
      </c>
      <c r="D21" s="2">
        <v>2.5</v>
      </c>
      <c r="E21">
        <v>22.884999999999998</v>
      </c>
      <c r="F21">
        <v>0.91539999999999988</v>
      </c>
      <c r="G21">
        <v>1.3730999999999998</v>
      </c>
      <c r="H21" t="str">
        <f t="shared" si="0"/>
        <v>Medium</v>
      </c>
    </row>
    <row r="22" spans="1:8" x14ac:dyDescent="0.3">
      <c r="A22" t="s">
        <v>106</v>
      </c>
      <c r="B22" t="s">
        <v>6192</v>
      </c>
      <c r="C22" t="s">
        <v>6191</v>
      </c>
      <c r="D22" s="2">
        <v>0.2</v>
      </c>
      <c r="E22">
        <v>2.6849999999999996</v>
      </c>
      <c r="F22">
        <v>1.3424999999999998</v>
      </c>
      <c r="G22">
        <v>0.16109999999999997</v>
      </c>
      <c r="H22" t="str">
        <f t="shared" si="0"/>
        <v>Dark</v>
      </c>
    </row>
    <row r="23" spans="1:8" x14ac:dyDescent="0.3">
      <c r="A23" t="s">
        <v>151</v>
      </c>
      <c r="B23" t="s">
        <v>6192</v>
      </c>
      <c r="C23" t="s">
        <v>6191</v>
      </c>
      <c r="D23" s="2">
        <v>0.5</v>
      </c>
      <c r="E23">
        <v>5.3699999999999992</v>
      </c>
      <c r="F23">
        <v>1.0739999999999998</v>
      </c>
      <c r="G23">
        <v>0.32219999999999993</v>
      </c>
      <c r="H23" t="str">
        <f t="shared" si="0"/>
        <v>Dark</v>
      </c>
    </row>
    <row r="24" spans="1:8" x14ac:dyDescent="0.3">
      <c r="A24" t="s">
        <v>184</v>
      </c>
      <c r="B24" t="s">
        <v>6192</v>
      </c>
      <c r="C24" t="s">
        <v>6191</v>
      </c>
      <c r="D24" s="2">
        <v>1</v>
      </c>
      <c r="E24">
        <v>8.9499999999999993</v>
      </c>
      <c r="F24">
        <v>0.89499999999999991</v>
      </c>
      <c r="G24">
        <v>0.53699999999999992</v>
      </c>
      <c r="H24" t="str">
        <f t="shared" si="0"/>
        <v>Dark</v>
      </c>
    </row>
    <row r="25" spans="1:8" x14ac:dyDescent="0.3">
      <c r="A25" t="s">
        <v>40</v>
      </c>
      <c r="B25" t="s">
        <v>6192</v>
      </c>
      <c r="C25" t="s">
        <v>6191</v>
      </c>
      <c r="D25" s="2">
        <v>2.5</v>
      </c>
      <c r="E25">
        <v>20.584999999999997</v>
      </c>
      <c r="F25">
        <v>0.82339999999999991</v>
      </c>
      <c r="G25">
        <v>1.2350999999999999</v>
      </c>
      <c r="H25" t="str">
        <f t="shared" si="0"/>
        <v>Dark</v>
      </c>
    </row>
    <row r="26" spans="1:8" x14ac:dyDescent="0.3">
      <c r="A26" t="s">
        <v>24</v>
      </c>
      <c r="B26" t="s">
        <v>6193</v>
      </c>
      <c r="C26" t="s">
        <v>6189</v>
      </c>
      <c r="D26" s="2">
        <v>0.2</v>
      </c>
      <c r="E26">
        <v>4.7549999999999999</v>
      </c>
      <c r="F26">
        <v>2.3774999999999999</v>
      </c>
      <c r="G26">
        <v>0.61814999999999998</v>
      </c>
      <c r="H26" t="str">
        <f t="shared" si="0"/>
        <v>Lite</v>
      </c>
    </row>
    <row r="27" spans="1:8" x14ac:dyDescent="0.3">
      <c r="A27" t="s">
        <v>88</v>
      </c>
      <c r="B27" t="s">
        <v>6193</v>
      </c>
      <c r="C27" t="s">
        <v>6189</v>
      </c>
      <c r="D27" s="2">
        <v>0.5</v>
      </c>
      <c r="E27">
        <v>9.51</v>
      </c>
      <c r="F27">
        <v>1.9019999999999999</v>
      </c>
      <c r="G27">
        <v>1.2363</v>
      </c>
      <c r="H27" t="str">
        <f t="shared" si="0"/>
        <v>Lite</v>
      </c>
    </row>
    <row r="28" spans="1:8" x14ac:dyDescent="0.3">
      <c r="A28" t="s">
        <v>137</v>
      </c>
      <c r="B28" t="s">
        <v>6193</v>
      </c>
      <c r="C28" t="s">
        <v>6189</v>
      </c>
      <c r="D28" s="2">
        <v>1</v>
      </c>
      <c r="E28">
        <v>15.85</v>
      </c>
      <c r="F28">
        <v>1.585</v>
      </c>
      <c r="G28">
        <v>2.0605000000000002</v>
      </c>
      <c r="H28" t="str">
        <f t="shared" si="0"/>
        <v>Lite</v>
      </c>
    </row>
    <row r="29" spans="1:8" x14ac:dyDescent="0.3">
      <c r="A29" t="s">
        <v>109</v>
      </c>
      <c r="B29" t="s">
        <v>6193</v>
      </c>
      <c r="C29" t="s">
        <v>6189</v>
      </c>
      <c r="D29" s="2">
        <v>2.5</v>
      </c>
      <c r="E29">
        <v>36.454999999999998</v>
      </c>
      <c r="F29">
        <v>1.4581999999999999</v>
      </c>
      <c r="G29">
        <v>4.7391499999999995</v>
      </c>
      <c r="H29" t="str">
        <f t="shared" si="0"/>
        <v>Lite</v>
      </c>
    </row>
    <row r="30" spans="1:8" x14ac:dyDescent="0.3">
      <c r="A30" t="s">
        <v>82</v>
      </c>
      <c r="B30" t="s">
        <v>6193</v>
      </c>
      <c r="C30" t="s">
        <v>6190</v>
      </c>
      <c r="D30" s="2">
        <v>0.2</v>
      </c>
      <c r="E30">
        <v>4.3650000000000002</v>
      </c>
      <c r="F30">
        <v>2.1825000000000001</v>
      </c>
      <c r="G30">
        <v>0.56745000000000001</v>
      </c>
      <c r="H30" t="str">
        <f t="shared" si="0"/>
        <v>Medium</v>
      </c>
    </row>
    <row r="31" spans="1:8" x14ac:dyDescent="0.3">
      <c r="A31" t="s">
        <v>83</v>
      </c>
      <c r="B31" t="s">
        <v>6193</v>
      </c>
      <c r="C31" t="s">
        <v>6190</v>
      </c>
      <c r="D31" s="2">
        <v>0.5</v>
      </c>
      <c r="E31">
        <v>8.73</v>
      </c>
      <c r="F31">
        <v>1.746</v>
      </c>
      <c r="G31">
        <v>1.1349</v>
      </c>
      <c r="H31" t="str">
        <f t="shared" si="0"/>
        <v>Medium</v>
      </c>
    </row>
    <row r="32" spans="1:8" x14ac:dyDescent="0.3">
      <c r="A32" t="s">
        <v>101</v>
      </c>
      <c r="B32" t="s">
        <v>6193</v>
      </c>
      <c r="C32" t="s">
        <v>6190</v>
      </c>
      <c r="D32" s="2">
        <v>1</v>
      </c>
      <c r="E32">
        <v>14.55</v>
      </c>
      <c r="F32">
        <v>1.4550000000000001</v>
      </c>
      <c r="G32">
        <v>1.8915000000000002</v>
      </c>
      <c r="H32" t="str">
        <f t="shared" si="0"/>
        <v>Medium</v>
      </c>
    </row>
    <row r="33" spans="1:8" x14ac:dyDescent="0.3">
      <c r="A33" t="s">
        <v>202</v>
      </c>
      <c r="B33" t="s">
        <v>6193</v>
      </c>
      <c r="C33" t="s">
        <v>6190</v>
      </c>
      <c r="D33" s="2">
        <v>2.5</v>
      </c>
      <c r="E33">
        <v>33.464999999999996</v>
      </c>
      <c r="F33">
        <v>1.3385999999999998</v>
      </c>
      <c r="G33">
        <v>4.3504499999999995</v>
      </c>
      <c r="H33" t="str">
        <f t="shared" si="0"/>
        <v>Medium</v>
      </c>
    </row>
    <row r="34" spans="1:8" x14ac:dyDescent="0.3">
      <c r="A34" t="s">
        <v>43</v>
      </c>
      <c r="B34" t="s">
        <v>6193</v>
      </c>
      <c r="C34" t="s">
        <v>6191</v>
      </c>
      <c r="D34" s="2">
        <v>0.2</v>
      </c>
      <c r="E34">
        <v>3.8849999999999998</v>
      </c>
      <c r="F34">
        <v>1.9424999999999999</v>
      </c>
      <c r="G34">
        <v>0.50505</v>
      </c>
      <c r="H34" t="str">
        <f t="shared" si="0"/>
        <v>Dark</v>
      </c>
    </row>
    <row r="35" spans="1:8" x14ac:dyDescent="0.3">
      <c r="A35" t="s">
        <v>128</v>
      </c>
      <c r="B35" t="s">
        <v>6193</v>
      </c>
      <c r="C35" t="s">
        <v>6191</v>
      </c>
      <c r="D35" s="2">
        <v>0.5</v>
      </c>
      <c r="E35">
        <v>7.77</v>
      </c>
      <c r="F35">
        <v>1.5539999999999998</v>
      </c>
      <c r="G35">
        <v>1.0101</v>
      </c>
      <c r="H35" t="str">
        <f t="shared" si="0"/>
        <v>Dark</v>
      </c>
    </row>
    <row r="36" spans="1:8" x14ac:dyDescent="0.3">
      <c r="A36" t="s">
        <v>18</v>
      </c>
      <c r="B36" t="s">
        <v>6193</v>
      </c>
      <c r="C36" t="s">
        <v>6191</v>
      </c>
      <c r="D36" s="2">
        <v>1</v>
      </c>
      <c r="E36">
        <v>12.95</v>
      </c>
      <c r="F36">
        <v>1.2949999999999999</v>
      </c>
      <c r="G36">
        <v>1.6835</v>
      </c>
      <c r="H36" t="str">
        <f t="shared" si="0"/>
        <v>Dark</v>
      </c>
    </row>
    <row r="37" spans="1:8" x14ac:dyDescent="0.3">
      <c r="A37" t="s">
        <v>114</v>
      </c>
      <c r="B37" t="s">
        <v>6193</v>
      </c>
      <c r="C37" t="s">
        <v>6191</v>
      </c>
      <c r="D37" s="2">
        <v>2.5</v>
      </c>
      <c r="E37">
        <v>29.784999999999997</v>
      </c>
      <c r="F37">
        <v>1.1913999999999998</v>
      </c>
      <c r="G37">
        <v>3.8720499999999998</v>
      </c>
      <c r="H37" t="str">
        <f t="shared" si="0"/>
        <v>Dark</v>
      </c>
    </row>
    <row r="38" spans="1:8" x14ac:dyDescent="0.3">
      <c r="A38" t="s">
        <v>259</v>
      </c>
      <c r="B38" t="s">
        <v>6194</v>
      </c>
      <c r="C38" t="s">
        <v>6189</v>
      </c>
      <c r="D38" s="2">
        <v>0.2</v>
      </c>
      <c r="E38">
        <v>4.4550000000000001</v>
      </c>
      <c r="F38">
        <v>2.2275</v>
      </c>
      <c r="G38">
        <v>0.49004999999999999</v>
      </c>
      <c r="H38" t="str">
        <f t="shared" si="0"/>
        <v>Lite</v>
      </c>
    </row>
    <row r="39" spans="1:8" x14ac:dyDescent="0.3">
      <c r="A39" t="s">
        <v>181</v>
      </c>
      <c r="B39" t="s">
        <v>6194</v>
      </c>
      <c r="C39" t="s">
        <v>6189</v>
      </c>
      <c r="D39" s="2">
        <v>0.5</v>
      </c>
      <c r="E39">
        <v>8.91</v>
      </c>
      <c r="F39">
        <v>1.782</v>
      </c>
      <c r="G39">
        <v>0.98009999999999997</v>
      </c>
      <c r="H39" t="str">
        <f t="shared" si="0"/>
        <v>Lite</v>
      </c>
    </row>
    <row r="40" spans="1:8" x14ac:dyDescent="0.3">
      <c r="A40" t="s">
        <v>142</v>
      </c>
      <c r="B40" t="s">
        <v>6194</v>
      </c>
      <c r="C40" t="s">
        <v>6189</v>
      </c>
      <c r="D40" s="2">
        <v>1</v>
      </c>
      <c r="E40">
        <v>14.85</v>
      </c>
      <c r="F40">
        <v>1.4849999999999999</v>
      </c>
      <c r="G40">
        <v>1.6335</v>
      </c>
      <c r="H40" t="str">
        <f t="shared" si="0"/>
        <v>Lite</v>
      </c>
    </row>
    <row r="41" spans="1:8" x14ac:dyDescent="0.3">
      <c r="A41" t="s">
        <v>35</v>
      </c>
      <c r="B41" t="s">
        <v>6194</v>
      </c>
      <c r="C41" t="s">
        <v>6189</v>
      </c>
      <c r="D41" s="2">
        <v>2.5</v>
      </c>
      <c r="E41">
        <v>34.154999999999994</v>
      </c>
      <c r="F41">
        <v>1.3661999999999999</v>
      </c>
      <c r="G41">
        <v>3.7570499999999996</v>
      </c>
      <c r="H41" t="str">
        <f t="shared" si="0"/>
        <v>Lite</v>
      </c>
    </row>
    <row r="42" spans="1:8" x14ac:dyDescent="0.3">
      <c r="A42" t="s">
        <v>69</v>
      </c>
      <c r="B42" t="s">
        <v>6194</v>
      </c>
      <c r="C42" t="s">
        <v>6190</v>
      </c>
      <c r="D42" s="2">
        <v>0.2</v>
      </c>
      <c r="E42">
        <v>4.125</v>
      </c>
      <c r="F42">
        <v>2.0625</v>
      </c>
      <c r="G42">
        <v>0.45374999999999999</v>
      </c>
      <c r="H42" t="str">
        <f t="shared" si="0"/>
        <v>Medium</v>
      </c>
    </row>
    <row r="43" spans="1:8" x14ac:dyDescent="0.3">
      <c r="A43" t="s">
        <v>8</v>
      </c>
      <c r="B43" t="s">
        <v>6194</v>
      </c>
      <c r="C43" t="s">
        <v>6190</v>
      </c>
      <c r="D43" s="2">
        <v>0.5</v>
      </c>
      <c r="E43">
        <v>8.25</v>
      </c>
      <c r="F43">
        <v>1.65</v>
      </c>
      <c r="G43">
        <v>0.90749999999999997</v>
      </c>
      <c r="H43" t="str">
        <f t="shared" si="0"/>
        <v>Medium</v>
      </c>
    </row>
    <row r="44" spans="1:8" x14ac:dyDescent="0.3">
      <c r="A44" t="s">
        <v>14</v>
      </c>
      <c r="B44" t="s">
        <v>6194</v>
      </c>
      <c r="C44" t="s">
        <v>6190</v>
      </c>
      <c r="D44" s="2">
        <v>1</v>
      </c>
      <c r="E44">
        <v>13.75</v>
      </c>
      <c r="F44">
        <v>1.375</v>
      </c>
      <c r="G44">
        <v>1.5125</v>
      </c>
      <c r="H44" t="str">
        <f t="shared" si="0"/>
        <v>Medium</v>
      </c>
    </row>
    <row r="45" spans="1:8" x14ac:dyDescent="0.3">
      <c r="A45" t="s">
        <v>117</v>
      </c>
      <c r="B45" t="s">
        <v>6194</v>
      </c>
      <c r="C45" t="s">
        <v>6190</v>
      </c>
      <c r="D45" s="2">
        <v>2.5</v>
      </c>
      <c r="E45">
        <v>31.624999999999996</v>
      </c>
      <c r="F45">
        <v>1.2649999999999999</v>
      </c>
      <c r="G45">
        <v>3.4787499999999998</v>
      </c>
      <c r="H45" t="str">
        <f t="shared" si="0"/>
        <v>Medium</v>
      </c>
    </row>
    <row r="46" spans="1:8" x14ac:dyDescent="0.3">
      <c r="A46" t="s">
        <v>56</v>
      </c>
      <c r="B46" t="s">
        <v>6194</v>
      </c>
      <c r="C46" t="s">
        <v>6191</v>
      </c>
      <c r="D46" s="2">
        <v>0.2</v>
      </c>
      <c r="E46">
        <v>3.645</v>
      </c>
      <c r="F46">
        <v>1.8225</v>
      </c>
      <c r="G46">
        <v>0.40095000000000003</v>
      </c>
      <c r="H46" t="str">
        <f t="shared" si="0"/>
        <v>Dark</v>
      </c>
    </row>
    <row r="47" spans="1:8" x14ac:dyDescent="0.3">
      <c r="A47" t="s">
        <v>21</v>
      </c>
      <c r="B47" t="s">
        <v>6194</v>
      </c>
      <c r="C47" t="s">
        <v>6191</v>
      </c>
      <c r="D47" s="2">
        <v>0.5</v>
      </c>
      <c r="E47">
        <v>7.29</v>
      </c>
      <c r="F47">
        <v>1.458</v>
      </c>
      <c r="G47">
        <v>0.80190000000000006</v>
      </c>
      <c r="H47" t="str">
        <f t="shared" si="0"/>
        <v>Dark</v>
      </c>
    </row>
    <row r="48" spans="1:8" x14ac:dyDescent="0.3">
      <c r="A48" t="s">
        <v>250</v>
      </c>
      <c r="B48" t="s">
        <v>6194</v>
      </c>
      <c r="C48" t="s">
        <v>6191</v>
      </c>
      <c r="D48" s="2">
        <v>1</v>
      </c>
      <c r="E48">
        <v>12.15</v>
      </c>
      <c r="F48">
        <v>1.2150000000000001</v>
      </c>
      <c r="G48">
        <v>1.3365</v>
      </c>
      <c r="H48" t="str">
        <f t="shared" si="0"/>
        <v>Dark</v>
      </c>
    </row>
    <row r="49" spans="1:8" x14ac:dyDescent="0.3">
      <c r="A49" t="s">
        <v>535</v>
      </c>
      <c r="B49" t="s">
        <v>6194</v>
      </c>
      <c r="C49" t="s">
        <v>6191</v>
      </c>
      <c r="D49" s="2">
        <v>2.5</v>
      </c>
      <c r="E49">
        <v>27.945</v>
      </c>
      <c r="F49">
        <v>1.1177999999999999</v>
      </c>
      <c r="G49">
        <v>3.07395</v>
      </c>
      <c r="H49" t="str">
        <f t="shared" si="0"/>
        <v>Dark</v>
      </c>
    </row>
  </sheetData>
  <autoFilter ref="A1:G1" xr:uid="{BCCD1442-06FD-4BA9-95BF-4442030E9A5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7B733-A699-4252-9AE1-BD03A68A000D}">
  <dimension ref="A3:B8"/>
  <sheetViews>
    <sheetView workbookViewId="0">
      <selection activeCell="A3" sqref="A3"/>
    </sheetView>
  </sheetViews>
  <sheetFormatPr defaultRowHeight="14.4" x14ac:dyDescent="0.3"/>
  <cols>
    <col min="1" max="1" width="15.109375" bestFit="1" customWidth="1"/>
    <col min="2" max="2" width="10.6640625" bestFit="1" customWidth="1"/>
    <col min="3" max="913" width="22.6640625" bestFit="1" customWidth="1"/>
    <col min="914" max="914" width="10.77734375" bestFit="1" customWidth="1"/>
  </cols>
  <sheetData>
    <row r="3" spans="1:2" x14ac:dyDescent="0.3">
      <c r="A3" s="9" t="s">
        <v>6205</v>
      </c>
      <c r="B3" t="s">
        <v>6212</v>
      </c>
    </row>
    <row r="4" spans="1:2" x14ac:dyDescent="0.3">
      <c r="A4" s="10" t="s">
        <v>5452</v>
      </c>
      <c r="B4" s="13">
        <v>317.06999999999994</v>
      </c>
    </row>
    <row r="5" spans="1:2" x14ac:dyDescent="0.3">
      <c r="A5" s="10" t="s">
        <v>5907</v>
      </c>
      <c r="B5" s="13">
        <v>307.04499999999996</v>
      </c>
    </row>
    <row r="6" spans="1:2" x14ac:dyDescent="0.3">
      <c r="A6" s="10" t="s">
        <v>3604</v>
      </c>
      <c r="B6" s="13">
        <v>289.11</v>
      </c>
    </row>
    <row r="7" spans="1:2" x14ac:dyDescent="0.3">
      <c r="A7" s="10" t="s">
        <v>2841</v>
      </c>
      <c r="B7" s="13">
        <v>281.67499999999995</v>
      </c>
    </row>
    <row r="8" spans="1:2" x14ac:dyDescent="0.3">
      <c r="A8" s="10" t="s">
        <v>4477</v>
      </c>
      <c r="B8" s="13">
        <v>278.01</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5DD1-DC07-43ED-B6F3-D9C33FD38D30}">
  <dimension ref="A3:B7"/>
  <sheetViews>
    <sheetView workbookViewId="0">
      <selection activeCell="A3" sqref="A3"/>
    </sheetView>
  </sheetViews>
  <sheetFormatPr defaultRowHeight="14.4" x14ac:dyDescent="0.3"/>
  <cols>
    <col min="1" max="1" width="14" bestFit="1" customWidth="1"/>
    <col min="2" max="2" width="11.21875" bestFit="1" customWidth="1"/>
    <col min="3" max="3" width="14.77734375" bestFit="1" customWidth="1"/>
    <col min="4" max="4" width="12.21875" bestFit="1" customWidth="1"/>
    <col min="5" max="5" width="10.77734375" bestFit="1" customWidth="1"/>
  </cols>
  <sheetData>
    <row r="3" spans="1:2" x14ac:dyDescent="0.3">
      <c r="A3" s="9" t="s">
        <v>6205</v>
      </c>
      <c r="B3" t="s">
        <v>6212</v>
      </c>
    </row>
    <row r="4" spans="1:2" x14ac:dyDescent="0.3">
      <c r="A4" s="10" t="s">
        <v>1936</v>
      </c>
      <c r="B4" s="13">
        <v>35638.88499999998</v>
      </c>
    </row>
    <row r="5" spans="1:2" x14ac:dyDescent="0.3">
      <c r="A5" s="10" t="s">
        <v>1944</v>
      </c>
      <c r="B5" s="13">
        <v>6696.8649999999989</v>
      </c>
    </row>
    <row r="6" spans="1:2" x14ac:dyDescent="0.3">
      <c r="A6" s="10" t="s">
        <v>2111</v>
      </c>
      <c r="B6" s="13">
        <v>2798.5050000000001</v>
      </c>
    </row>
    <row r="7" spans="1:2" x14ac:dyDescent="0.3">
      <c r="A7" s="10" t="s">
        <v>6206</v>
      </c>
      <c r="B7" s="13">
        <v>45134.254999999976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267B-3F8A-43EE-808D-2E82BF0D360D}">
  <dimension ref="A4:F9"/>
  <sheetViews>
    <sheetView workbookViewId="0">
      <selection activeCell="B5" sqref="B5"/>
    </sheetView>
  </sheetViews>
  <sheetFormatPr defaultRowHeight="14.4" x14ac:dyDescent="0.3"/>
  <cols>
    <col min="1" max="1" width="10.6640625" bestFit="1" customWidth="1"/>
    <col min="2" max="2" width="15.5546875" bestFit="1" customWidth="1"/>
    <col min="3" max="4" width="7.6640625" bestFit="1" customWidth="1"/>
    <col min="5" max="5" width="7.88671875" bestFit="1" customWidth="1"/>
    <col min="6" max="6" width="10.77734375" bestFit="1" customWidth="1"/>
    <col min="7" max="7" width="11.88671875" bestFit="1" customWidth="1"/>
    <col min="8" max="8" width="10.6640625" bestFit="1" customWidth="1"/>
    <col min="9" max="9" width="11.88671875" bestFit="1" customWidth="1"/>
    <col min="10" max="10" width="15.44140625" bestFit="1" customWidth="1"/>
    <col min="11" max="11" width="16.6640625" bestFit="1" customWidth="1"/>
    <col min="12" max="12" width="15.5546875" bestFit="1" customWidth="1"/>
    <col min="13" max="13" width="10.77734375" bestFit="1" customWidth="1"/>
    <col min="14" max="14" width="13.109375" bestFit="1" customWidth="1"/>
    <col min="15" max="15" width="15.88671875" bestFit="1" customWidth="1"/>
    <col min="16" max="16" width="13.109375" bestFit="1" customWidth="1"/>
    <col min="17" max="17" width="15.88671875" bestFit="1" customWidth="1"/>
    <col min="18" max="19" width="13.109375" bestFit="1" customWidth="1"/>
    <col min="20" max="20" width="15.88671875" bestFit="1" customWidth="1"/>
    <col min="21" max="21" width="13.109375" bestFit="1" customWidth="1"/>
    <col min="22" max="22" width="15.88671875" bestFit="1" customWidth="1"/>
    <col min="23" max="24" width="13.109375" bestFit="1" customWidth="1"/>
    <col min="25" max="25" width="15.88671875" bestFit="1" customWidth="1"/>
    <col min="26" max="26" width="13.109375" bestFit="1" customWidth="1"/>
    <col min="27" max="27" width="15.88671875" bestFit="1" customWidth="1"/>
    <col min="28" max="28" width="13.109375" bestFit="1" customWidth="1"/>
    <col min="29" max="29" width="15.88671875" bestFit="1" customWidth="1"/>
    <col min="30" max="30" width="13.33203125" bestFit="1" customWidth="1"/>
    <col min="31" max="31" width="16.109375" bestFit="1" customWidth="1"/>
    <col min="32" max="33" width="13.33203125" bestFit="1" customWidth="1"/>
    <col min="34" max="34" width="16.109375" bestFit="1" customWidth="1"/>
    <col min="35" max="35" width="13.33203125" bestFit="1" customWidth="1"/>
    <col min="36" max="36" width="16.109375" bestFit="1" customWidth="1"/>
    <col min="37" max="37" width="13.33203125" bestFit="1" customWidth="1"/>
    <col min="38" max="38" width="16.109375" bestFit="1" customWidth="1"/>
    <col min="39" max="39" width="13.33203125" bestFit="1" customWidth="1"/>
    <col min="40" max="40" width="16.109375" bestFit="1" customWidth="1"/>
    <col min="41" max="41" width="13.33203125" bestFit="1" customWidth="1"/>
    <col min="42" max="42" width="16.109375" bestFit="1" customWidth="1"/>
    <col min="43" max="43" width="13.33203125" bestFit="1" customWidth="1"/>
    <col min="44" max="44" width="16.109375" bestFit="1" customWidth="1"/>
    <col min="45" max="45" width="13.33203125" bestFit="1" customWidth="1"/>
    <col min="46" max="46" width="16.109375" bestFit="1" customWidth="1"/>
    <col min="47" max="47" width="13.33203125" bestFit="1" customWidth="1"/>
    <col min="48" max="48" width="16.109375" bestFit="1" customWidth="1"/>
    <col min="49" max="49" width="13.33203125" bestFit="1" customWidth="1"/>
    <col min="50" max="50" width="16.109375" bestFit="1" customWidth="1"/>
    <col min="51" max="51" width="13.33203125" bestFit="1" customWidth="1"/>
    <col min="52" max="52" width="16.109375" bestFit="1" customWidth="1"/>
    <col min="53" max="53" width="13.33203125" bestFit="1" customWidth="1"/>
    <col min="54" max="54" width="16.109375" bestFit="1" customWidth="1"/>
    <col min="55" max="56" width="13.33203125" bestFit="1" customWidth="1"/>
    <col min="57" max="57" width="16.109375" bestFit="1" customWidth="1"/>
    <col min="58" max="58" width="13.33203125" bestFit="1" customWidth="1"/>
    <col min="59" max="59" width="16.109375" bestFit="1" customWidth="1"/>
    <col min="60" max="60" width="13.33203125" bestFit="1" customWidth="1"/>
    <col min="61" max="61" width="16.109375" bestFit="1" customWidth="1"/>
    <col min="62" max="64" width="13.33203125" bestFit="1" customWidth="1"/>
    <col min="65" max="65" width="16.109375" bestFit="1" customWidth="1"/>
    <col min="66" max="66" width="13.33203125" bestFit="1" customWidth="1"/>
    <col min="67" max="67" width="16.109375" bestFit="1" customWidth="1"/>
    <col min="68" max="69" width="13.77734375" bestFit="1" customWidth="1"/>
    <col min="70" max="70" width="16.5546875" bestFit="1" customWidth="1"/>
    <col min="71" max="71" width="13.77734375" bestFit="1" customWidth="1"/>
    <col min="72" max="72" width="16.5546875" bestFit="1" customWidth="1"/>
    <col min="73" max="73" width="13.77734375" bestFit="1" customWidth="1"/>
    <col min="74" max="74" width="16.5546875" bestFit="1" customWidth="1"/>
    <col min="75" max="75" width="13.77734375" bestFit="1" customWidth="1"/>
    <col min="76" max="76" width="16.5546875" bestFit="1" customWidth="1"/>
    <col min="77" max="77" width="13.77734375" bestFit="1" customWidth="1"/>
    <col min="78" max="78" width="16.5546875" bestFit="1" customWidth="1"/>
    <col min="79" max="79" width="13.77734375" bestFit="1" customWidth="1"/>
    <col min="80" max="80" width="16.5546875" bestFit="1" customWidth="1"/>
    <col min="81" max="81" width="13.77734375" bestFit="1" customWidth="1"/>
    <col min="82" max="82" width="16.5546875" bestFit="1" customWidth="1"/>
    <col min="83" max="84" width="13.77734375" bestFit="1" customWidth="1"/>
    <col min="85" max="85" width="16.5546875" bestFit="1" customWidth="1"/>
    <col min="86" max="87" width="13.77734375" bestFit="1" customWidth="1"/>
    <col min="88" max="88" width="16.5546875" bestFit="1" customWidth="1"/>
    <col min="89" max="90" width="13.77734375" bestFit="1" customWidth="1"/>
    <col min="91" max="91" width="16.5546875" bestFit="1" customWidth="1"/>
    <col min="92" max="92" width="13.77734375" bestFit="1" customWidth="1"/>
    <col min="93" max="93" width="16.5546875" bestFit="1" customWidth="1"/>
    <col min="94" max="96" width="13.77734375" bestFit="1" customWidth="1"/>
    <col min="97" max="97" width="16.5546875" bestFit="1" customWidth="1"/>
    <col min="98" max="98" width="13.77734375" bestFit="1" customWidth="1"/>
    <col min="99" max="99" width="16.5546875" bestFit="1" customWidth="1"/>
    <col min="100" max="100" width="13.77734375" bestFit="1" customWidth="1"/>
    <col min="101" max="101" width="16.5546875" bestFit="1" customWidth="1"/>
    <col min="102" max="102" width="13.77734375" bestFit="1" customWidth="1"/>
    <col min="103" max="103" width="16.5546875" bestFit="1" customWidth="1"/>
    <col min="104" max="105" width="13.33203125" bestFit="1" customWidth="1"/>
    <col min="106" max="106" width="16.109375" bestFit="1" customWidth="1"/>
    <col min="107" max="107" width="13.33203125" bestFit="1" customWidth="1"/>
    <col min="108" max="108" width="16.109375" bestFit="1" customWidth="1"/>
    <col min="109" max="110" width="13.33203125" bestFit="1" customWidth="1"/>
    <col min="111" max="111" width="16.109375" bestFit="1" customWidth="1"/>
    <col min="112" max="113" width="13.33203125" bestFit="1" customWidth="1"/>
    <col min="114" max="114" width="16.109375" bestFit="1" customWidth="1"/>
    <col min="115" max="115" width="13.33203125" bestFit="1" customWidth="1"/>
    <col min="116" max="116" width="16.109375" bestFit="1" customWidth="1"/>
    <col min="117" max="117" width="13.33203125" bestFit="1" customWidth="1"/>
    <col min="118" max="118" width="16.109375" bestFit="1" customWidth="1"/>
    <col min="119" max="119" width="13.33203125" bestFit="1" customWidth="1"/>
    <col min="120" max="120" width="16.109375" bestFit="1" customWidth="1"/>
    <col min="121" max="121" width="13.33203125" bestFit="1" customWidth="1"/>
    <col min="122" max="122" width="16.109375" bestFit="1" customWidth="1"/>
    <col min="123" max="123" width="13.33203125" bestFit="1" customWidth="1"/>
    <col min="124" max="124" width="16.109375" bestFit="1" customWidth="1"/>
    <col min="125" max="125" width="13.33203125" bestFit="1" customWidth="1"/>
    <col min="126" max="126" width="16.109375" bestFit="1" customWidth="1"/>
    <col min="127" max="127" width="13.33203125" bestFit="1" customWidth="1"/>
    <col min="128" max="128" width="16.109375" bestFit="1" customWidth="1"/>
    <col min="129" max="130" width="13.33203125" bestFit="1" customWidth="1"/>
    <col min="131" max="131" width="16.109375" bestFit="1" customWidth="1"/>
    <col min="132" max="132" width="13.33203125" bestFit="1" customWidth="1"/>
    <col min="133" max="133" width="16.109375" bestFit="1" customWidth="1"/>
    <col min="134" max="137" width="13.33203125" bestFit="1" customWidth="1"/>
    <col min="138" max="138" width="16.109375" bestFit="1" customWidth="1"/>
    <col min="139" max="139" width="13.33203125" bestFit="1" customWidth="1"/>
    <col min="140" max="140" width="16.109375" bestFit="1" customWidth="1"/>
    <col min="141" max="141" width="13.33203125" bestFit="1" customWidth="1"/>
    <col min="142" max="142" width="16.109375" bestFit="1" customWidth="1"/>
    <col min="143" max="143" width="14.109375" bestFit="1" customWidth="1"/>
    <col min="144" max="144" width="16.88671875" bestFit="1" customWidth="1"/>
    <col min="145" max="145" width="14.109375" bestFit="1" customWidth="1"/>
    <col min="146" max="146" width="16.88671875" bestFit="1" customWidth="1"/>
    <col min="147" max="147" width="14.109375" bestFit="1" customWidth="1"/>
    <col min="148" max="148" width="16.88671875" bestFit="1" customWidth="1"/>
    <col min="149" max="149" width="14.109375" bestFit="1" customWidth="1"/>
    <col min="150" max="150" width="16.88671875" bestFit="1" customWidth="1"/>
    <col min="151" max="151" width="14.109375" bestFit="1" customWidth="1"/>
    <col min="152" max="152" width="16.88671875" bestFit="1" customWidth="1"/>
    <col min="153" max="153" width="14.109375" bestFit="1" customWidth="1"/>
    <col min="154" max="154" width="16.88671875" bestFit="1" customWidth="1"/>
    <col min="155" max="155" width="14.109375" bestFit="1" customWidth="1"/>
    <col min="156" max="156" width="16.88671875" bestFit="1" customWidth="1"/>
    <col min="157" max="157" width="14.109375" bestFit="1" customWidth="1"/>
    <col min="158" max="158" width="16.88671875" bestFit="1" customWidth="1"/>
    <col min="159" max="159" width="14.109375" bestFit="1" customWidth="1"/>
    <col min="160" max="160" width="16.88671875" bestFit="1" customWidth="1"/>
    <col min="161" max="161" width="14.109375" bestFit="1" customWidth="1"/>
    <col min="162" max="162" width="16.88671875" bestFit="1" customWidth="1"/>
    <col min="163" max="163" width="14.109375" bestFit="1" customWidth="1"/>
    <col min="164" max="164" width="16.88671875" bestFit="1" customWidth="1"/>
    <col min="165" max="165" width="14.109375" bestFit="1" customWidth="1"/>
    <col min="166" max="166" width="16.88671875" bestFit="1" customWidth="1"/>
    <col min="167" max="167" width="14.109375" bestFit="1" customWidth="1"/>
    <col min="168" max="168" width="16.88671875" bestFit="1" customWidth="1"/>
    <col min="169" max="169" width="13.21875" bestFit="1" customWidth="1"/>
    <col min="170" max="170" width="16" bestFit="1" customWidth="1"/>
    <col min="171" max="171" width="13.21875" bestFit="1" customWidth="1"/>
    <col min="172" max="172" width="16" bestFit="1" customWidth="1"/>
    <col min="173" max="174" width="13.21875" bestFit="1" customWidth="1"/>
    <col min="175" max="175" width="16" bestFit="1" customWidth="1"/>
    <col min="176" max="176" width="13.21875" bestFit="1" customWidth="1"/>
    <col min="177" max="177" width="16" bestFit="1" customWidth="1"/>
    <col min="178" max="178" width="13.21875" bestFit="1" customWidth="1"/>
    <col min="179" max="179" width="16" bestFit="1" customWidth="1"/>
    <col min="180" max="180" width="13.21875" bestFit="1" customWidth="1"/>
    <col min="181" max="181" width="16" bestFit="1" customWidth="1"/>
    <col min="182" max="182" width="13.21875" bestFit="1" customWidth="1"/>
    <col min="183" max="183" width="16" bestFit="1" customWidth="1"/>
    <col min="184" max="184" width="13.21875" bestFit="1" customWidth="1"/>
    <col min="185" max="185" width="16" bestFit="1" customWidth="1"/>
    <col min="186" max="186" width="13.21875" bestFit="1" customWidth="1"/>
    <col min="187" max="187" width="16" bestFit="1" customWidth="1"/>
    <col min="188" max="188" width="13.21875" bestFit="1" customWidth="1"/>
    <col min="189" max="189" width="16" bestFit="1" customWidth="1"/>
    <col min="190" max="190" width="13.21875" bestFit="1" customWidth="1"/>
    <col min="191" max="191" width="16" bestFit="1" customWidth="1"/>
    <col min="192" max="192" width="13.21875" bestFit="1" customWidth="1"/>
    <col min="193" max="193" width="16" bestFit="1" customWidth="1"/>
    <col min="194" max="195" width="13.21875" bestFit="1" customWidth="1"/>
    <col min="196" max="196" width="16" bestFit="1" customWidth="1"/>
    <col min="197" max="197" width="13.21875" bestFit="1" customWidth="1"/>
    <col min="198" max="198" width="16" bestFit="1" customWidth="1"/>
    <col min="199" max="199" width="13.21875" bestFit="1" customWidth="1"/>
    <col min="200" max="200" width="16" bestFit="1" customWidth="1"/>
    <col min="201" max="201" width="13.21875" bestFit="1" customWidth="1"/>
    <col min="202" max="202" width="16" bestFit="1" customWidth="1"/>
    <col min="203" max="203" width="13.21875" bestFit="1" customWidth="1"/>
    <col min="204" max="204" width="16" bestFit="1" customWidth="1"/>
    <col min="205" max="205" width="13.21875" bestFit="1" customWidth="1"/>
    <col min="206" max="206" width="16" bestFit="1" customWidth="1"/>
    <col min="207" max="207" width="12.5546875" bestFit="1" customWidth="1"/>
    <col min="208" max="208" width="15.33203125" bestFit="1" customWidth="1"/>
    <col min="209" max="209" width="12.5546875" bestFit="1" customWidth="1"/>
    <col min="210" max="210" width="15.33203125" bestFit="1" customWidth="1"/>
    <col min="211" max="212" width="12.5546875" bestFit="1" customWidth="1"/>
    <col min="213" max="213" width="15.33203125" bestFit="1" customWidth="1"/>
    <col min="214" max="214" width="12.5546875" bestFit="1" customWidth="1"/>
    <col min="215" max="215" width="15.33203125" bestFit="1" customWidth="1"/>
    <col min="216" max="216" width="12.5546875" bestFit="1" customWidth="1"/>
    <col min="217" max="217" width="15.33203125" bestFit="1" customWidth="1"/>
    <col min="218" max="218" width="12.5546875" bestFit="1" customWidth="1"/>
    <col min="219" max="219" width="15.33203125" bestFit="1" customWidth="1"/>
    <col min="220" max="220" width="12.5546875" bestFit="1" customWidth="1"/>
    <col min="221" max="221" width="15.33203125" bestFit="1" customWidth="1"/>
    <col min="222" max="222" width="12.5546875" bestFit="1" customWidth="1"/>
    <col min="223" max="223" width="15.33203125" bestFit="1" customWidth="1"/>
    <col min="224" max="225" width="12.5546875" bestFit="1" customWidth="1"/>
    <col min="226" max="226" width="15.33203125" bestFit="1" customWidth="1"/>
    <col min="227" max="227" width="12.5546875" bestFit="1" customWidth="1"/>
    <col min="228" max="228" width="15.33203125" bestFit="1" customWidth="1"/>
    <col min="229" max="230" width="12.5546875" bestFit="1" customWidth="1"/>
    <col min="231" max="231" width="15.33203125" bestFit="1" customWidth="1"/>
    <col min="232" max="232" width="12.5546875" bestFit="1" customWidth="1"/>
    <col min="233" max="233" width="15.33203125" bestFit="1" customWidth="1"/>
    <col min="234" max="235" width="12.5546875" bestFit="1" customWidth="1"/>
    <col min="236" max="236" width="15.33203125" bestFit="1" customWidth="1"/>
    <col min="237" max="237" width="12.5546875" bestFit="1" customWidth="1"/>
    <col min="238" max="238" width="15.33203125" bestFit="1" customWidth="1"/>
    <col min="239" max="240" width="12.5546875" bestFit="1" customWidth="1"/>
    <col min="241" max="241" width="15.33203125" bestFit="1" customWidth="1"/>
    <col min="242" max="242" width="12.5546875" bestFit="1" customWidth="1"/>
    <col min="243" max="243" width="15.33203125" bestFit="1" customWidth="1"/>
    <col min="244" max="244" width="13.6640625" bestFit="1" customWidth="1"/>
    <col min="245" max="245" width="16.44140625" bestFit="1" customWidth="1"/>
    <col min="246" max="247" width="13.6640625" bestFit="1" customWidth="1"/>
    <col min="248" max="248" width="16.44140625" bestFit="1" customWidth="1"/>
    <col min="249" max="250" width="13.6640625" bestFit="1" customWidth="1"/>
    <col min="251" max="251" width="16.44140625" bestFit="1" customWidth="1"/>
    <col min="252" max="252" width="13.6640625" bestFit="1" customWidth="1"/>
    <col min="253" max="253" width="16.44140625" bestFit="1" customWidth="1"/>
    <col min="254" max="254" width="13.6640625" bestFit="1" customWidth="1"/>
    <col min="255" max="255" width="16.44140625" bestFit="1" customWidth="1"/>
    <col min="256" max="256" width="13.6640625" bestFit="1" customWidth="1"/>
    <col min="257" max="257" width="16.44140625" bestFit="1" customWidth="1"/>
    <col min="258" max="258" width="13.6640625" bestFit="1" customWidth="1"/>
    <col min="259" max="259" width="16.44140625" bestFit="1" customWidth="1"/>
    <col min="260" max="261" width="13.6640625" bestFit="1" customWidth="1"/>
    <col min="262" max="262" width="16.44140625" bestFit="1" customWidth="1"/>
    <col min="263" max="263" width="13.6640625" bestFit="1" customWidth="1"/>
    <col min="264" max="264" width="16.44140625" bestFit="1" customWidth="1"/>
    <col min="265" max="265" width="13.6640625" bestFit="1" customWidth="1"/>
    <col min="266" max="266" width="16.44140625" bestFit="1" customWidth="1"/>
    <col min="267" max="267" width="13.6640625" bestFit="1" customWidth="1"/>
    <col min="268" max="268" width="16.44140625" bestFit="1" customWidth="1"/>
    <col min="269" max="269" width="13.6640625" bestFit="1" customWidth="1"/>
    <col min="270" max="270" width="16.44140625" bestFit="1" customWidth="1"/>
    <col min="271" max="271" width="13.6640625" bestFit="1" customWidth="1"/>
    <col min="272" max="272" width="16.44140625" bestFit="1" customWidth="1"/>
    <col min="273" max="273" width="13.44140625" bestFit="1" customWidth="1"/>
    <col min="274" max="274" width="16.21875" bestFit="1" customWidth="1"/>
    <col min="275" max="275" width="13.44140625" bestFit="1" customWidth="1"/>
    <col min="276" max="276" width="16.21875" bestFit="1" customWidth="1"/>
    <col min="277" max="278" width="13.44140625" bestFit="1" customWidth="1"/>
    <col min="279" max="279" width="16.21875" bestFit="1" customWidth="1"/>
    <col min="280" max="281" width="13.44140625" bestFit="1" customWidth="1"/>
    <col min="282" max="282" width="16.21875" bestFit="1" customWidth="1"/>
    <col min="283" max="283" width="13.44140625" bestFit="1" customWidth="1"/>
    <col min="284" max="284" width="16.21875" bestFit="1" customWidth="1"/>
    <col min="285" max="285" width="13.44140625" bestFit="1" customWidth="1"/>
    <col min="286" max="286" width="16.21875" bestFit="1" customWidth="1"/>
    <col min="287" max="288" width="13.44140625" bestFit="1" customWidth="1"/>
    <col min="289" max="289" width="16.21875" bestFit="1" customWidth="1"/>
    <col min="290" max="290" width="13.44140625" bestFit="1" customWidth="1"/>
    <col min="291" max="291" width="16.21875" bestFit="1" customWidth="1"/>
    <col min="292" max="292" width="13.44140625" bestFit="1" customWidth="1"/>
    <col min="293" max="293" width="16.21875" bestFit="1" customWidth="1"/>
    <col min="294" max="294" width="13.44140625" bestFit="1" customWidth="1"/>
    <col min="295" max="295" width="16.21875" bestFit="1" customWidth="1"/>
    <col min="296" max="296" width="13.44140625" bestFit="1" customWidth="1"/>
    <col min="297" max="297" width="16.21875" bestFit="1" customWidth="1"/>
    <col min="298" max="298" width="13.44140625" bestFit="1" customWidth="1"/>
    <col min="299" max="299" width="16.21875" bestFit="1" customWidth="1"/>
    <col min="300" max="300" width="13.44140625" bestFit="1" customWidth="1"/>
    <col min="301" max="301" width="16.21875" bestFit="1" customWidth="1"/>
    <col min="302" max="302" width="13.44140625" bestFit="1" customWidth="1"/>
    <col min="303" max="303" width="16.21875" bestFit="1" customWidth="1"/>
    <col min="304" max="304" width="13.44140625" bestFit="1" customWidth="1"/>
    <col min="305" max="305" width="16.21875" bestFit="1" customWidth="1"/>
    <col min="306" max="306" width="13.44140625" bestFit="1" customWidth="1"/>
    <col min="307" max="307" width="16.21875" bestFit="1" customWidth="1"/>
    <col min="308" max="308" width="13.44140625" bestFit="1" customWidth="1"/>
    <col min="309" max="309" width="16.21875" bestFit="1" customWidth="1"/>
    <col min="310" max="310" width="13.21875" bestFit="1" customWidth="1"/>
    <col min="311" max="311" width="16" bestFit="1" customWidth="1"/>
    <col min="312" max="312" width="13.21875" bestFit="1" customWidth="1"/>
    <col min="313" max="313" width="16" bestFit="1" customWidth="1"/>
    <col min="314" max="314" width="13.21875" bestFit="1" customWidth="1"/>
    <col min="315" max="315" width="16" bestFit="1" customWidth="1"/>
    <col min="316" max="316" width="13.21875" bestFit="1" customWidth="1"/>
    <col min="317" max="317" width="16" bestFit="1" customWidth="1"/>
    <col min="318" max="319" width="13.21875" bestFit="1" customWidth="1"/>
    <col min="320" max="320" width="16" bestFit="1" customWidth="1"/>
    <col min="321" max="321" width="13.21875" bestFit="1" customWidth="1"/>
    <col min="322" max="322" width="16" bestFit="1" customWidth="1"/>
    <col min="323" max="323" width="13.21875" bestFit="1" customWidth="1"/>
    <col min="324" max="324" width="16" bestFit="1" customWidth="1"/>
    <col min="325" max="325" width="13.21875" bestFit="1" customWidth="1"/>
    <col min="326" max="326" width="16" bestFit="1" customWidth="1"/>
    <col min="327" max="328" width="13.21875" bestFit="1" customWidth="1"/>
    <col min="329" max="329" width="16" bestFit="1" customWidth="1"/>
    <col min="330" max="330" width="13.21875" bestFit="1" customWidth="1"/>
    <col min="331" max="331" width="16" bestFit="1" customWidth="1"/>
    <col min="332" max="332" width="13.21875" bestFit="1" customWidth="1"/>
    <col min="333" max="333" width="16" bestFit="1" customWidth="1"/>
    <col min="334" max="334" width="13.21875" bestFit="1" customWidth="1"/>
    <col min="335" max="335" width="16" bestFit="1" customWidth="1"/>
    <col min="336" max="336" width="13.21875" bestFit="1" customWidth="1"/>
    <col min="337" max="337" width="16" bestFit="1" customWidth="1"/>
    <col min="338" max="338" width="13.21875" bestFit="1" customWidth="1"/>
    <col min="339" max="339" width="16" bestFit="1" customWidth="1"/>
    <col min="340" max="341" width="13.21875" bestFit="1" customWidth="1"/>
    <col min="342" max="342" width="16" bestFit="1" customWidth="1"/>
    <col min="343" max="343" width="13.21875" bestFit="1" customWidth="1"/>
    <col min="344" max="344" width="16" bestFit="1" customWidth="1"/>
    <col min="345" max="345" width="13.21875" bestFit="1" customWidth="1"/>
    <col min="346" max="346" width="16" bestFit="1" customWidth="1"/>
    <col min="347" max="348" width="13.21875" bestFit="1" customWidth="1"/>
    <col min="349" max="349" width="16" bestFit="1" customWidth="1"/>
    <col min="350" max="350" width="13.21875" bestFit="1" customWidth="1"/>
    <col min="351" max="351" width="16" bestFit="1" customWidth="1"/>
    <col min="352" max="352" width="13.77734375" bestFit="1" customWidth="1"/>
    <col min="353" max="353" width="16.5546875" bestFit="1" customWidth="1"/>
    <col min="354" max="354" width="13.77734375" bestFit="1" customWidth="1"/>
    <col min="355" max="355" width="16.5546875" bestFit="1" customWidth="1"/>
    <col min="356" max="356" width="13.77734375" bestFit="1" customWidth="1"/>
    <col min="357" max="357" width="16.5546875" bestFit="1" customWidth="1"/>
    <col min="358" max="358" width="13.77734375" bestFit="1" customWidth="1"/>
    <col min="359" max="359" width="16.5546875" bestFit="1" customWidth="1"/>
    <col min="360" max="360" width="13.77734375" bestFit="1" customWidth="1"/>
    <col min="361" max="361" width="16.5546875" bestFit="1" customWidth="1"/>
    <col min="362" max="362" width="13.77734375" bestFit="1" customWidth="1"/>
    <col min="363" max="363" width="16.5546875" bestFit="1" customWidth="1"/>
    <col min="364" max="364" width="13.77734375" bestFit="1" customWidth="1"/>
    <col min="365" max="365" width="16.5546875" bestFit="1" customWidth="1"/>
    <col min="366" max="366" width="13.77734375" bestFit="1" customWidth="1"/>
    <col min="367" max="367" width="16.5546875" bestFit="1" customWidth="1"/>
    <col min="368" max="368" width="13.77734375" bestFit="1" customWidth="1"/>
    <col min="369" max="369" width="16.5546875" bestFit="1" customWidth="1"/>
    <col min="370" max="372" width="13.77734375" bestFit="1" customWidth="1"/>
    <col min="373" max="373" width="16.5546875" bestFit="1" customWidth="1"/>
    <col min="374" max="374" width="13.77734375" bestFit="1" customWidth="1"/>
    <col min="375" max="375" width="16.5546875" bestFit="1" customWidth="1"/>
    <col min="376" max="376" width="13.77734375" bestFit="1" customWidth="1"/>
    <col min="377" max="377" width="16.5546875" bestFit="1" customWidth="1"/>
    <col min="378" max="378" width="13.77734375" bestFit="1" customWidth="1"/>
    <col min="379" max="379" width="16.5546875" bestFit="1" customWidth="1"/>
    <col min="380" max="380" width="13.77734375" bestFit="1" customWidth="1"/>
    <col min="381" max="381" width="16.5546875" bestFit="1" customWidth="1"/>
    <col min="382" max="383" width="13.44140625" bestFit="1" customWidth="1"/>
    <col min="384" max="384" width="16.21875" bestFit="1" customWidth="1"/>
    <col min="385" max="386" width="13.44140625" bestFit="1" customWidth="1"/>
    <col min="387" max="387" width="16.21875" bestFit="1" customWidth="1"/>
    <col min="388" max="388" width="13.44140625" bestFit="1" customWidth="1"/>
    <col min="389" max="389" width="16.21875" bestFit="1" customWidth="1"/>
    <col min="390" max="390" width="13.44140625" bestFit="1" customWidth="1"/>
    <col min="391" max="391" width="16.21875" bestFit="1" customWidth="1"/>
    <col min="392" max="392" width="13.44140625" bestFit="1" customWidth="1"/>
    <col min="393" max="393" width="16.21875" bestFit="1" customWidth="1"/>
    <col min="394" max="394" width="13.44140625" bestFit="1" customWidth="1"/>
    <col min="395" max="395" width="16.21875" bestFit="1" customWidth="1"/>
    <col min="396" max="396" width="13.44140625" bestFit="1" customWidth="1"/>
    <col min="397" max="397" width="16.21875" bestFit="1" customWidth="1"/>
    <col min="398" max="399" width="13.44140625" bestFit="1" customWidth="1"/>
    <col min="400" max="400" width="16.21875" bestFit="1" customWidth="1"/>
    <col min="401" max="401" width="13.44140625" bestFit="1" customWidth="1"/>
    <col min="402" max="402" width="16.21875" bestFit="1" customWidth="1"/>
    <col min="403" max="403" width="13.44140625" bestFit="1" customWidth="1"/>
    <col min="404" max="404" width="16.21875" bestFit="1" customWidth="1"/>
    <col min="405" max="406" width="13.44140625" bestFit="1" customWidth="1"/>
    <col min="407" max="407" width="16.21875" bestFit="1" customWidth="1"/>
    <col min="408" max="408" width="13.44140625" bestFit="1" customWidth="1"/>
    <col min="409" max="409" width="16.21875" bestFit="1" customWidth="1"/>
    <col min="410" max="410" width="13.44140625" bestFit="1" customWidth="1"/>
    <col min="411" max="411" width="16.21875" bestFit="1" customWidth="1"/>
    <col min="412" max="412" width="13.44140625" bestFit="1" customWidth="1"/>
    <col min="413" max="413" width="16.21875" bestFit="1" customWidth="1"/>
    <col min="414" max="414" width="13.44140625" bestFit="1" customWidth="1"/>
    <col min="415" max="415" width="16.21875" bestFit="1" customWidth="1"/>
    <col min="416" max="417" width="13.44140625" bestFit="1" customWidth="1"/>
    <col min="418" max="418" width="16.21875" bestFit="1" customWidth="1"/>
    <col min="419" max="420" width="13.44140625" bestFit="1" customWidth="1"/>
    <col min="421" max="421" width="16.21875" bestFit="1" customWidth="1"/>
    <col min="422" max="422" width="13.109375" bestFit="1" customWidth="1"/>
    <col min="423" max="423" width="15.88671875" bestFit="1" customWidth="1"/>
    <col min="424" max="425" width="13.109375" bestFit="1" customWidth="1"/>
    <col min="426" max="426" width="15.88671875" bestFit="1" customWidth="1"/>
    <col min="427" max="427" width="13.109375" bestFit="1" customWidth="1"/>
    <col min="428" max="428" width="15.88671875" bestFit="1" customWidth="1"/>
    <col min="429" max="430" width="13.109375" bestFit="1" customWidth="1"/>
    <col min="431" max="431" width="15.88671875" bestFit="1" customWidth="1"/>
    <col min="432" max="432" width="13.109375" bestFit="1" customWidth="1"/>
    <col min="433" max="433" width="15.88671875" bestFit="1" customWidth="1"/>
    <col min="434" max="434" width="13.109375" bestFit="1" customWidth="1"/>
    <col min="435" max="435" width="15.88671875" bestFit="1" customWidth="1"/>
    <col min="436" max="436" width="13.109375" bestFit="1" customWidth="1"/>
    <col min="437" max="437" width="15.88671875" bestFit="1" customWidth="1"/>
    <col min="438" max="438" width="13.109375" bestFit="1" customWidth="1"/>
    <col min="439" max="439" width="15.88671875" bestFit="1" customWidth="1"/>
    <col min="440" max="440" width="13.109375" bestFit="1" customWidth="1"/>
    <col min="441" max="441" width="15.88671875" bestFit="1" customWidth="1"/>
    <col min="442" max="442" width="13.109375" bestFit="1" customWidth="1"/>
    <col min="443" max="443" width="15.88671875" bestFit="1" customWidth="1"/>
    <col min="444" max="444" width="13.109375" bestFit="1" customWidth="1"/>
    <col min="445" max="445" width="15.88671875" bestFit="1" customWidth="1"/>
    <col min="446" max="446" width="13.109375" bestFit="1" customWidth="1"/>
    <col min="447" max="447" width="15.88671875" bestFit="1" customWidth="1"/>
    <col min="448" max="449" width="13.109375" bestFit="1" customWidth="1"/>
    <col min="450" max="450" width="15.88671875" bestFit="1" customWidth="1"/>
    <col min="451" max="451" width="13.109375" bestFit="1" customWidth="1"/>
    <col min="452" max="452" width="15.88671875" bestFit="1" customWidth="1"/>
    <col min="453" max="453" width="13.109375" bestFit="1" customWidth="1"/>
    <col min="454" max="454" width="15.88671875" bestFit="1" customWidth="1"/>
    <col min="455" max="455" width="13.33203125" bestFit="1" customWidth="1"/>
    <col min="456" max="456" width="16.109375" bestFit="1" customWidth="1"/>
    <col min="457" max="457" width="13.33203125" bestFit="1" customWidth="1"/>
    <col min="458" max="458" width="16.109375" bestFit="1" customWidth="1"/>
    <col min="459" max="460" width="13.33203125" bestFit="1" customWidth="1"/>
    <col min="461" max="461" width="16.109375" bestFit="1" customWidth="1"/>
    <col min="462" max="462" width="13.33203125" bestFit="1" customWidth="1"/>
    <col min="463" max="463" width="16.109375" bestFit="1" customWidth="1"/>
    <col min="464" max="465" width="13.33203125" bestFit="1" customWidth="1"/>
    <col min="466" max="466" width="16.109375" bestFit="1" customWidth="1"/>
    <col min="467" max="467" width="13.33203125" bestFit="1" customWidth="1"/>
    <col min="468" max="468" width="16.109375" bestFit="1" customWidth="1"/>
    <col min="469" max="469" width="13.33203125" bestFit="1" customWidth="1"/>
    <col min="470" max="470" width="16.109375" bestFit="1" customWidth="1"/>
    <col min="471" max="472" width="13.33203125" bestFit="1" customWidth="1"/>
    <col min="473" max="473" width="16.109375" bestFit="1" customWidth="1"/>
    <col min="474" max="474" width="13.33203125" bestFit="1" customWidth="1"/>
    <col min="475" max="475" width="16.109375" bestFit="1" customWidth="1"/>
    <col min="476" max="476" width="13.33203125" bestFit="1" customWidth="1"/>
    <col min="477" max="477" width="16.109375" bestFit="1" customWidth="1"/>
    <col min="478" max="478" width="13.33203125" bestFit="1" customWidth="1"/>
    <col min="479" max="479" width="16.109375" bestFit="1" customWidth="1"/>
    <col min="480" max="481" width="13.33203125" bestFit="1" customWidth="1"/>
    <col min="482" max="482" width="16.109375" bestFit="1" customWidth="1"/>
    <col min="483" max="484" width="13.33203125" bestFit="1" customWidth="1"/>
    <col min="485" max="485" width="16.109375" bestFit="1" customWidth="1"/>
    <col min="486" max="486" width="13.33203125" bestFit="1" customWidth="1"/>
    <col min="487" max="487" width="16.109375" bestFit="1" customWidth="1"/>
    <col min="488" max="489" width="13.33203125" bestFit="1" customWidth="1"/>
    <col min="490" max="490" width="16.109375" bestFit="1" customWidth="1"/>
    <col min="491" max="491" width="13.33203125" bestFit="1" customWidth="1"/>
    <col min="492" max="492" width="16.109375" bestFit="1" customWidth="1"/>
    <col min="493" max="493" width="13.33203125" bestFit="1" customWidth="1"/>
    <col min="494" max="494" width="16.109375" bestFit="1" customWidth="1"/>
    <col min="495" max="495" width="13.33203125" bestFit="1" customWidth="1"/>
    <col min="496" max="496" width="16.109375" bestFit="1" customWidth="1"/>
    <col min="497" max="497" width="13.33203125" bestFit="1" customWidth="1"/>
    <col min="498" max="498" width="16.109375" bestFit="1" customWidth="1"/>
    <col min="499" max="501" width="13.33203125" bestFit="1" customWidth="1"/>
    <col min="502" max="502" width="16.109375" bestFit="1" customWidth="1"/>
    <col min="503" max="504" width="13.33203125" bestFit="1" customWidth="1"/>
    <col min="505" max="505" width="16.109375" bestFit="1" customWidth="1"/>
    <col min="506" max="506" width="13.77734375" bestFit="1" customWidth="1"/>
    <col min="507" max="507" width="16.5546875" bestFit="1" customWidth="1"/>
    <col min="508" max="508" width="13.77734375" bestFit="1" customWidth="1"/>
    <col min="509" max="509" width="16.5546875" bestFit="1" customWidth="1"/>
    <col min="510" max="510" width="13.77734375" bestFit="1" customWidth="1"/>
    <col min="511" max="511" width="16.5546875" bestFit="1" customWidth="1"/>
    <col min="512" max="513" width="13.77734375" bestFit="1" customWidth="1"/>
    <col min="514" max="514" width="16.5546875" bestFit="1" customWidth="1"/>
    <col min="515" max="516" width="13.77734375" bestFit="1" customWidth="1"/>
    <col min="517" max="517" width="16.5546875" bestFit="1" customWidth="1"/>
    <col min="518" max="518" width="13.77734375" bestFit="1" customWidth="1"/>
    <col min="519" max="519" width="16.5546875" bestFit="1" customWidth="1"/>
    <col min="520" max="520" width="13.77734375" bestFit="1" customWidth="1"/>
    <col min="521" max="521" width="16.5546875" bestFit="1" customWidth="1"/>
    <col min="522" max="522" width="13.77734375" bestFit="1" customWidth="1"/>
    <col min="523" max="523" width="16.5546875" bestFit="1" customWidth="1"/>
    <col min="524" max="524" width="13.77734375" bestFit="1" customWidth="1"/>
    <col min="525" max="525" width="16.5546875" bestFit="1" customWidth="1"/>
    <col min="526" max="526" width="13.77734375" bestFit="1" customWidth="1"/>
    <col min="527" max="527" width="16.5546875" bestFit="1" customWidth="1"/>
    <col min="528" max="529" width="13.77734375" bestFit="1" customWidth="1"/>
    <col min="530" max="530" width="16.5546875" bestFit="1" customWidth="1"/>
    <col min="531" max="531" width="13.77734375" bestFit="1" customWidth="1"/>
    <col min="532" max="532" width="16.5546875" bestFit="1" customWidth="1"/>
    <col min="533" max="534" width="13.77734375" bestFit="1" customWidth="1"/>
    <col min="535" max="535" width="16.5546875" bestFit="1" customWidth="1"/>
    <col min="536" max="536" width="13.77734375" bestFit="1" customWidth="1"/>
    <col min="537" max="537" width="16.5546875" bestFit="1" customWidth="1"/>
    <col min="538" max="538" width="13.77734375" bestFit="1" customWidth="1"/>
    <col min="539" max="539" width="16.5546875" bestFit="1" customWidth="1"/>
    <col min="540" max="540" width="13.77734375" bestFit="1" customWidth="1"/>
    <col min="541" max="541" width="16.5546875" bestFit="1" customWidth="1"/>
    <col min="542" max="542" width="13.77734375" bestFit="1" customWidth="1"/>
    <col min="543" max="543" width="16.5546875" bestFit="1" customWidth="1"/>
    <col min="544" max="544" width="13.77734375" bestFit="1" customWidth="1"/>
    <col min="545" max="545" width="16.5546875" bestFit="1" customWidth="1"/>
    <col min="546" max="546" width="13.77734375" bestFit="1" customWidth="1"/>
    <col min="547" max="547" width="16.5546875" bestFit="1" customWidth="1"/>
    <col min="548" max="548" width="13.33203125" bestFit="1" customWidth="1"/>
    <col min="549" max="549" width="16.109375" bestFit="1" customWidth="1"/>
    <col min="550" max="551" width="13.33203125" bestFit="1" customWidth="1"/>
    <col min="552" max="552" width="16.109375" bestFit="1" customWidth="1"/>
    <col min="553" max="553" width="13.33203125" bestFit="1" customWidth="1"/>
    <col min="554" max="554" width="16.109375" bestFit="1" customWidth="1"/>
    <col min="555" max="555" width="13.33203125" bestFit="1" customWidth="1"/>
    <col min="556" max="556" width="16.109375" bestFit="1" customWidth="1"/>
    <col min="557" max="557" width="13.33203125" bestFit="1" customWidth="1"/>
    <col min="558" max="558" width="16.109375" bestFit="1" customWidth="1"/>
    <col min="559" max="560" width="13.33203125" bestFit="1" customWidth="1"/>
    <col min="561" max="561" width="16.109375" bestFit="1" customWidth="1"/>
    <col min="562" max="562" width="13.33203125" bestFit="1" customWidth="1"/>
    <col min="563" max="563" width="16.109375" bestFit="1" customWidth="1"/>
    <col min="564" max="564" width="13.33203125" bestFit="1" customWidth="1"/>
    <col min="565" max="565" width="16.109375" bestFit="1" customWidth="1"/>
    <col min="566" max="567" width="13.33203125" bestFit="1" customWidth="1"/>
    <col min="568" max="568" width="16.109375" bestFit="1" customWidth="1"/>
    <col min="569" max="570" width="13.33203125" bestFit="1" customWidth="1"/>
    <col min="571" max="571" width="16.109375" bestFit="1" customWidth="1"/>
    <col min="572" max="573" width="14.109375" bestFit="1" customWidth="1"/>
    <col min="574" max="574" width="16.88671875" bestFit="1" customWidth="1"/>
    <col min="575" max="576" width="14.109375" bestFit="1" customWidth="1"/>
    <col min="577" max="577" width="16.88671875" bestFit="1" customWidth="1"/>
    <col min="578" max="579" width="14.109375" bestFit="1" customWidth="1"/>
    <col min="580" max="580" width="16.88671875" bestFit="1" customWidth="1"/>
    <col min="581" max="582" width="14.109375" bestFit="1" customWidth="1"/>
    <col min="583" max="583" width="16.88671875" bestFit="1" customWidth="1"/>
    <col min="584" max="584" width="14.109375" bestFit="1" customWidth="1"/>
    <col min="585" max="585" width="16.88671875" bestFit="1" customWidth="1"/>
    <col min="586" max="586" width="14.109375" bestFit="1" customWidth="1"/>
    <col min="587" max="587" width="16.88671875" bestFit="1" customWidth="1"/>
    <col min="588" max="588" width="14.109375" bestFit="1" customWidth="1"/>
    <col min="589" max="589" width="16.88671875" bestFit="1" customWidth="1"/>
    <col min="590" max="590" width="14.109375" bestFit="1" customWidth="1"/>
    <col min="591" max="591" width="16.88671875" bestFit="1" customWidth="1"/>
    <col min="592" max="592" width="14.109375" bestFit="1" customWidth="1"/>
    <col min="593" max="593" width="16.88671875" bestFit="1" customWidth="1"/>
    <col min="594" max="594" width="14.109375" bestFit="1" customWidth="1"/>
    <col min="595" max="595" width="16.88671875" bestFit="1" customWidth="1"/>
    <col min="596" max="597" width="14.109375" bestFit="1" customWidth="1"/>
    <col min="598" max="598" width="16.88671875" bestFit="1" customWidth="1"/>
    <col min="599" max="599" width="13.21875" bestFit="1" customWidth="1"/>
    <col min="600" max="600" width="16" bestFit="1" customWidth="1"/>
    <col min="601" max="602" width="13.21875" bestFit="1" customWidth="1"/>
    <col min="603" max="603" width="16" bestFit="1" customWidth="1"/>
    <col min="604" max="604" width="13.21875" bestFit="1" customWidth="1"/>
    <col min="605" max="605" width="16" bestFit="1" customWidth="1"/>
    <col min="606" max="607" width="13.21875" bestFit="1" customWidth="1"/>
    <col min="608" max="608" width="16" bestFit="1" customWidth="1"/>
    <col min="609" max="609" width="13.21875" bestFit="1" customWidth="1"/>
    <col min="610" max="610" width="16" bestFit="1" customWidth="1"/>
    <col min="611" max="611" width="13.21875" bestFit="1" customWidth="1"/>
    <col min="612" max="612" width="16" bestFit="1" customWidth="1"/>
    <col min="613" max="613" width="13.21875" bestFit="1" customWidth="1"/>
    <col min="614" max="614" width="16" bestFit="1" customWidth="1"/>
    <col min="615" max="615" width="13.21875" bestFit="1" customWidth="1"/>
    <col min="616" max="616" width="16" bestFit="1" customWidth="1"/>
    <col min="617" max="617" width="13.21875" bestFit="1" customWidth="1"/>
    <col min="618" max="618" width="16" bestFit="1" customWidth="1"/>
    <col min="619" max="619" width="13.21875" bestFit="1" customWidth="1"/>
    <col min="620" max="620" width="16" bestFit="1" customWidth="1"/>
    <col min="621" max="622" width="13.21875" bestFit="1" customWidth="1"/>
    <col min="623" max="623" width="16" bestFit="1" customWidth="1"/>
    <col min="624" max="624" width="13.21875" bestFit="1" customWidth="1"/>
    <col min="625" max="625" width="16" bestFit="1" customWidth="1"/>
    <col min="626" max="627" width="13.21875" bestFit="1" customWidth="1"/>
    <col min="628" max="628" width="16" bestFit="1" customWidth="1"/>
    <col min="629" max="630" width="13.21875" bestFit="1" customWidth="1"/>
    <col min="631" max="631" width="16" bestFit="1" customWidth="1"/>
    <col min="632" max="632" width="13.21875" bestFit="1" customWidth="1"/>
    <col min="633" max="633" width="16" bestFit="1" customWidth="1"/>
    <col min="634" max="635" width="12.5546875" bestFit="1" customWidth="1"/>
    <col min="636" max="636" width="15.33203125" bestFit="1" customWidth="1"/>
    <col min="637" max="637" width="12.5546875" bestFit="1" customWidth="1"/>
    <col min="638" max="638" width="15.33203125" bestFit="1" customWidth="1"/>
    <col min="639" max="639" width="12.5546875" bestFit="1" customWidth="1"/>
    <col min="640" max="640" width="15.33203125" bestFit="1" customWidth="1"/>
    <col min="641" max="641" width="12.5546875" bestFit="1" customWidth="1"/>
    <col min="642" max="642" width="15.33203125" bestFit="1" customWidth="1"/>
    <col min="643" max="643" width="12.5546875" bestFit="1" customWidth="1"/>
    <col min="644" max="644" width="15.33203125" bestFit="1" customWidth="1"/>
    <col min="645" max="645" width="12.5546875" bestFit="1" customWidth="1"/>
    <col min="646" max="646" width="15.33203125" bestFit="1" customWidth="1"/>
    <col min="647" max="648" width="12.5546875" bestFit="1" customWidth="1"/>
    <col min="649" max="649" width="15.33203125" bestFit="1" customWidth="1"/>
    <col min="650" max="650" width="12.5546875" bestFit="1" customWidth="1"/>
    <col min="651" max="651" width="15.33203125" bestFit="1" customWidth="1"/>
    <col min="652" max="653" width="12.5546875" bestFit="1" customWidth="1"/>
    <col min="654" max="654" width="15.33203125" bestFit="1" customWidth="1"/>
    <col min="655" max="655" width="12.5546875" bestFit="1" customWidth="1"/>
    <col min="656" max="656" width="15.33203125" bestFit="1" customWidth="1"/>
    <col min="657" max="657" width="12.5546875" bestFit="1" customWidth="1"/>
    <col min="658" max="658" width="15.33203125" bestFit="1" customWidth="1"/>
    <col min="659" max="659" width="12.5546875" bestFit="1" customWidth="1"/>
    <col min="660" max="660" width="15.33203125" bestFit="1" customWidth="1"/>
    <col min="661" max="662" width="12.5546875" bestFit="1" customWidth="1"/>
    <col min="663" max="663" width="15.33203125" bestFit="1" customWidth="1"/>
    <col min="664" max="664" width="12.5546875" bestFit="1" customWidth="1"/>
    <col min="665" max="665" width="15.33203125" bestFit="1" customWidth="1"/>
    <col min="666" max="666" width="12.5546875" bestFit="1" customWidth="1"/>
    <col min="667" max="667" width="15.33203125" bestFit="1" customWidth="1"/>
    <col min="668" max="668" width="12.5546875" bestFit="1" customWidth="1"/>
    <col min="669" max="669" width="15.33203125" bestFit="1" customWidth="1"/>
    <col min="670" max="670" width="12.5546875" bestFit="1" customWidth="1"/>
    <col min="671" max="671" width="15.33203125" bestFit="1" customWidth="1"/>
    <col min="672" max="672" width="12.5546875" bestFit="1" customWidth="1"/>
    <col min="673" max="673" width="15.33203125" bestFit="1" customWidth="1"/>
    <col min="674" max="675" width="12.5546875" bestFit="1" customWidth="1"/>
    <col min="676" max="676" width="15.33203125" bestFit="1" customWidth="1"/>
    <col min="677" max="677" width="13.6640625" bestFit="1" customWidth="1"/>
    <col min="678" max="678" width="16.44140625" bestFit="1" customWidth="1"/>
    <col min="679" max="679" width="13.6640625" bestFit="1" customWidth="1"/>
    <col min="680" max="680" width="16.44140625" bestFit="1" customWidth="1"/>
    <col min="681" max="681" width="13.6640625" bestFit="1" customWidth="1"/>
    <col min="682" max="682" width="16.44140625" bestFit="1" customWidth="1"/>
    <col min="683" max="684" width="13.6640625" bestFit="1" customWidth="1"/>
    <col min="685" max="685" width="16.44140625" bestFit="1" customWidth="1"/>
    <col min="686" max="687" width="13.6640625" bestFit="1" customWidth="1"/>
    <col min="688" max="688" width="16.44140625" bestFit="1" customWidth="1"/>
    <col min="689" max="689" width="13.6640625" bestFit="1" customWidth="1"/>
    <col min="690" max="690" width="16.44140625" bestFit="1" customWidth="1"/>
    <col min="691" max="691" width="13.6640625" bestFit="1" customWidth="1"/>
    <col min="692" max="692" width="16.44140625" bestFit="1" customWidth="1"/>
    <col min="693" max="693" width="13.6640625" bestFit="1" customWidth="1"/>
    <col min="694" max="694" width="16.44140625" bestFit="1" customWidth="1"/>
    <col min="695" max="695" width="13.44140625" bestFit="1" customWidth="1"/>
    <col min="696" max="696" width="16.21875" bestFit="1" customWidth="1"/>
    <col min="697" max="697" width="13.44140625" bestFit="1" customWidth="1"/>
    <col min="698" max="698" width="16.21875" bestFit="1" customWidth="1"/>
    <col min="699" max="699" width="13.44140625" bestFit="1" customWidth="1"/>
    <col min="700" max="700" width="16.21875" bestFit="1" customWidth="1"/>
    <col min="701" max="703" width="13.44140625" bestFit="1" customWidth="1"/>
    <col min="704" max="704" width="16.21875" bestFit="1" customWidth="1"/>
    <col min="705" max="706" width="13.44140625" bestFit="1" customWidth="1"/>
    <col min="707" max="707" width="16.21875" bestFit="1" customWidth="1"/>
    <col min="708" max="709" width="13.44140625" bestFit="1" customWidth="1"/>
    <col min="710" max="710" width="16.21875" bestFit="1" customWidth="1"/>
    <col min="711" max="711" width="13.44140625" bestFit="1" customWidth="1"/>
    <col min="712" max="712" width="16.21875" bestFit="1" customWidth="1"/>
    <col min="713" max="714" width="13.44140625" bestFit="1" customWidth="1"/>
    <col min="715" max="715" width="16.21875" bestFit="1" customWidth="1"/>
    <col min="716" max="717" width="13.44140625" bestFit="1" customWidth="1"/>
    <col min="718" max="718" width="16.21875" bestFit="1" customWidth="1"/>
    <col min="719" max="719" width="13.44140625" bestFit="1" customWidth="1"/>
    <col min="720" max="720" width="16.21875" bestFit="1" customWidth="1"/>
    <col min="721" max="721" width="13.44140625" bestFit="1" customWidth="1"/>
    <col min="722" max="722" width="16.21875" bestFit="1" customWidth="1"/>
    <col min="723" max="723" width="13.44140625" bestFit="1" customWidth="1"/>
    <col min="724" max="724" width="16.21875" bestFit="1" customWidth="1"/>
    <col min="725" max="725" width="13.44140625" bestFit="1" customWidth="1"/>
    <col min="726" max="726" width="16.21875" bestFit="1" customWidth="1"/>
    <col min="727" max="727" width="13.21875" bestFit="1" customWidth="1"/>
    <col min="728" max="728" width="16" bestFit="1" customWidth="1"/>
    <col min="729" max="729" width="13.21875" bestFit="1" customWidth="1"/>
    <col min="730" max="730" width="16" bestFit="1" customWidth="1"/>
    <col min="731" max="732" width="13.21875" bestFit="1" customWidth="1"/>
    <col min="733" max="733" width="16" bestFit="1" customWidth="1"/>
    <col min="734" max="734" width="13.21875" bestFit="1" customWidth="1"/>
    <col min="735" max="735" width="16" bestFit="1" customWidth="1"/>
    <col min="736" max="738" width="13.21875" bestFit="1" customWidth="1"/>
    <col min="739" max="739" width="16" bestFit="1" customWidth="1"/>
    <col min="740" max="740" width="13.21875" bestFit="1" customWidth="1"/>
    <col min="741" max="741" width="16" bestFit="1" customWidth="1"/>
    <col min="742" max="742" width="13.21875" bestFit="1" customWidth="1"/>
    <col min="743" max="743" width="16" bestFit="1" customWidth="1"/>
    <col min="744" max="744" width="13.21875" bestFit="1" customWidth="1"/>
    <col min="745" max="745" width="16" bestFit="1" customWidth="1"/>
    <col min="746" max="746" width="13.21875" bestFit="1" customWidth="1"/>
    <col min="747" max="747" width="16" bestFit="1" customWidth="1"/>
    <col min="748" max="750" width="13.21875" bestFit="1" customWidth="1"/>
    <col min="751" max="751" width="16" bestFit="1" customWidth="1"/>
    <col min="752" max="752" width="13.21875" bestFit="1" customWidth="1"/>
    <col min="753" max="753" width="16" bestFit="1" customWidth="1"/>
    <col min="754" max="754" width="13.21875" bestFit="1" customWidth="1"/>
    <col min="755" max="755" width="16" bestFit="1" customWidth="1"/>
    <col min="756" max="756" width="13.21875" bestFit="1" customWidth="1"/>
    <col min="757" max="757" width="16" bestFit="1" customWidth="1"/>
    <col min="758" max="758" width="13.21875" bestFit="1" customWidth="1"/>
    <col min="759" max="759" width="16" bestFit="1" customWidth="1"/>
    <col min="760" max="760" width="13.21875" bestFit="1" customWidth="1"/>
    <col min="761" max="761" width="16" bestFit="1" customWidth="1"/>
    <col min="762" max="762" width="13.21875" bestFit="1" customWidth="1"/>
    <col min="763" max="763" width="16" bestFit="1" customWidth="1"/>
    <col min="764" max="764" width="13.21875" bestFit="1" customWidth="1"/>
    <col min="765" max="765" width="16" bestFit="1" customWidth="1"/>
    <col min="766" max="767" width="13.21875" bestFit="1" customWidth="1"/>
    <col min="768" max="768" width="16" bestFit="1" customWidth="1"/>
    <col min="769" max="770" width="13.21875" bestFit="1" customWidth="1"/>
    <col min="771" max="771" width="16" bestFit="1" customWidth="1"/>
    <col min="772" max="773" width="13.21875" bestFit="1" customWidth="1"/>
    <col min="774" max="774" width="16" bestFit="1" customWidth="1"/>
    <col min="775" max="775" width="13.21875" bestFit="1" customWidth="1"/>
    <col min="776" max="776" width="16" bestFit="1" customWidth="1"/>
    <col min="777" max="777" width="13.77734375" bestFit="1" customWidth="1"/>
    <col min="778" max="778" width="16.5546875" bestFit="1" customWidth="1"/>
    <col min="779" max="779" width="13.77734375" bestFit="1" customWidth="1"/>
    <col min="780" max="780" width="16.5546875" bestFit="1" customWidth="1"/>
    <col min="781" max="781" width="13.77734375" bestFit="1" customWidth="1"/>
    <col min="782" max="782" width="16.5546875" bestFit="1" customWidth="1"/>
    <col min="783" max="783" width="13.77734375" bestFit="1" customWidth="1"/>
    <col min="784" max="784" width="16.5546875" bestFit="1" customWidth="1"/>
    <col min="785" max="785" width="13.77734375" bestFit="1" customWidth="1"/>
    <col min="786" max="786" width="16.5546875" bestFit="1" customWidth="1"/>
    <col min="787" max="787" width="13.77734375" bestFit="1" customWidth="1"/>
    <col min="788" max="788" width="16.5546875" bestFit="1" customWidth="1"/>
    <col min="789" max="789" width="13.77734375" bestFit="1" customWidth="1"/>
    <col min="790" max="790" width="16.5546875" bestFit="1" customWidth="1"/>
    <col min="791" max="791" width="13.77734375" bestFit="1" customWidth="1"/>
    <col min="792" max="792" width="16.5546875" bestFit="1" customWidth="1"/>
    <col min="793" max="793" width="13.77734375" bestFit="1" customWidth="1"/>
    <col min="794" max="794" width="16.5546875" bestFit="1" customWidth="1"/>
    <col min="795" max="795" width="13.77734375" bestFit="1" customWidth="1"/>
    <col min="796" max="796" width="16.5546875" bestFit="1" customWidth="1"/>
    <col min="797" max="797" width="13.77734375" bestFit="1" customWidth="1"/>
    <col min="798" max="798" width="16.5546875" bestFit="1" customWidth="1"/>
    <col min="799" max="799" width="13.77734375" bestFit="1" customWidth="1"/>
    <col min="800" max="800" width="16.5546875" bestFit="1" customWidth="1"/>
    <col min="801" max="802" width="13.77734375" bestFit="1" customWidth="1"/>
    <col min="803" max="803" width="16.5546875" bestFit="1" customWidth="1"/>
    <col min="804" max="804" width="13.77734375" bestFit="1" customWidth="1"/>
    <col min="805" max="805" width="16.5546875" bestFit="1" customWidth="1"/>
    <col min="806" max="806" width="13.77734375" bestFit="1" customWidth="1"/>
    <col min="807" max="807" width="16.5546875" bestFit="1" customWidth="1"/>
    <col min="808" max="808" width="13.77734375" bestFit="1" customWidth="1"/>
    <col min="809" max="809" width="16.5546875" bestFit="1" customWidth="1"/>
    <col min="810" max="810" width="13.44140625" bestFit="1" customWidth="1"/>
    <col min="811" max="811" width="16.21875" bestFit="1" customWidth="1"/>
    <col min="812" max="812" width="13.44140625" bestFit="1" customWidth="1"/>
    <col min="813" max="813" width="16.21875" bestFit="1" customWidth="1"/>
    <col min="814" max="815" width="13.44140625" bestFit="1" customWidth="1"/>
    <col min="816" max="816" width="16.21875" bestFit="1" customWidth="1"/>
    <col min="817" max="817" width="13.44140625" bestFit="1" customWidth="1"/>
    <col min="818" max="818" width="16.21875" bestFit="1" customWidth="1"/>
    <col min="819" max="819" width="13.44140625" bestFit="1" customWidth="1"/>
    <col min="820" max="820" width="16.21875" bestFit="1" customWidth="1"/>
    <col min="821" max="821" width="13.44140625" bestFit="1" customWidth="1"/>
    <col min="822" max="822" width="16.21875" bestFit="1" customWidth="1"/>
    <col min="823" max="823" width="13.44140625" bestFit="1" customWidth="1"/>
    <col min="824" max="824" width="16.21875" bestFit="1" customWidth="1"/>
    <col min="825" max="825" width="13.44140625" bestFit="1" customWidth="1"/>
    <col min="826" max="826" width="16.21875" bestFit="1" customWidth="1"/>
    <col min="827" max="827" width="13.44140625" bestFit="1" customWidth="1"/>
    <col min="828" max="828" width="16.21875" bestFit="1" customWidth="1"/>
    <col min="829" max="830" width="13.44140625" bestFit="1" customWidth="1"/>
    <col min="831" max="831" width="16.21875" bestFit="1" customWidth="1"/>
    <col min="832" max="833" width="13.44140625" bestFit="1" customWidth="1"/>
    <col min="834" max="834" width="16.21875" bestFit="1" customWidth="1"/>
    <col min="835" max="836" width="13.44140625" bestFit="1" customWidth="1"/>
    <col min="837" max="837" width="16.21875" bestFit="1" customWidth="1"/>
    <col min="838" max="838" width="13.44140625" bestFit="1" customWidth="1"/>
    <col min="839" max="839" width="16.21875" bestFit="1" customWidth="1"/>
    <col min="840" max="840" width="13.44140625" bestFit="1" customWidth="1"/>
    <col min="841" max="841" width="16.21875" bestFit="1" customWidth="1"/>
    <col min="842" max="842" width="13.44140625" bestFit="1" customWidth="1"/>
    <col min="843" max="843" width="16.21875" bestFit="1" customWidth="1"/>
    <col min="844" max="844" width="13.44140625" bestFit="1" customWidth="1"/>
    <col min="845" max="845" width="16.21875" bestFit="1" customWidth="1"/>
    <col min="846" max="846" width="13.44140625" bestFit="1" customWidth="1"/>
    <col min="847" max="847" width="16.21875" bestFit="1" customWidth="1"/>
    <col min="848" max="849" width="13.109375" bestFit="1" customWidth="1"/>
    <col min="850" max="850" width="15.88671875" bestFit="1" customWidth="1"/>
    <col min="851" max="852" width="13.109375" bestFit="1" customWidth="1"/>
    <col min="853" max="853" width="15.88671875" bestFit="1" customWidth="1"/>
    <col min="854" max="854" width="13.109375" bestFit="1" customWidth="1"/>
    <col min="855" max="855" width="15.88671875" bestFit="1" customWidth="1"/>
    <col min="856" max="857" width="13.109375" bestFit="1" customWidth="1"/>
    <col min="858" max="858" width="15.88671875" bestFit="1" customWidth="1"/>
    <col min="859" max="860" width="13.109375" bestFit="1" customWidth="1"/>
    <col min="861" max="861" width="15.88671875" bestFit="1" customWidth="1"/>
    <col min="862" max="863" width="13.109375" bestFit="1" customWidth="1"/>
    <col min="864" max="864" width="15.88671875" bestFit="1" customWidth="1"/>
    <col min="865" max="865" width="13.109375" bestFit="1" customWidth="1"/>
    <col min="866" max="866" width="15.88671875" bestFit="1" customWidth="1"/>
    <col min="867" max="867" width="13.109375" bestFit="1" customWidth="1"/>
    <col min="868" max="868" width="15.88671875" bestFit="1" customWidth="1"/>
    <col min="869" max="869" width="13.109375" bestFit="1" customWidth="1"/>
    <col min="870" max="870" width="15.88671875" bestFit="1" customWidth="1"/>
    <col min="871" max="871" width="13.109375" bestFit="1" customWidth="1"/>
    <col min="872" max="872" width="15.88671875" bestFit="1" customWidth="1"/>
    <col min="873" max="874" width="13.109375" bestFit="1" customWidth="1"/>
    <col min="875" max="875" width="15.88671875" bestFit="1" customWidth="1"/>
    <col min="876" max="876" width="13.109375" bestFit="1" customWidth="1"/>
    <col min="877" max="877" width="15.88671875" bestFit="1" customWidth="1"/>
    <col min="878" max="878" width="13.109375" bestFit="1" customWidth="1"/>
    <col min="879" max="879" width="15.88671875" bestFit="1" customWidth="1"/>
    <col min="880" max="880" width="13.109375" bestFit="1" customWidth="1"/>
    <col min="881" max="881" width="15.88671875" bestFit="1" customWidth="1"/>
    <col min="882" max="883" width="13.109375" bestFit="1" customWidth="1"/>
    <col min="884" max="884" width="15.88671875" bestFit="1" customWidth="1"/>
    <col min="885" max="885" width="13.109375" bestFit="1" customWidth="1"/>
    <col min="886" max="886" width="15.88671875" bestFit="1" customWidth="1"/>
    <col min="887" max="887" width="13.109375" bestFit="1" customWidth="1"/>
    <col min="888" max="888" width="15.88671875" bestFit="1" customWidth="1"/>
    <col min="889" max="889" width="13.33203125" bestFit="1" customWidth="1"/>
    <col min="890" max="890" width="16.109375" bestFit="1" customWidth="1"/>
    <col min="891" max="891" width="13.33203125" bestFit="1" customWidth="1"/>
    <col min="892" max="892" width="16.109375" bestFit="1" customWidth="1"/>
    <col min="893" max="894" width="13.33203125" bestFit="1" customWidth="1"/>
    <col min="895" max="895" width="16.109375" bestFit="1" customWidth="1"/>
    <col min="896" max="896" width="13.33203125" bestFit="1" customWidth="1"/>
    <col min="897" max="897" width="16.109375" bestFit="1" customWidth="1"/>
    <col min="898" max="899" width="13.33203125" bestFit="1" customWidth="1"/>
    <col min="900" max="900" width="16.109375" bestFit="1" customWidth="1"/>
    <col min="901" max="901" width="13.33203125" bestFit="1" customWidth="1"/>
    <col min="902" max="902" width="16.109375" bestFit="1" customWidth="1"/>
    <col min="903" max="903" width="13.33203125" bestFit="1" customWidth="1"/>
    <col min="904" max="904" width="16.109375" bestFit="1" customWidth="1"/>
    <col min="905" max="905" width="13.33203125" bestFit="1" customWidth="1"/>
    <col min="906" max="906" width="16.109375" bestFit="1" customWidth="1"/>
    <col min="907" max="907" width="13.33203125" bestFit="1" customWidth="1"/>
    <col min="908" max="908" width="16.109375" bestFit="1" customWidth="1"/>
    <col min="909" max="909" width="13.33203125" bestFit="1" customWidth="1"/>
    <col min="910" max="910" width="16.109375" bestFit="1" customWidth="1"/>
    <col min="911" max="911" width="13.33203125" bestFit="1" customWidth="1"/>
    <col min="912" max="912" width="16.109375" bestFit="1" customWidth="1"/>
    <col min="913" max="913" width="13.33203125" bestFit="1" customWidth="1"/>
    <col min="914" max="914" width="16.109375" bestFit="1" customWidth="1"/>
    <col min="915" max="915" width="13.33203125" bestFit="1" customWidth="1"/>
    <col min="916" max="916" width="16.109375" bestFit="1" customWidth="1"/>
    <col min="917" max="918" width="13.33203125" bestFit="1" customWidth="1"/>
    <col min="919" max="919" width="16.109375" bestFit="1" customWidth="1"/>
    <col min="920" max="920" width="13.33203125" bestFit="1" customWidth="1"/>
    <col min="921" max="921" width="16.109375" bestFit="1" customWidth="1"/>
    <col min="922" max="922" width="13.33203125" bestFit="1" customWidth="1"/>
    <col min="923" max="923" width="16.109375" bestFit="1" customWidth="1"/>
    <col min="924" max="924" width="13.33203125" bestFit="1" customWidth="1"/>
    <col min="925" max="925" width="16.109375" bestFit="1" customWidth="1"/>
    <col min="926" max="927" width="13.33203125" bestFit="1" customWidth="1"/>
    <col min="928" max="928" width="16.109375" bestFit="1" customWidth="1"/>
    <col min="929" max="929" width="13.33203125" bestFit="1" customWidth="1"/>
    <col min="930" max="930" width="16.109375" bestFit="1" customWidth="1"/>
    <col min="931" max="931" width="13.77734375" bestFit="1" customWidth="1"/>
    <col min="932" max="932" width="16.5546875" bestFit="1" customWidth="1"/>
    <col min="933" max="934" width="13.77734375" bestFit="1" customWidth="1"/>
    <col min="935" max="935" width="16.5546875" bestFit="1" customWidth="1"/>
    <col min="936" max="936" width="13.77734375" bestFit="1" customWidth="1"/>
    <col min="937" max="937" width="16.5546875" bestFit="1" customWidth="1"/>
    <col min="938" max="938" width="13.77734375" bestFit="1" customWidth="1"/>
    <col min="939" max="939" width="16.5546875" bestFit="1" customWidth="1"/>
    <col min="940" max="941" width="13.77734375" bestFit="1" customWidth="1"/>
    <col min="942" max="942" width="16.5546875" bestFit="1" customWidth="1"/>
    <col min="943" max="943" width="13.77734375" bestFit="1" customWidth="1"/>
    <col min="944" max="944" width="16.5546875" bestFit="1" customWidth="1"/>
    <col min="945" max="946" width="13.77734375" bestFit="1" customWidth="1"/>
    <col min="947" max="947" width="16.5546875" bestFit="1" customWidth="1"/>
    <col min="948" max="949" width="13.77734375" bestFit="1" customWidth="1"/>
    <col min="950" max="950" width="16.5546875" bestFit="1" customWidth="1"/>
    <col min="951" max="951" width="13.77734375" bestFit="1" customWidth="1"/>
    <col min="952" max="952" width="16.5546875" bestFit="1" customWidth="1"/>
    <col min="953" max="954" width="13.77734375" bestFit="1" customWidth="1"/>
    <col min="955" max="955" width="16.5546875" bestFit="1" customWidth="1"/>
    <col min="956" max="957" width="13.77734375" bestFit="1" customWidth="1"/>
    <col min="958" max="958" width="16.5546875" bestFit="1" customWidth="1"/>
    <col min="959" max="960" width="13.77734375" bestFit="1" customWidth="1"/>
    <col min="961" max="961" width="16.5546875" bestFit="1" customWidth="1"/>
    <col min="962" max="962" width="13.77734375" bestFit="1" customWidth="1"/>
    <col min="963" max="963" width="16.5546875" bestFit="1" customWidth="1"/>
    <col min="964" max="964" width="13.77734375" bestFit="1" customWidth="1"/>
    <col min="965" max="965" width="16.5546875" bestFit="1" customWidth="1"/>
    <col min="966" max="966" width="13.77734375" bestFit="1" customWidth="1"/>
    <col min="967" max="967" width="16.5546875" bestFit="1" customWidth="1"/>
    <col min="968" max="968" width="13.77734375" bestFit="1" customWidth="1"/>
    <col min="969" max="969" width="16.5546875" bestFit="1" customWidth="1"/>
    <col min="970" max="970" width="13.77734375" bestFit="1" customWidth="1"/>
    <col min="971" max="971" width="16.5546875" bestFit="1" customWidth="1"/>
    <col min="972" max="972" width="13.77734375" bestFit="1" customWidth="1"/>
    <col min="973" max="973" width="16.5546875" bestFit="1" customWidth="1"/>
    <col min="974" max="974" width="13.77734375" bestFit="1" customWidth="1"/>
    <col min="975" max="975" width="16.5546875" bestFit="1" customWidth="1"/>
    <col min="976" max="976" width="13.77734375" bestFit="1" customWidth="1"/>
    <col min="977" max="977" width="16.5546875" bestFit="1" customWidth="1"/>
    <col min="978" max="978" width="13.77734375" bestFit="1" customWidth="1"/>
    <col min="979" max="979" width="16.5546875" bestFit="1" customWidth="1"/>
    <col min="980" max="980" width="13.77734375" bestFit="1" customWidth="1"/>
    <col min="981" max="981" width="16.5546875" bestFit="1" customWidth="1"/>
    <col min="982" max="983" width="13.33203125" bestFit="1" customWidth="1"/>
    <col min="984" max="984" width="16.109375" bestFit="1" customWidth="1"/>
    <col min="985" max="985" width="13.33203125" bestFit="1" customWidth="1"/>
    <col min="986" max="986" width="16.109375" bestFit="1" customWidth="1"/>
    <col min="987" max="988" width="13.33203125" bestFit="1" customWidth="1"/>
    <col min="989" max="989" width="16.109375" bestFit="1" customWidth="1"/>
    <col min="990" max="990" width="13.33203125" bestFit="1" customWidth="1"/>
    <col min="991" max="991" width="16.109375" bestFit="1" customWidth="1"/>
    <col min="992" max="993" width="13.33203125" bestFit="1" customWidth="1"/>
    <col min="994" max="994" width="16.109375" bestFit="1" customWidth="1"/>
    <col min="995" max="995" width="13.33203125" bestFit="1" customWidth="1"/>
    <col min="996" max="996" width="16.109375" bestFit="1" customWidth="1"/>
    <col min="997" max="997" width="13.33203125" bestFit="1" customWidth="1"/>
    <col min="998" max="998" width="16.109375" bestFit="1" customWidth="1"/>
    <col min="999" max="999" width="13.33203125" bestFit="1" customWidth="1"/>
    <col min="1000" max="1000" width="16.109375" bestFit="1" customWidth="1"/>
    <col min="1001" max="1001" width="13.33203125" bestFit="1" customWidth="1"/>
    <col min="1002" max="1002" width="16.109375" bestFit="1" customWidth="1"/>
    <col min="1003" max="1003" width="13.33203125" bestFit="1" customWidth="1"/>
    <col min="1004" max="1004" width="16.109375" bestFit="1" customWidth="1"/>
    <col min="1005" max="1006" width="13.33203125" bestFit="1" customWidth="1"/>
    <col min="1007" max="1007" width="16.109375" bestFit="1" customWidth="1"/>
    <col min="1008" max="1009" width="13.33203125" bestFit="1" customWidth="1"/>
    <col min="1010" max="1010" width="16.109375" bestFit="1" customWidth="1"/>
    <col min="1011" max="1011" width="13.33203125" bestFit="1" customWidth="1"/>
    <col min="1012" max="1012" width="16.109375" bestFit="1" customWidth="1"/>
    <col min="1013" max="1014" width="14.109375" bestFit="1" customWidth="1"/>
    <col min="1015" max="1015" width="16.88671875" bestFit="1" customWidth="1"/>
    <col min="1016" max="1016" width="14.109375" bestFit="1" customWidth="1"/>
    <col min="1017" max="1017" width="16.88671875" bestFit="1" customWidth="1"/>
    <col min="1018" max="1018" width="14.109375" bestFit="1" customWidth="1"/>
    <col min="1019" max="1019" width="16.88671875" bestFit="1" customWidth="1"/>
    <col min="1020" max="1020" width="14.109375" bestFit="1" customWidth="1"/>
    <col min="1021" max="1021" width="16.88671875" bestFit="1" customWidth="1"/>
    <col min="1022" max="1022" width="14.109375" bestFit="1" customWidth="1"/>
    <col min="1023" max="1023" width="16.88671875" bestFit="1" customWidth="1"/>
    <col min="1024" max="1025" width="14.109375" bestFit="1" customWidth="1"/>
    <col min="1026" max="1026" width="16.88671875" bestFit="1" customWidth="1"/>
    <col min="1027" max="1027" width="14.109375" bestFit="1" customWidth="1"/>
    <col min="1028" max="1028" width="16.88671875" bestFit="1" customWidth="1"/>
    <col min="1029" max="1030" width="14.109375" bestFit="1" customWidth="1"/>
    <col min="1031" max="1031" width="16.88671875" bestFit="1" customWidth="1"/>
    <col min="1032" max="1032" width="14.109375" bestFit="1" customWidth="1"/>
    <col min="1033" max="1033" width="16.88671875" bestFit="1" customWidth="1"/>
    <col min="1034" max="1034" width="14.109375" bestFit="1" customWidth="1"/>
    <col min="1035" max="1035" width="16.88671875" bestFit="1" customWidth="1"/>
    <col min="1036" max="1036" width="14.109375" bestFit="1" customWidth="1"/>
    <col min="1037" max="1037" width="16.88671875" bestFit="1" customWidth="1"/>
    <col min="1038" max="1038" width="14.109375" bestFit="1" customWidth="1"/>
    <col min="1039" max="1039" width="16.88671875" bestFit="1" customWidth="1"/>
    <col min="1040" max="1041" width="14.109375" bestFit="1" customWidth="1"/>
    <col min="1042" max="1042" width="16.88671875" bestFit="1" customWidth="1"/>
    <col min="1043" max="1043" width="14.109375" bestFit="1" customWidth="1"/>
    <col min="1044" max="1044" width="16.88671875" bestFit="1" customWidth="1"/>
    <col min="1045" max="1045" width="14.109375" bestFit="1" customWidth="1"/>
    <col min="1046" max="1046" width="16.88671875" bestFit="1" customWidth="1"/>
    <col min="1047" max="1047" width="14.109375" bestFit="1" customWidth="1"/>
    <col min="1048" max="1048" width="16.88671875" bestFit="1" customWidth="1"/>
    <col min="1049" max="1049" width="14.109375" bestFit="1" customWidth="1"/>
    <col min="1050" max="1050" width="16.88671875" bestFit="1" customWidth="1"/>
    <col min="1051" max="1052" width="13.21875" bestFit="1" customWidth="1"/>
    <col min="1053" max="1053" width="16" bestFit="1" customWidth="1"/>
    <col min="1054" max="1054" width="13.21875" bestFit="1" customWidth="1"/>
    <col min="1055" max="1055" width="16" bestFit="1" customWidth="1"/>
    <col min="1056" max="1056" width="13.21875" bestFit="1" customWidth="1"/>
    <col min="1057" max="1057" width="16" bestFit="1" customWidth="1"/>
    <col min="1058" max="1058" width="13.21875" bestFit="1" customWidth="1"/>
    <col min="1059" max="1059" width="16" bestFit="1" customWidth="1"/>
    <col min="1060" max="1061" width="13.21875" bestFit="1" customWidth="1"/>
    <col min="1062" max="1062" width="16" bestFit="1" customWidth="1"/>
    <col min="1063" max="1063" width="13.21875" bestFit="1" customWidth="1"/>
    <col min="1064" max="1064" width="16" bestFit="1" customWidth="1"/>
    <col min="1065" max="1066" width="13.21875" bestFit="1" customWidth="1"/>
    <col min="1067" max="1067" width="16" bestFit="1" customWidth="1"/>
    <col min="1068" max="1069" width="13.21875" bestFit="1" customWidth="1"/>
    <col min="1070" max="1070" width="16" bestFit="1" customWidth="1"/>
    <col min="1071" max="1072" width="13.21875" bestFit="1" customWidth="1"/>
    <col min="1073" max="1073" width="16" bestFit="1" customWidth="1"/>
    <col min="1074" max="1074" width="13.21875" bestFit="1" customWidth="1"/>
    <col min="1075" max="1075" width="16" bestFit="1" customWidth="1"/>
    <col min="1076" max="1076" width="13.21875" bestFit="1" customWidth="1"/>
    <col min="1077" max="1077" width="16" bestFit="1" customWidth="1"/>
    <col min="1078" max="1079" width="13.21875" bestFit="1" customWidth="1"/>
    <col min="1080" max="1080" width="16" bestFit="1" customWidth="1"/>
    <col min="1081" max="1081" width="13.21875" bestFit="1" customWidth="1"/>
    <col min="1082" max="1082" width="16" bestFit="1" customWidth="1"/>
    <col min="1083" max="1083" width="13.21875" bestFit="1" customWidth="1"/>
    <col min="1084" max="1084" width="16" bestFit="1" customWidth="1"/>
    <col min="1085" max="1085" width="12.5546875" bestFit="1" customWidth="1"/>
    <col min="1086" max="1086" width="15.33203125" bestFit="1" customWidth="1"/>
    <col min="1087" max="1087" width="12.5546875" bestFit="1" customWidth="1"/>
    <col min="1088" max="1088" width="15.33203125" bestFit="1" customWidth="1"/>
    <col min="1089" max="1090" width="12.5546875" bestFit="1" customWidth="1"/>
    <col min="1091" max="1091" width="15.33203125" bestFit="1" customWidth="1"/>
    <col min="1092" max="1092" width="12.5546875" bestFit="1" customWidth="1"/>
    <col min="1093" max="1093" width="15.33203125" bestFit="1" customWidth="1"/>
    <col min="1094" max="1095" width="12.5546875" bestFit="1" customWidth="1"/>
    <col min="1096" max="1096" width="15.33203125" bestFit="1" customWidth="1"/>
    <col min="1097" max="1097" width="12.5546875" bestFit="1" customWidth="1"/>
    <col min="1098" max="1098" width="15.33203125" bestFit="1" customWidth="1"/>
    <col min="1099" max="1100" width="12.5546875" bestFit="1" customWidth="1"/>
    <col min="1101" max="1101" width="15.33203125" bestFit="1" customWidth="1"/>
    <col min="1102" max="1102" width="12.5546875" bestFit="1" customWidth="1"/>
    <col min="1103" max="1103" width="15.33203125" bestFit="1" customWidth="1"/>
    <col min="1104" max="1106" width="12.5546875" bestFit="1" customWidth="1"/>
    <col min="1107" max="1107" width="15.33203125" bestFit="1" customWidth="1"/>
    <col min="1108" max="1108" width="12.5546875" bestFit="1" customWidth="1"/>
    <col min="1109" max="1109" width="15.33203125" bestFit="1" customWidth="1"/>
    <col min="1110" max="1110" width="12.5546875" bestFit="1" customWidth="1"/>
    <col min="1111" max="1111" width="15.33203125" bestFit="1" customWidth="1"/>
    <col min="1112" max="1112" width="12.5546875" bestFit="1" customWidth="1"/>
    <col min="1113" max="1113" width="15.33203125" bestFit="1" customWidth="1"/>
    <col min="1114" max="1114" width="12.5546875" bestFit="1" customWidth="1"/>
    <col min="1115" max="1115" width="15.33203125" bestFit="1" customWidth="1"/>
    <col min="1116" max="1116" width="12.5546875" bestFit="1" customWidth="1"/>
    <col min="1117" max="1117" width="15.33203125" bestFit="1" customWidth="1"/>
    <col min="1118" max="1118" width="13.6640625" bestFit="1" customWidth="1"/>
    <col min="1119" max="1119" width="16.44140625" bestFit="1" customWidth="1"/>
    <col min="1120" max="1121" width="13.6640625" bestFit="1" customWidth="1"/>
    <col min="1122" max="1122" width="16.44140625" bestFit="1" customWidth="1"/>
    <col min="1123" max="1124" width="13.6640625" bestFit="1" customWidth="1"/>
    <col min="1125" max="1125" width="16.44140625" bestFit="1" customWidth="1"/>
    <col min="1126" max="1127" width="13.6640625" bestFit="1" customWidth="1"/>
    <col min="1128" max="1128" width="16.44140625" bestFit="1" customWidth="1"/>
    <col min="1129" max="1129" width="13.6640625" bestFit="1" customWidth="1"/>
    <col min="1130" max="1130" width="16.44140625" bestFit="1" customWidth="1"/>
    <col min="1131" max="1132" width="13.6640625" bestFit="1" customWidth="1"/>
    <col min="1133" max="1133" width="16.44140625" bestFit="1" customWidth="1"/>
    <col min="1134" max="1134" width="13.6640625" bestFit="1" customWidth="1"/>
    <col min="1135" max="1135" width="16.44140625" bestFit="1" customWidth="1"/>
    <col min="1136" max="1136" width="13.6640625" bestFit="1" customWidth="1"/>
    <col min="1137" max="1137" width="16.44140625" bestFit="1" customWidth="1"/>
    <col min="1138" max="1138" width="13.6640625" bestFit="1" customWidth="1"/>
    <col min="1139" max="1139" width="16.44140625" bestFit="1" customWidth="1"/>
    <col min="1140" max="1140" width="13.6640625" bestFit="1" customWidth="1"/>
    <col min="1141" max="1141" width="16.44140625" bestFit="1" customWidth="1"/>
    <col min="1142" max="1142" width="13.6640625" bestFit="1" customWidth="1"/>
    <col min="1143" max="1143" width="16.44140625" bestFit="1" customWidth="1"/>
    <col min="1144" max="1144" width="13.6640625" bestFit="1" customWidth="1"/>
    <col min="1145" max="1145" width="16.44140625" bestFit="1" customWidth="1"/>
    <col min="1146" max="1146" width="13.6640625" bestFit="1" customWidth="1"/>
    <col min="1147" max="1147" width="16.44140625" bestFit="1" customWidth="1"/>
    <col min="1148" max="1148" width="13.6640625" bestFit="1" customWidth="1"/>
    <col min="1149" max="1149" width="16.44140625" bestFit="1" customWidth="1"/>
    <col min="1150" max="1151" width="13.6640625" bestFit="1" customWidth="1"/>
    <col min="1152" max="1152" width="16.44140625" bestFit="1" customWidth="1"/>
    <col min="1153" max="1153" width="13.6640625" bestFit="1" customWidth="1"/>
    <col min="1154" max="1154" width="16.44140625" bestFit="1" customWidth="1"/>
    <col min="1155" max="1156" width="13.6640625" bestFit="1" customWidth="1"/>
    <col min="1157" max="1157" width="16.44140625" bestFit="1" customWidth="1"/>
    <col min="1158" max="1158" width="13.44140625" bestFit="1" customWidth="1"/>
    <col min="1159" max="1159" width="16.21875" bestFit="1" customWidth="1"/>
    <col min="1160" max="1161" width="13.44140625" bestFit="1" customWidth="1"/>
    <col min="1162" max="1162" width="16.21875" bestFit="1" customWidth="1"/>
    <col min="1163" max="1164" width="13.44140625" bestFit="1" customWidth="1"/>
    <col min="1165" max="1165" width="16.21875" bestFit="1" customWidth="1"/>
    <col min="1166" max="1166" width="13.44140625" bestFit="1" customWidth="1"/>
    <col min="1167" max="1167" width="16.21875" bestFit="1" customWidth="1"/>
    <col min="1168" max="1169" width="13.44140625" bestFit="1" customWidth="1"/>
    <col min="1170" max="1170" width="16.21875" bestFit="1" customWidth="1"/>
    <col min="1171" max="1172" width="13.44140625" bestFit="1" customWidth="1"/>
    <col min="1173" max="1173" width="16.21875" bestFit="1" customWidth="1"/>
    <col min="1174" max="1174" width="13.44140625" bestFit="1" customWidth="1"/>
    <col min="1175" max="1175" width="16.21875" bestFit="1" customWidth="1"/>
    <col min="1176" max="1176" width="13.44140625" bestFit="1" customWidth="1"/>
    <col min="1177" max="1177" width="16.21875" bestFit="1" customWidth="1"/>
    <col min="1178" max="1178" width="13.44140625" bestFit="1" customWidth="1"/>
    <col min="1179" max="1179" width="16.21875" bestFit="1" customWidth="1"/>
    <col min="1180" max="1180" width="13.44140625" bestFit="1" customWidth="1"/>
    <col min="1181" max="1181" width="16.21875" bestFit="1" customWidth="1"/>
    <col min="1182" max="1182" width="13.44140625" bestFit="1" customWidth="1"/>
    <col min="1183" max="1183" width="16.21875" bestFit="1" customWidth="1"/>
    <col min="1184" max="1185" width="13.44140625" bestFit="1" customWidth="1"/>
    <col min="1186" max="1186" width="16.21875" bestFit="1" customWidth="1"/>
    <col min="1187" max="1187" width="13.44140625" bestFit="1" customWidth="1"/>
    <col min="1188" max="1188" width="16.21875" bestFit="1" customWidth="1"/>
    <col min="1189" max="1191" width="13.44140625" bestFit="1" customWidth="1"/>
    <col min="1192" max="1192" width="16.21875" bestFit="1" customWidth="1"/>
    <col min="1193" max="1193" width="13.44140625" bestFit="1" customWidth="1"/>
    <col min="1194" max="1194" width="16.21875" bestFit="1" customWidth="1"/>
    <col min="1195" max="1195" width="13.44140625" bestFit="1" customWidth="1"/>
    <col min="1196" max="1196" width="16.21875" bestFit="1" customWidth="1"/>
    <col min="1197" max="1198" width="13.44140625" bestFit="1" customWidth="1"/>
    <col min="1199" max="1199" width="16.21875" bestFit="1" customWidth="1"/>
    <col min="1200" max="1201" width="13.21875" bestFit="1" customWidth="1"/>
    <col min="1202" max="1202" width="16" bestFit="1" customWidth="1"/>
    <col min="1203" max="1204" width="13.21875" bestFit="1" customWidth="1"/>
    <col min="1205" max="1205" width="16" bestFit="1" customWidth="1"/>
    <col min="1206" max="1206" width="13.21875" bestFit="1" customWidth="1"/>
    <col min="1207" max="1207" width="16" bestFit="1" customWidth="1"/>
    <col min="1208" max="1209" width="13.21875" bestFit="1" customWidth="1"/>
    <col min="1210" max="1210" width="16" bestFit="1" customWidth="1"/>
    <col min="1211" max="1212" width="13.21875" bestFit="1" customWidth="1"/>
    <col min="1213" max="1213" width="16" bestFit="1" customWidth="1"/>
    <col min="1214" max="1215" width="13.21875" bestFit="1" customWidth="1"/>
    <col min="1216" max="1216" width="16" bestFit="1" customWidth="1"/>
    <col min="1217" max="1217" width="13.21875" bestFit="1" customWidth="1"/>
    <col min="1218" max="1218" width="16" bestFit="1" customWidth="1"/>
    <col min="1219" max="1219" width="13.21875" bestFit="1" customWidth="1"/>
    <col min="1220" max="1220" width="16" bestFit="1" customWidth="1"/>
    <col min="1221" max="1222" width="13.21875" bestFit="1" customWidth="1"/>
    <col min="1223" max="1223" width="16" bestFit="1" customWidth="1"/>
    <col min="1224" max="1225" width="13.21875" bestFit="1" customWidth="1"/>
    <col min="1226" max="1226" width="16" bestFit="1" customWidth="1"/>
    <col min="1227" max="1228" width="13.21875" bestFit="1" customWidth="1"/>
    <col min="1229" max="1229" width="16" bestFit="1" customWidth="1"/>
    <col min="1230" max="1230" width="13.21875" bestFit="1" customWidth="1"/>
    <col min="1231" max="1231" width="16" bestFit="1" customWidth="1"/>
    <col min="1232" max="1233" width="13.21875" bestFit="1" customWidth="1"/>
    <col min="1234" max="1234" width="16" bestFit="1" customWidth="1"/>
    <col min="1235" max="1235" width="13.21875" bestFit="1" customWidth="1"/>
    <col min="1236" max="1236" width="16" bestFit="1" customWidth="1"/>
    <col min="1237" max="1237" width="13.21875" bestFit="1" customWidth="1"/>
    <col min="1238" max="1238" width="16" bestFit="1" customWidth="1"/>
    <col min="1239" max="1240" width="13.21875" bestFit="1" customWidth="1"/>
    <col min="1241" max="1241" width="16" bestFit="1" customWidth="1"/>
    <col min="1242" max="1243" width="13.77734375" bestFit="1" customWidth="1"/>
    <col min="1244" max="1244" width="16.5546875" bestFit="1" customWidth="1"/>
    <col min="1245" max="1247" width="13.77734375" bestFit="1" customWidth="1"/>
    <col min="1248" max="1248" width="16.5546875" bestFit="1" customWidth="1"/>
    <col min="1249" max="1250" width="13.77734375" bestFit="1" customWidth="1"/>
    <col min="1251" max="1251" width="16.5546875" bestFit="1" customWidth="1"/>
    <col min="1252" max="1252" width="13.77734375" bestFit="1" customWidth="1"/>
    <col min="1253" max="1253" width="16.5546875" bestFit="1" customWidth="1"/>
    <col min="1254" max="1254" width="13.77734375" bestFit="1" customWidth="1"/>
    <col min="1255" max="1255" width="16.5546875" bestFit="1" customWidth="1"/>
    <col min="1256" max="1257" width="13.77734375" bestFit="1" customWidth="1"/>
    <col min="1258" max="1258" width="16.5546875" bestFit="1" customWidth="1"/>
    <col min="1259" max="1260" width="13.77734375" bestFit="1" customWidth="1"/>
    <col min="1261" max="1261" width="16.5546875" bestFit="1" customWidth="1"/>
    <col min="1262" max="1262" width="13.77734375" bestFit="1" customWidth="1"/>
    <col min="1263" max="1263" width="16.5546875" bestFit="1" customWidth="1"/>
    <col min="1264" max="1265" width="13.77734375" bestFit="1" customWidth="1"/>
    <col min="1266" max="1266" width="16.5546875" bestFit="1" customWidth="1"/>
    <col min="1267" max="1267" width="13.77734375" bestFit="1" customWidth="1"/>
    <col min="1268" max="1268" width="16.5546875" bestFit="1" customWidth="1"/>
    <col min="1269" max="1269" width="13.77734375" bestFit="1" customWidth="1"/>
    <col min="1270" max="1270" width="16.5546875" bestFit="1" customWidth="1"/>
    <col min="1271" max="1271" width="13.77734375" bestFit="1" customWidth="1"/>
    <col min="1272" max="1272" width="16.5546875" bestFit="1" customWidth="1"/>
    <col min="1273" max="1273" width="13.77734375" bestFit="1" customWidth="1"/>
    <col min="1274" max="1274" width="16.5546875" bestFit="1" customWidth="1"/>
    <col min="1275" max="1275" width="13.77734375" bestFit="1" customWidth="1"/>
    <col min="1276" max="1276" width="16.5546875" bestFit="1" customWidth="1"/>
    <col min="1277" max="1278" width="13.77734375" bestFit="1" customWidth="1"/>
    <col min="1279" max="1279" width="16.5546875" bestFit="1" customWidth="1"/>
    <col min="1280" max="1281" width="13.77734375" bestFit="1" customWidth="1"/>
    <col min="1282" max="1282" width="16.5546875" bestFit="1" customWidth="1"/>
    <col min="1283" max="1283" width="13.77734375" bestFit="1" customWidth="1"/>
    <col min="1284" max="1284" width="16.5546875" bestFit="1" customWidth="1"/>
    <col min="1285" max="1286" width="13.77734375" bestFit="1" customWidth="1"/>
    <col min="1287" max="1287" width="16.5546875" bestFit="1" customWidth="1"/>
    <col min="1288" max="1288" width="13.77734375" bestFit="1" customWidth="1"/>
    <col min="1289" max="1289" width="16.5546875" bestFit="1" customWidth="1"/>
    <col min="1290" max="1291" width="13.77734375" bestFit="1" customWidth="1"/>
    <col min="1292" max="1292" width="16.5546875" bestFit="1" customWidth="1"/>
    <col min="1293" max="1294" width="13.44140625" bestFit="1" customWidth="1"/>
    <col min="1295" max="1295" width="16.21875" bestFit="1" customWidth="1"/>
    <col min="1296" max="1296" width="13.44140625" bestFit="1" customWidth="1"/>
    <col min="1297" max="1297" width="16.21875" bestFit="1" customWidth="1"/>
    <col min="1298" max="1298" width="13.44140625" bestFit="1" customWidth="1"/>
    <col min="1299" max="1299" width="16.21875" bestFit="1" customWidth="1"/>
    <col min="1300" max="1300" width="13.44140625" bestFit="1" customWidth="1"/>
    <col min="1301" max="1301" width="16.21875" bestFit="1" customWidth="1"/>
    <col min="1302" max="1302" width="13.44140625" bestFit="1" customWidth="1"/>
    <col min="1303" max="1303" width="16.21875" bestFit="1" customWidth="1"/>
    <col min="1304" max="1305" width="13.44140625" bestFit="1" customWidth="1"/>
    <col min="1306" max="1306" width="16.21875" bestFit="1" customWidth="1"/>
    <col min="1307" max="1307" width="13.44140625" bestFit="1" customWidth="1"/>
    <col min="1308" max="1308" width="16.21875" bestFit="1" customWidth="1"/>
    <col min="1309" max="1310" width="13.44140625" bestFit="1" customWidth="1"/>
    <col min="1311" max="1311" width="16.21875" bestFit="1" customWidth="1"/>
    <col min="1312" max="1313" width="13.44140625" bestFit="1" customWidth="1"/>
    <col min="1314" max="1314" width="16.21875" bestFit="1" customWidth="1"/>
    <col min="1315" max="1316" width="13.44140625" bestFit="1" customWidth="1"/>
    <col min="1317" max="1317" width="16.21875" bestFit="1" customWidth="1"/>
    <col min="1318" max="1320" width="13.44140625" bestFit="1" customWidth="1"/>
    <col min="1321" max="1321" width="16.21875" bestFit="1" customWidth="1"/>
    <col min="1322" max="1323" width="13.44140625" bestFit="1" customWidth="1"/>
    <col min="1324" max="1324" width="16.21875" bestFit="1" customWidth="1"/>
    <col min="1325" max="1325" width="13.44140625" bestFit="1" customWidth="1"/>
    <col min="1326" max="1326" width="16.21875" bestFit="1" customWidth="1"/>
    <col min="1327" max="1328" width="13.44140625" bestFit="1" customWidth="1"/>
    <col min="1329" max="1329" width="16.21875" bestFit="1" customWidth="1"/>
    <col min="1330" max="1330" width="13.44140625" bestFit="1" customWidth="1"/>
    <col min="1331" max="1331" width="16.21875" bestFit="1" customWidth="1"/>
    <col min="1332" max="1332" width="13.44140625" bestFit="1" customWidth="1"/>
    <col min="1333" max="1333" width="16.21875" bestFit="1" customWidth="1"/>
    <col min="1334" max="1334" width="13.109375" bestFit="1" customWidth="1"/>
    <col min="1335" max="1335" width="15.88671875" bestFit="1" customWidth="1"/>
    <col min="1336" max="1338" width="13.109375" bestFit="1" customWidth="1"/>
    <col min="1339" max="1339" width="15.88671875" bestFit="1" customWidth="1"/>
    <col min="1340" max="1340" width="13.109375" bestFit="1" customWidth="1"/>
    <col min="1341" max="1341" width="15.88671875" bestFit="1" customWidth="1"/>
    <col min="1342" max="1342" width="13.109375" bestFit="1" customWidth="1"/>
    <col min="1343" max="1343" width="15.88671875" bestFit="1" customWidth="1"/>
    <col min="1344" max="1345" width="13.109375" bestFit="1" customWidth="1"/>
    <col min="1346" max="1346" width="15.88671875" bestFit="1" customWidth="1"/>
    <col min="1347" max="1347" width="13.109375" bestFit="1" customWidth="1"/>
    <col min="1348" max="1348" width="15.88671875" bestFit="1" customWidth="1"/>
    <col min="1349" max="1349" width="13.109375" bestFit="1" customWidth="1"/>
    <col min="1350" max="1350" width="15.88671875" bestFit="1" customWidth="1"/>
    <col min="1351" max="1351" width="13.109375" bestFit="1" customWidth="1"/>
    <col min="1352" max="1352" width="15.88671875" bestFit="1" customWidth="1"/>
    <col min="1353" max="1353" width="13.109375" bestFit="1" customWidth="1"/>
    <col min="1354" max="1354" width="15.88671875" bestFit="1" customWidth="1"/>
    <col min="1355" max="1356" width="13.109375" bestFit="1" customWidth="1"/>
    <col min="1357" max="1357" width="15.88671875" bestFit="1" customWidth="1"/>
    <col min="1358" max="1358" width="13.109375" bestFit="1" customWidth="1"/>
    <col min="1359" max="1359" width="15.88671875" bestFit="1" customWidth="1"/>
    <col min="1360" max="1360" width="13.109375" bestFit="1" customWidth="1"/>
    <col min="1361" max="1361" width="15.88671875" bestFit="1" customWidth="1"/>
    <col min="1362" max="1362" width="13.109375" bestFit="1" customWidth="1"/>
    <col min="1363" max="1363" width="15.88671875" bestFit="1" customWidth="1"/>
    <col min="1364" max="1364" width="13.109375" bestFit="1" customWidth="1"/>
    <col min="1365" max="1365" width="15.88671875" bestFit="1" customWidth="1"/>
    <col min="1366" max="1367" width="13.109375" bestFit="1" customWidth="1"/>
    <col min="1368" max="1368" width="15.88671875" bestFit="1" customWidth="1"/>
    <col min="1369" max="1370" width="13.109375" bestFit="1" customWidth="1"/>
    <col min="1371" max="1371" width="15.88671875" bestFit="1" customWidth="1"/>
    <col min="1372" max="1373" width="13.109375" bestFit="1" customWidth="1"/>
    <col min="1374" max="1374" width="15.88671875" bestFit="1" customWidth="1"/>
    <col min="1375" max="1375" width="13.33203125" bestFit="1" customWidth="1"/>
    <col min="1376" max="1376" width="16.109375" bestFit="1" customWidth="1"/>
    <col min="1377" max="1377" width="13.33203125" bestFit="1" customWidth="1"/>
    <col min="1378" max="1378" width="16.109375" bestFit="1" customWidth="1"/>
    <col min="1379" max="1379" width="13.33203125" bestFit="1" customWidth="1"/>
    <col min="1380" max="1380" width="16.109375" bestFit="1" customWidth="1"/>
    <col min="1381" max="1381" width="13.33203125" bestFit="1" customWidth="1"/>
    <col min="1382" max="1382" width="16.109375" bestFit="1" customWidth="1"/>
    <col min="1383" max="1383" width="13.33203125" bestFit="1" customWidth="1"/>
    <col min="1384" max="1384" width="16.109375" bestFit="1" customWidth="1"/>
    <col min="1385" max="1385" width="13.33203125" bestFit="1" customWidth="1"/>
    <col min="1386" max="1386" width="16.109375" bestFit="1" customWidth="1"/>
    <col min="1387" max="1388" width="13.33203125" bestFit="1" customWidth="1"/>
    <col min="1389" max="1389" width="16.109375" bestFit="1" customWidth="1"/>
    <col min="1390" max="1390" width="13.33203125" bestFit="1" customWidth="1"/>
    <col min="1391" max="1391" width="16.109375" bestFit="1" customWidth="1"/>
    <col min="1392" max="1392" width="13.33203125" bestFit="1" customWidth="1"/>
    <col min="1393" max="1393" width="16.109375" bestFit="1" customWidth="1"/>
    <col min="1394" max="1394" width="13.33203125" bestFit="1" customWidth="1"/>
    <col min="1395" max="1395" width="16.109375" bestFit="1" customWidth="1"/>
    <col min="1396" max="1396" width="13.33203125" bestFit="1" customWidth="1"/>
    <col min="1397" max="1397" width="16.109375" bestFit="1" customWidth="1"/>
    <col min="1398" max="1399" width="13.77734375" bestFit="1" customWidth="1"/>
    <col min="1400" max="1400" width="16.5546875" bestFit="1" customWidth="1"/>
    <col min="1401" max="1401" width="13.77734375" bestFit="1" customWidth="1"/>
    <col min="1402" max="1402" width="16.5546875" bestFit="1" customWidth="1"/>
    <col min="1403" max="1403" width="13.77734375" bestFit="1" customWidth="1"/>
    <col min="1404" max="1404" width="16.5546875" bestFit="1" customWidth="1"/>
    <col min="1405" max="1405" width="13.77734375" bestFit="1" customWidth="1"/>
    <col min="1406" max="1406" width="16.5546875" bestFit="1" customWidth="1"/>
    <col min="1407" max="1407" width="13.77734375" bestFit="1" customWidth="1"/>
    <col min="1408" max="1408" width="16.5546875" bestFit="1" customWidth="1"/>
    <col min="1409" max="1410" width="13.77734375" bestFit="1" customWidth="1"/>
    <col min="1411" max="1411" width="16.5546875" bestFit="1" customWidth="1"/>
    <col min="1412" max="1412" width="13.77734375" bestFit="1" customWidth="1"/>
    <col min="1413" max="1413" width="16.5546875" bestFit="1" customWidth="1"/>
    <col min="1414" max="1414" width="13.77734375" bestFit="1" customWidth="1"/>
    <col min="1415" max="1415" width="16.5546875" bestFit="1" customWidth="1"/>
    <col min="1416" max="1416" width="13.77734375" bestFit="1" customWidth="1"/>
    <col min="1417" max="1417" width="16.5546875" bestFit="1" customWidth="1"/>
    <col min="1418" max="1419" width="13.77734375" bestFit="1" customWidth="1"/>
    <col min="1420" max="1420" width="16.5546875" bestFit="1" customWidth="1"/>
    <col min="1421" max="1422" width="13.77734375" bestFit="1" customWidth="1"/>
    <col min="1423" max="1423" width="16.5546875" bestFit="1" customWidth="1"/>
    <col min="1424" max="1424" width="13.77734375" bestFit="1" customWidth="1"/>
    <col min="1425" max="1425" width="16.5546875" bestFit="1" customWidth="1"/>
    <col min="1426" max="1426" width="13.77734375" bestFit="1" customWidth="1"/>
    <col min="1427" max="1427" width="16.5546875" bestFit="1" customWidth="1"/>
    <col min="1428" max="1429" width="13.77734375" bestFit="1" customWidth="1"/>
    <col min="1430" max="1430" width="16.5546875" bestFit="1" customWidth="1"/>
    <col min="1431" max="1431" width="13.77734375" bestFit="1" customWidth="1"/>
    <col min="1432" max="1432" width="16.5546875" bestFit="1" customWidth="1"/>
    <col min="1433" max="1434" width="13.77734375" bestFit="1" customWidth="1"/>
    <col min="1435" max="1435" width="16.5546875" bestFit="1" customWidth="1"/>
    <col min="1436" max="1436" width="13.77734375" bestFit="1" customWidth="1"/>
    <col min="1437" max="1437" width="16.5546875" bestFit="1" customWidth="1"/>
    <col min="1438" max="1438" width="13.33203125" bestFit="1" customWidth="1"/>
    <col min="1439" max="1439" width="16.109375" bestFit="1" customWidth="1"/>
    <col min="1440" max="1441" width="13.33203125" bestFit="1" customWidth="1"/>
    <col min="1442" max="1442" width="16.109375" bestFit="1" customWidth="1"/>
    <col min="1443" max="1444" width="13.33203125" bestFit="1" customWidth="1"/>
    <col min="1445" max="1445" width="16.109375" bestFit="1" customWidth="1"/>
    <col min="1446" max="1446" width="13.33203125" bestFit="1" customWidth="1"/>
    <col min="1447" max="1447" width="16.109375" bestFit="1" customWidth="1"/>
    <col min="1448" max="1448" width="13.33203125" bestFit="1" customWidth="1"/>
    <col min="1449" max="1449" width="16.109375" bestFit="1" customWidth="1"/>
    <col min="1450" max="1450" width="13.33203125" bestFit="1" customWidth="1"/>
    <col min="1451" max="1451" width="16.109375" bestFit="1" customWidth="1"/>
    <col min="1452" max="1452" width="13.33203125" bestFit="1" customWidth="1"/>
    <col min="1453" max="1453" width="16.109375" bestFit="1" customWidth="1"/>
    <col min="1454" max="1454" width="13.33203125" bestFit="1" customWidth="1"/>
    <col min="1455" max="1455" width="16.109375" bestFit="1" customWidth="1"/>
    <col min="1456" max="1456" width="13.33203125" bestFit="1" customWidth="1"/>
    <col min="1457" max="1457" width="16.109375" bestFit="1" customWidth="1"/>
    <col min="1458" max="1458" width="13.33203125" bestFit="1" customWidth="1"/>
    <col min="1459" max="1459" width="16.109375" bestFit="1" customWidth="1"/>
    <col min="1460" max="1460" width="13.33203125" bestFit="1" customWidth="1"/>
    <col min="1461" max="1461" width="16.109375" bestFit="1" customWidth="1"/>
    <col min="1462" max="1463" width="13.33203125" bestFit="1" customWidth="1"/>
    <col min="1464" max="1464" width="16.109375" bestFit="1" customWidth="1"/>
    <col min="1465" max="1468" width="13.33203125" bestFit="1" customWidth="1"/>
    <col min="1469" max="1469" width="16.109375" bestFit="1" customWidth="1"/>
    <col min="1470" max="1470" width="13.33203125" bestFit="1" customWidth="1"/>
    <col min="1471" max="1471" width="16.109375" bestFit="1" customWidth="1"/>
    <col min="1472" max="1473" width="14.109375" bestFit="1" customWidth="1"/>
    <col min="1474" max="1474" width="16.88671875" bestFit="1" customWidth="1"/>
    <col min="1475" max="1475" width="14.109375" bestFit="1" customWidth="1"/>
    <col min="1476" max="1476" width="16.88671875" bestFit="1" customWidth="1"/>
    <col min="1477" max="1477" width="14.109375" bestFit="1" customWidth="1"/>
    <col min="1478" max="1478" width="16.88671875" bestFit="1" customWidth="1"/>
    <col min="1479" max="1479" width="14.109375" bestFit="1" customWidth="1"/>
    <col min="1480" max="1480" width="16.88671875" bestFit="1" customWidth="1"/>
    <col min="1481" max="1481" width="14.109375" bestFit="1" customWidth="1"/>
    <col min="1482" max="1482" width="16.88671875" bestFit="1" customWidth="1"/>
    <col min="1483" max="1483" width="14.109375" bestFit="1" customWidth="1"/>
    <col min="1484" max="1484" width="16.88671875" bestFit="1" customWidth="1"/>
    <col min="1485" max="1485" width="14.109375" bestFit="1" customWidth="1"/>
    <col min="1486" max="1486" width="16.88671875" bestFit="1" customWidth="1"/>
    <col min="1487" max="1489" width="14.109375" bestFit="1" customWidth="1"/>
    <col min="1490" max="1490" width="16.88671875" bestFit="1" customWidth="1"/>
    <col min="1491" max="1491" width="14.109375" bestFit="1" customWidth="1"/>
    <col min="1492" max="1492" width="16.88671875" bestFit="1" customWidth="1"/>
    <col min="1493" max="1493" width="14.109375" bestFit="1" customWidth="1"/>
    <col min="1494" max="1494" width="16.88671875" bestFit="1" customWidth="1"/>
    <col min="1495" max="1495" width="14.109375" bestFit="1" customWidth="1"/>
    <col min="1496" max="1496" width="16.88671875" bestFit="1" customWidth="1"/>
    <col min="1497" max="1497" width="14.109375" bestFit="1" customWidth="1"/>
    <col min="1498" max="1498" width="16.88671875" bestFit="1" customWidth="1"/>
    <col min="1499" max="1499" width="14.109375" bestFit="1" customWidth="1"/>
    <col min="1500" max="1500" width="16.88671875" bestFit="1" customWidth="1"/>
    <col min="1501" max="1501" width="14.109375" bestFit="1" customWidth="1"/>
    <col min="1502" max="1502" width="16.88671875" bestFit="1" customWidth="1"/>
    <col min="1503" max="1503" width="14.109375" bestFit="1" customWidth="1"/>
    <col min="1504" max="1504" width="16.88671875" bestFit="1" customWidth="1"/>
    <col min="1505" max="1505" width="14.109375" bestFit="1" customWidth="1"/>
    <col min="1506" max="1506" width="16.88671875" bestFit="1" customWidth="1"/>
    <col min="1507" max="1507" width="14.109375" bestFit="1" customWidth="1"/>
    <col min="1508" max="1508" width="16.88671875" bestFit="1" customWidth="1"/>
    <col min="1509" max="1509" width="14.109375" bestFit="1" customWidth="1"/>
    <col min="1510" max="1510" width="16.88671875" bestFit="1" customWidth="1"/>
    <col min="1511" max="1511" width="13.21875" bestFit="1" customWidth="1"/>
    <col min="1512" max="1512" width="16" bestFit="1" customWidth="1"/>
    <col min="1513" max="1513" width="13.21875" bestFit="1" customWidth="1"/>
    <col min="1514" max="1514" width="16" bestFit="1" customWidth="1"/>
    <col min="1515" max="1515" width="13.21875" bestFit="1" customWidth="1"/>
    <col min="1516" max="1516" width="16" bestFit="1" customWidth="1"/>
    <col min="1517" max="1517" width="13.21875" bestFit="1" customWidth="1"/>
    <col min="1518" max="1518" width="16" bestFit="1" customWidth="1"/>
    <col min="1519" max="1521" width="13.21875" bestFit="1" customWidth="1"/>
    <col min="1522" max="1522" width="16" bestFit="1" customWidth="1"/>
    <col min="1523" max="1524" width="13.21875" bestFit="1" customWidth="1"/>
    <col min="1525" max="1525" width="16" bestFit="1" customWidth="1"/>
    <col min="1526" max="1528" width="13.21875" bestFit="1" customWidth="1"/>
    <col min="1529" max="1529" width="16" bestFit="1" customWidth="1"/>
    <col min="1530" max="1530" width="13.21875" bestFit="1" customWidth="1"/>
    <col min="1531" max="1531" width="16" bestFit="1" customWidth="1"/>
    <col min="1532" max="1532" width="13.21875" bestFit="1" customWidth="1"/>
    <col min="1533" max="1533" width="16" bestFit="1" customWidth="1"/>
    <col min="1534" max="1535" width="13.21875" bestFit="1" customWidth="1"/>
    <col min="1536" max="1536" width="16" bestFit="1" customWidth="1"/>
    <col min="1537" max="1537" width="13.21875" bestFit="1" customWidth="1"/>
    <col min="1538" max="1538" width="16" bestFit="1" customWidth="1"/>
    <col min="1539" max="1539" width="13.21875" bestFit="1" customWidth="1"/>
    <col min="1540" max="1540" width="16" bestFit="1" customWidth="1"/>
    <col min="1541" max="1542" width="13.21875" bestFit="1" customWidth="1"/>
    <col min="1543" max="1543" width="16" bestFit="1" customWidth="1"/>
    <col min="1544" max="1544" width="13.21875" bestFit="1" customWidth="1"/>
    <col min="1545" max="1545" width="16" bestFit="1" customWidth="1"/>
    <col min="1546" max="1546" width="13.21875" bestFit="1" customWidth="1"/>
    <col min="1547" max="1547" width="16" bestFit="1" customWidth="1"/>
    <col min="1548" max="1548" width="13.21875" bestFit="1" customWidth="1"/>
    <col min="1549" max="1549" width="16" bestFit="1" customWidth="1"/>
    <col min="1550" max="1550" width="12.5546875" bestFit="1" customWidth="1"/>
    <col min="1551" max="1551" width="15.33203125" bestFit="1" customWidth="1"/>
    <col min="1552" max="1552" width="12.5546875" bestFit="1" customWidth="1"/>
    <col min="1553" max="1553" width="15.33203125" bestFit="1" customWidth="1"/>
    <col min="1554" max="1554" width="12.5546875" bestFit="1" customWidth="1"/>
    <col min="1555" max="1555" width="15.33203125" bestFit="1" customWidth="1"/>
    <col min="1556" max="1556" width="12.5546875" bestFit="1" customWidth="1"/>
    <col min="1557" max="1557" width="15.33203125" bestFit="1" customWidth="1"/>
    <col min="1558" max="1558" width="12.5546875" bestFit="1" customWidth="1"/>
    <col min="1559" max="1559" width="15.33203125" bestFit="1" customWidth="1"/>
    <col min="1560" max="1560" width="12.5546875" bestFit="1" customWidth="1"/>
    <col min="1561" max="1561" width="15.33203125" bestFit="1" customWidth="1"/>
    <col min="1562" max="1563" width="12.5546875" bestFit="1" customWidth="1"/>
    <col min="1564" max="1564" width="15.33203125" bestFit="1" customWidth="1"/>
    <col min="1565" max="1566" width="12.5546875" bestFit="1" customWidth="1"/>
    <col min="1567" max="1567" width="15.33203125" bestFit="1" customWidth="1"/>
    <col min="1568" max="1569" width="12.5546875" bestFit="1" customWidth="1"/>
    <col min="1570" max="1570" width="15.33203125" bestFit="1" customWidth="1"/>
    <col min="1571" max="1571" width="12.5546875" bestFit="1" customWidth="1"/>
    <col min="1572" max="1572" width="15.33203125" bestFit="1" customWidth="1"/>
    <col min="1573" max="1573" width="12.5546875" bestFit="1" customWidth="1"/>
    <col min="1574" max="1574" width="15.33203125" bestFit="1" customWidth="1"/>
    <col min="1575" max="1575" width="12.5546875" bestFit="1" customWidth="1"/>
    <col min="1576" max="1576" width="15.33203125" bestFit="1" customWidth="1"/>
    <col min="1577" max="1577" width="12.5546875" bestFit="1" customWidth="1"/>
    <col min="1578" max="1578" width="15.33203125" bestFit="1" customWidth="1"/>
    <col min="1579" max="1579" width="12.5546875" bestFit="1" customWidth="1"/>
    <col min="1580" max="1580" width="15.33203125" bestFit="1" customWidth="1"/>
    <col min="1581" max="1581" width="12.5546875" bestFit="1" customWidth="1"/>
    <col min="1582" max="1582" width="15.33203125" bestFit="1" customWidth="1"/>
    <col min="1583" max="1583" width="12.5546875" bestFit="1" customWidth="1"/>
    <col min="1584" max="1584" width="15.33203125" bestFit="1" customWidth="1"/>
    <col min="1585" max="1585" width="13.6640625" bestFit="1" customWidth="1"/>
    <col min="1586" max="1586" width="16.44140625" bestFit="1" customWidth="1"/>
    <col min="1587" max="1588" width="13.6640625" bestFit="1" customWidth="1"/>
    <col min="1589" max="1589" width="16.44140625" bestFit="1" customWidth="1"/>
    <col min="1590" max="1590" width="13.6640625" bestFit="1" customWidth="1"/>
    <col min="1591" max="1591" width="16.44140625" bestFit="1" customWidth="1"/>
    <col min="1592" max="1592" width="13.6640625" bestFit="1" customWidth="1"/>
    <col min="1593" max="1593" width="16.44140625" bestFit="1" customWidth="1"/>
    <col min="1594" max="1594" width="13.6640625" bestFit="1" customWidth="1"/>
    <col min="1595" max="1595" width="16.44140625" bestFit="1" customWidth="1"/>
    <col min="1596" max="1596" width="13.6640625" bestFit="1" customWidth="1"/>
    <col min="1597" max="1597" width="16.44140625" bestFit="1" customWidth="1"/>
    <col min="1598" max="1599" width="13.6640625" bestFit="1" customWidth="1"/>
    <col min="1600" max="1600" width="16.44140625" bestFit="1" customWidth="1"/>
    <col min="1601" max="1601" width="10.77734375" bestFit="1" customWidth="1"/>
  </cols>
  <sheetData>
    <row r="4" spans="1:6" x14ac:dyDescent="0.3">
      <c r="A4" s="9" t="s">
        <v>6212</v>
      </c>
      <c r="B4" s="9" t="s">
        <v>6207</v>
      </c>
    </row>
    <row r="5" spans="1:6" x14ac:dyDescent="0.3">
      <c r="A5" s="9" t="s">
        <v>6217</v>
      </c>
      <c r="B5" t="s">
        <v>6208</v>
      </c>
      <c r="C5" t="s">
        <v>6209</v>
      </c>
      <c r="D5" t="s">
        <v>6210</v>
      </c>
      <c r="E5" t="s">
        <v>6211</v>
      </c>
      <c r="F5" t="s">
        <v>6206</v>
      </c>
    </row>
    <row r="6" spans="1:6" x14ac:dyDescent="0.3">
      <c r="A6" s="10" t="s">
        <v>6213</v>
      </c>
      <c r="B6" s="14">
        <v>2926.63</v>
      </c>
      <c r="C6" s="14">
        <v>3481.46</v>
      </c>
      <c r="D6" s="14">
        <v>3378.0049999999987</v>
      </c>
      <c r="E6" s="14">
        <v>2401.0700000000006</v>
      </c>
      <c r="F6" s="14">
        <v>12187.165000000001</v>
      </c>
    </row>
    <row r="7" spans="1:6" x14ac:dyDescent="0.3">
      <c r="A7" s="10" t="s">
        <v>6214</v>
      </c>
      <c r="B7" s="14">
        <v>3356.415</v>
      </c>
      <c r="C7" s="14">
        <v>3663.4100000000008</v>
      </c>
      <c r="D7" s="14">
        <v>2604.4550000000004</v>
      </c>
      <c r="E7" s="14">
        <v>2493.2649999999994</v>
      </c>
      <c r="F7" s="14">
        <v>12117.545</v>
      </c>
    </row>
    <row r="8" spans="1:6" x14ac:dyDescent="0.3">
      <c r="A8" s="10" t="s">
        <v>6215</v>
      </c>
      <c r="B8" s="14">
        <v>4045.6299999999992</v>
      </c>
      <c r="C8" s="14">
        <v>3469.6399999999994</v>
      </c>
      <c r="D8" s="14">
        <v>3836.6950000000011</v>
      </c>
      <c r="E8" s="14">
        <v>2414.1449999999995</v>
      </c>
      <c r="F8" s="14">
        <v>13766.11</v>
      </c>
    </row>
    <row r="9" spans="1:6" x14ac:dyDescent="0.3">
      <c r="A9" s="10" t="s">
        <v>6216</v>
      </c>
      <c r="B9" s="14">
        <v>1439.82</v>
      </c>
      <c r="C9" s="14">
        <v>1691.9299999999996</v>
      </c>
      <c r="D9" s="14">
        <v>2234.92</v>
      </c>
      <c r="E9" s="14">
        <v>1696.7650000000001</v>
      </c>
      <c r="F9" s="14">
        <v>7063.4350000000004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00EE0-B089-4CE7-9DCC-CB334C416FAF}">
  <dimension ref="A2:C6"/>
  <sheetViews>
    <sheetView workbookViewId="0">
      <selection activeCell="A3" sqref="A3"/>
    </sheetView>
  </sheetViews>
  <sheetFormatPr defaultRowHeight="14.4" x14ac:dyDescent="0.3"/>
  <cols>
    <col min="1" max="1" width="14" bestFit="1" customWidth="1"/>
    <col min="2" max="2" width="19.33203125" bestFit="1" customWidth="1"/>
    <col min="3" max="3" width="22.88671875" bestFit="1" customWidth="1"/>
  </cols>
  <sheetData>
    <row r="2" spans="1:3" x14ac:dyDescent="0.3">
      <c r="A2" t="s">
        <v>6218</v>
      </c>
    </row>
    <row r="3" spans="1:3" x14ac:dyDescent="0.3">
      <c r="A3" s="9" t="s">
        <v>6205</v>
      </c>
      <c r="B3" t="s">
        <v>6219</v>
      </c>
      <c r="C3" t="s">
        <v>6221</v>
      </c>
    </row>
    <row r="4" spans="1:3" x14ac:dyDescent="0.3">
      <c r="A4" s="10" t="s">
        <v>1936</v>
      </c>
      <c r="B4">
        <v>774</v>
      </c>
      <c r="C4" s="15">
        <v>0.77400000000000002</v>
      </c>
    </row>
    <row r="5" spans="1:3" x14ac:dyDescent="0.3">
      <c r="A5" s="10" t="s">
        <v>1944</v>
      </c>
      <c r="B5">
        <v>153</v>
      </c>
      <c r="C5" s="15">
        <v>0.153</v>
      </c>
    </row>
    <row r="6" spans="1:3" x14ac:dyDescent="0.3">
      <c r="A6" s="10" t="s">
        <v>2111</v>
      </c>
      <c r="B6">
        <v>73</v>
      </c>
      <c r="C6" s="15">
        <v>7.2999999999999995E-2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6E7E1-D476-450E-9E4B-96A00199C9C1}">
  <dimension ref="A1"/>
  <sheetViews>
    <sheetView tabSelected="1" zoomScale="84" workbookViewId="0">
      <selection activeCell="Y33" sqref="Y33"/>
    </sheetView>
  </sheetViews>
  <sheetFormatPr defaultRowHeight="14.4" x14ac:dyDescent="0.3"/>
  <cols>
    <col min="1" max="16384" width="8.88671875" style="16"/>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Customers</vt:lpstr>
      <vt:lpstr>Orders</vt:lpstr>
      <vt:lpstr>products</vt:lpstr>
      <vt:lpstr>Top 10 Customers</vt:lpstr>
      <vt:lpstr>TS- Country</vt:lpstr>
      <vt:lpstr>Total  sales</vt:lpstr>
      <vt:lpstr>noof_cust_country</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SHEETHAL</dc:creator>
  <cp:lastModifiedBy>SHEETHAL</cp:lastModifiedBy>
  <dcterms:created xsi:type="dcterms:W3CDTF">2025-11-03T14:25:33Z</dcterms:created>
  <dcterms:modified xsi:type="dcterms:W3CDTF">2025-11-29T16:55:57Z</dcterms:modified>
</cp:coreProperties>
</file>